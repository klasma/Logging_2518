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39691-2023</t>
        </is>
      </c>
      <c r="B2" s="1" t="n">
        <v>45167</v>
      </c>
      <c r="C2" s="1" t="n">
        <v>45340</v>
      </c>
      <c r="D2" t="inlineStr">
        <is>
          <t>NORRBOTTENS LÄN</t>
        </is>
      </c>
      <c r="E2" t="inlineStr">
        <is>
          <t>ÖVERTORNEÅ</t>
        </is>
      </c>
      <c r="G2" t="n">
        <v>6.4</v>
      </c>
      <c r="H2" t="n">
        <v>2</v>
      </c>
      <c r="I2" t="n">
        <v>3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18</v>
      </c>
      <c r="R2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</t>
        </is>
      </c>
      <c r="S2">
        <f>HYPERLINK("https://klasma.github.io/Logging_2518/artfynd/A 39691-2023 artfynd.xlsx", "A 39691-2023")</f>
        <v/>
      </c>
      <c r="T2">
        <f>HYPERLINK("https://klasma.github.io/Logging_2518/kartor/A 39691-2023 karta.png", "A 39691-2023")</f>
        <v/>
      </c>
      <c r="V2">
        <f>HYPERLINK("https://klasma.github.io/Logging_2518/klagomål/A 39691-2023 FSC-klagomål.docx", "A 39691-2023")</f>
        <v/>
      </c>
      <c r="W2">
        <f>HYPERLINK("https://klasma.github.io/Logging_2518/klagomålsmail/A 39691-2023 FSC-klagomål mail.docx", "A 39691-2023")</f>
        <v/>
      </c>
      <c r="X2">
        <f>HYPERLINK("https://klasma.github.io/Logging_2518/tillsyn/A 39691-2023 tillsynsbegäran.docx", "A 39691-2023")</f>
        <v/>
      </c>
      <c r="Y2">
        <f>HYPERLINK("https://klasma.github.io/Logging_2518/tillsynsmail/A 39691-2023 tillsynsbegäran mail.docx", "A 39691-2023")</f>
        <v/>
      </c>
      <c r="Z2">
        <f>HYPERLINK("https://klasma.github.io/Logging_2518/fåglar/A 39691-2023 prioriterade fågelarter.docx", "A 39691-2023")</f>
        <v/>
      </c>
    </row>
    <row r="3" ht="15" customHeight="1">
      <c r="A3" t="inlineStr">
        <is>
          <t>A 27057-2023</t>
        </is>
      </c>
      <c r="B3" s="1" t="n">
        <v>45096</v>
      </c>
      <c r="C3" s="1" t="n">
        <v>45340</v>
      </c>
      <c r="D3" t="inlineStr">
        <is>
          <t>NORRBOTTENS LÄN</t>
        </is>
      </c>
      <c r="E3" t="inlineStr">
        <is>
          <t>ÖVERTORNEÅ</t>
        </is>
      </c>
      <c r="G3" t="n">
        <v>18.7</v>
      </c>
      <c r="H3" t="n">
        <v>3</v>
      </c>
      <c r="I3" t="n">
        <v>6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3">
        <f>HYPERLINK("https://klasma.github.io/Logging_2518/artfynd/A 27057-2023 artfynd.xlsx", "A 27057-2023")</f>
        <v/>
      </c>
      <c r="T3">
        <f>HYPERLINK("https://klasma.github.io/Logging_2518/kartor/A 27057-2023 karta.png", "A 27057-2023")</f>
        <v/>
      </c>
      <c r="U3">
        <f>HYPERLINK("https://klasma.github.io/Logging_2518/knärot/A 27057-2023 karta knärot.png", "A 27057-2023")</f>
        <v/>
      </c>
      <c r="V3">
        <f>HYPERLINK("https://klasma.github.io/Logging_2518/klagomål/A 27057-2023 FSC-klagomål.docx", "A 27057-2023")</f>
        <v/>
      </c>
      <c r="W3">
        <f>HYPERLINK("https://klasma.github.io/Logging_2518/klagomålsmail/A 27057-2023 FSC-klagomål mail.docx", "A 27057-2023")</f>
        <v/>
      </c>
      <c r="X3">
        <f>HYPERLINK("https://klasma.github.io/Logging_2518/tillsyn/A 27057-2023 tillsynsbegäran.docx", "A 27057-2023")</f>
        <v/>
      </c>
      <c r="Y3">
        <f>HYPERLINK("https://klasma.github.io/Logging_2518/tillsynsmail/A 27057-2023 tillsynsbegäran mail.docx", "A 27057-2023")</f>
        <v/>
      </c>
      <c r="Z3">
        <f>HYPERLINK("https://klasma.github.io/Logging_2518/fåglar/A 27057-2023 prioriterade fågelarter.docx", "A 27057-2023")</f>
        <v/>
      </c>
    </row>
    <row r="4" ht="15" customHeight="1">
      <c r="A4" t="inlineStr">
        <is>
          <t>A 36117-2023</t>
        </is>
      </c>
      <c r="B4" s="1" t="n">
        <v>45148</v>
      </c>
      <c r="C4" s="1" t="n">
        <v>45340</v>
      </c>
      <c r="D4" t="inlineStr">
        <is>
          <t>NORRBOTTENS LÄN</t>
        </is>
      </c>
      <c r="E4" t="inlineStr">
        <is>
          <t>ÖVERTORNEÅ</t>
        </is>
      </c>
      <c r="G4" t="n">
        <v>15.5</v>
      </c>
      <c r="H4" t="n">
        <v>2</v>
      </c>
      <c r="I4" t="n">
        <v>6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15</v>
      </c>
      <c r="R4" s="2" t="inlineStr">
        <is>
          <t>Gammelgransskål
Garnlav
Mörk kolflarnlav
Nordtagging
Spillkråka
Tallticka
Ullticka
Vitplätt
Bronshjon
Bårdlav
Skinnlav
Stor aspticka
Stuplav
Vedticka
Revlummer</t>
        </is>
      </c>
      <c r="S4">
        <f>HYPERLINK("https://klasma.github.io/Logging_2518/artfynd/A 36117-2023 artfynd.xlsx", "A 36117-2023")</f>
        <v/>
      </c>
      <c r="T4">
        <f>HYPERLINK("https://klasma.github.io/Logging_2518/kartor/A 36117-2023 karta.png", "A 36117-2023")</f>
        <v/>
      </c>
      <c r="V4">
        <f>HYPERLINK("https://klasma.github.io/Logging_2518/klagomål/A 36117-2023 FSC-klagomål.docx", "A 36117-2023")</f>
        <v/>
      </c>
      <c r="W4">
        <f>HYPERLINK("https://klasma.github.io/Logging_2518/klagomålsmail/A 36117-2023 FSC-klagomål mail.docx", "A 36117-2023")</f>
        <v/>
      </c>
      <c r="X4">
        <f>HYPERLINK("https://klasma.github.io/Logging_2518/tillsyn/A 36117-2023 tillsynsbegäran.docx", "A 36117-2023")</f>
        <v/>
      </c>
      <c r="Y4">
        <f>HYPERLINK("https://klasma.github.io/Logging_2518/tillsynsmail/A 36117-2023 tillsynsbegäran mail.docx", "A 36117-2023")</f>
        <v/>
      </c>
      <c r="Z4">
        <f>HYPERLINK("https://klasma.github.io/Logging_2518/fåglar/A 36117-2023 prioriterade fågelarter.docx", "A 36117-2023")</f>
        <v/>
      </c>
    </row>
    <row r="5" ht="15" customHeight="1">
      <c r="A5" t="inlineStr">
        <is>
          <t>A 21840-2023</t>
        </is>
      </c>
      <c r="B5" s="1" t="n">
        <v>45068</v>
      </c>
      <c r="C5" s="1" t="n">
        <v>45340</v>
      </c>
      <c r="D5" t="inlineStr">
        <is>
          <t>NORRBOTTENS LÄN</t>
        </is>
      </c>
      <c r="E5" t="inlineStr">
        <is>
          <t>ÖVERTORNEÅ</t>
        </is>
      </c>
      <c r="G5" t="n">
        <v>30.5</v>
      </c>
      <c r="H5" t="n">
        <v>8</v>
      </c>
      <c r="I5" t="n">
        <v>5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13</v>
      </c>
      <c r="R5" s="2" t="inlineStr">
        <is>
          <t>Doftticka
Knärot
Garnlav
Spillkråka
Talltita
Ullticka
Bårdlav
Norrlandslav
Plattlummer
Spindelblomster
Stuplav
Fläcknycklar
Revlummer</t>
        </is>
      </c>
      <c r="S5">
        <f>HYPERLINK("https://klasma.github.io/Logging_2518/artfynd/A 21840-2023 artfynd.xlsx", "A 21840-2023")</f>
        <v/>
      </c>
      <c r="T5">
        <f>HYPERLINK("https://klasma.github.io/Logging_2518/kartor/A 21840-2023 karta.png", "A 21840-2023")</f>
        <v/>
      </c>
      <c r="U5">
        <f>HYPERLINK("https://klasma.github.io/Logging_2518/knärot/A 21840-2023 karta knärot.png", "A 21840-2023")</f>
        <v/>
      </c>
      <c r="V5">
        <f>HYPERLINK("https://klasma.github.io/Logging_2518/klagomål/A 21840-2023 FSC-klagomål.docx", "A 21840-2023")</f>
        <v/>
      </c>
      <c r="W5">
        <f>HYPERLINK("https://klasma.github.io/Logging_2518/klagomålsmail/A 21840-2023 FSC-klagomål mail.docx", "A 21840-2023")</f>
        <v/>
      </c>
      <c r="X5">
        <f>HYPERLINK("https://klasma.github.io/Logging_2518/tillsyn/A 21840-2023 tillsynsbegäran.docx", "A 21840-2023")</f>
        <v/>
      </c>
      <c r="Y5">
        <f>HYPERLINK("https://klasma.github.io/Logging_2518/tillsynsmail/A 21840-2023 tillsynsbegäran mail.docx", "A 21840-2023")</f>
        <v/>
      </c>
      <c r="Z5">
        <f>HYPERLINK("https://klasma.github.io/Logging_2518/fåglar/A 21840-2023 prioriterade fågelarter.docx", "A 21840-2023")</f>
        <v/>
      </c>
    </row>
    <row r="6" ht="15" customHeight="1">
      <c r="A6" t="inlineStr">
        <is>
          <t>A 30560-2023</t>
        </is>
      </c>
      <c r="B6" s="1" t="n">
        <v>45111</v>
      </c>
      <c r="C6" s="1" t="n">
        <v>45340</v>
      </c>
      <c r="D6" t="inlineStr">
        <is>
          <t>NORRBOTTENS LÄN</t>
        </is>
      </c>
      <c r="E6" t="inlineStr">
        <is>
          <t>ÖVERTORNEÅ</t>
        </is>
      </c>
      <c r="G6" t="n">
        <v>9.199999999999999</v>
      </c>
      <c r="H6" t="n">
        <v>4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13</v>
      </c>
      <c r="R6" s="2" t="inlineStr">
        <is>
          <t>Knärot
Blanksvart spiklav
Gammelgransskål
Garnlav
Mörk kolflarnlav
Spillkråka
Vitplätt
Plattlummer
Skinnlav
Stor aspticka
Stuplav
Vedticka
Fläcknycklar</t>
        </is>
      </c>
      <c r="S6">
        <f>HYPERLINK("https://klasma.github.io/Logging_2518/artfynd/A 30560-2023 artfynd.xlsx", "A 30560-2023")</f>
        <v/>
      </c>
      <c r="T6">
        <f>HYPERLINK("https://klasma.github.io/Logging_2518/kartor/A 30560-2023 karta.png", "A 30560-2023")</f>
        <v/>
      </c>
      <c r="U6">
        <f>HYPERLINK("https://klasma.github.io/Logging_2518/knärot/A 30560-2023 karta knärot.png", "A 30560-2023")</f>
        <v/>
      </c>
      <c r="V6">
        <f>HYPERLINK("https://klasma.github.io/Logging_2518/klagomål/A 30560-2023 FSC-klagomål.docx", "A 30560-2023")</f>
        <v/>
      </c>
      <c r="W6">
        <f>HYPERLINK("https://klasma.github.io/Logging_2518/klagomålsmail/A 30560-2023 FSC-klagomål mail.docx", "A 30560-2023")</f>
        <v/>
      </c>
      <c r="X6">
        <f>HYPERLINK("https://klasma.github.io/Logging_2518/tillsyn/A 30560-2023 tillsynsbegäran.docx", "A 30560-2023")</f>
        <v/>
      </c>
      <c r="Y6">
        <f>HYPERLINK("https://klasma.github.io/Logging_2518/tillsynsmail/A 30560-2023 tillsynsbegäran mail.docx", "A 30560-2023")</f>
        <v/>
      </c>
      <c r="Z6">
        <f>HYPERLINK("https://klasma.github.io/Logging_2518/fåglar/A 30560-2023 prioriterade fågelarter.docx", "A 30560-2023")</f>
        <v/>
      </c>
    </row>
    <row r="7" ht="15" customHeight="1">
      <c r="A7" t="inlineStr">
        <is>
          <t>A 34146-2023</t>
        </is>
      </c>
      <c r="B7" s="1" t="n">
        <v>45136</v>
      </c>
      <c r="C7" s="1" t="n">
        <v>45340</v>
      </c>
      <c r="D7" t="inlineStr">
        <is>
          <t>NORRBOTTENS LÄN</t>
        </is>
      </c>
      <c r="E7" t="inlineStr">
        <is>
          <t>ÖVERTORNEÅ</t>
        </is>
      </c>
      <c r="G7" t="n">
        <v>7.9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Gammelgransskål
Garnlav
Granticka
Ullticka
Skinnlav
Stuplav
Vedticka</t>
        </is>
      </c>
      <c r="S7">
        <f>HYPERLINK("https://klasma.github.io/Logging_2518/artfynd/A 34146-2023 artfynd.xlsx", "A 34146-2023")</f>
        <v/>
      </c>
      <c r="T7">
        <f>HYPERLINK("https://klasma.github.io/Logging_2518/kartor/A 34146-2023 karta.png", "A 34146-2023")</f>
        <v/>
      </c>
      <c r="U7">
        <f>HYPERLINK("https://klasma.github.io/Logging_2518/knärot/A 34146-2023 karta knärot.png", "A 34146-2023")</f>
        <v/>
      </c>
      <c r="V7">
        <f>HYPERLINK("https://klasma.github.io/Logging_2518/klagomål/A 34146-2023 FSC-klagomål.docx", "A 34146-2023")</f>
        <v/>
      </c>
      <c r="W7">
        <f>HYPERLINK("https://klasma.github.io/Logging_2518/klagomålsmail/A 34146-2023 FSC-klagomål mail.docx", "A 34146-2023")</f>
        <v/>
      </c>
      <c r="X7">
        <f>HYPERLINK("https://klasma.github.io/Logging_2518/tillsyn/A 34146-2023 tillsynsbegäran.docx", "A 34146-2023")</f>
        <v/>
      </c>
      <c r="Y7">
        <f>HYPERLINK("https://klasma.github.io/Logging_2518/tillsynsmail/A 34146-2023 tillsynsbegäran mail.docx", "A 34146-2023")</f>
        <v/>
      </c>
    </row>
    <row r="8" ht="15" customHeight="1">
      <c r="A8" t="inlineStr">
        <is>
          <t>A 50300-2022</t>
        </is>
      </c>
      <c r="B8" s="1" t="n">
        <v>44865</v>
      </c>
      <c r="C8" s="1" t="n">
        <v>45340</v>
      </c>
      <c r="D8" t="inlineStr">
        <is>
          <t>NORRBOTTENS LÄN</t>
        </is>
      </c>
      <c r="E8" t="inlineStr">
        <is>
          <t>ÖVERTORNEÅ</t>
        </is>
      </c>
      <c r="G8" t="n">
        <v>17.3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Blanksvart spiklav
Garnlav
Spillkråka
Vitplätt
Dropptaggsvamp
Nästlav
Vedticka</t>
        </is>
      </c>
      <c r="S8">
        <f>HYPERLINK("https://klasma.github.io/Logging_2518/artfynd/A 50300-2022 artfynd.xlsx", "A 50300-2022")</f>
        <v/>
      </c>
      <c r="T8">
        <f>HYPERLINK("https://klasma.github.io/Logging_2518/kartor/A 50300-2022 karta.png", "A 50300-2022")</f>
        <v/>
      </c>
      <c r="V8">
        <f>HYPERLINK("https://klasma.github.io/Logging_2518/klagomål/A 50300-2022 FSC-klagomål.docx", "A 50300-2022")</f>
        <v/>
      </c>
      <c r="W8">
        <f>HYPERLINK("https://klasma.github.io/Logging_2518/klagomålsmail/A 50300-2022 FSC-klagomål mail.docx", "A 50300-2022")</f>
        <v/>
      </c>
      <c r="X8">
        <f>HYPERLINK("https://klasma.github.io/Logging_2518/tillsyn/A 50300-2022 tillsynsbegäran.docx", "A 50300-2022")</f>
        <v/>
      </c>
      <c r="Y8">
        <f>HYPERLINK("https://klasma.github.io/Logging_2518/tillsynsmail/A 50300-2022 tillsynsbegäran mail.docx", "A 50300-2022")</f>
        <v/>
      </c>
      <c r="Z8">
        <f>HYPERLINK("https://klasma.github.io/Logging_2518/fåglar/A 50300-2022 prioriterade fågelarter.docx", "A 50300-2022")</f>
        <v/>
      </c>
    </row>
    <row r="9" ht="15" customHeight="1">
      <c r="A9" t="inlineStr">
        <is>
          <t>A 54090-2022</t>
        </is>
      </c>
      <c r="B9" s="1" t="n">
        <v>44879</v>
      </c>
      <c r="C9" s="1" t="n">
        <v>45340</v>
      </c>
      <c r="D9" t="inlineStr">
        <is>
          <t>NORRBOTTENS LÄN</t>
        </is>
      </c>
      <c r="E9" t="inlineStr">
        <is>
          <t>ÖVERTORNEÅ</t>
        </is>
      </c>
      <c r="G9" t="n">
        <v>38.8</v>
      </c>
      <c r="H9" t="n">
        <v>1</v>
      </c>
      <c r="I9" t="n">
        <v>0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7</v>
      </c>
      <c r="R9" s="2" t="inlineStr">
        <is>
          <t>Ostticka
Granticka
Lunglav
Rosenticka
Tretåig hackspett
Ullticka
Violmussling</t>
        </is>
      </c>
      <c r="S9">
        <f>HYPERLINK("https://klasma.github.io/Logging_2518/artfynd/A 54090-2022 artfynd.xlsx", "A 54090-2022")</f>
        <v/>
      </c>
      <c r="T9">
        <f>HYPERLINK("https://klasma.github.io/Logging_2518/kartor/A 54090-2022 karta.png", "A 54090-2022")</f>
        <v/>
      </c>
      <c r="V9">
        <f>HYPERLINK("https://klasma.github.io/Logging_2518/klagomål/A 54090-2022 FSC-klagomål.docx", "A 54090-2022")</f>
        <v/>
      </c>
      <c r="W9">
        <f>HYPERLINK("https://klasma.github.io/Logging_2518/klagomålsmail/A 54090-2022 FSC-klagomål mail.docx", "A 54090-2022")</f>
        <v/>
      </c>
      <c r="X9">
        <f>HYPERLINK("https://klasma.github.io/Logging_2518/tillsyn/A 54090-2022 tillsynsbegäran.docx", "A 54090-2022")</f>
        <v/>
      </c>
      <c r="Y9">
        <f>HYPERLINK("https://klasma.github.io/Logging_2518/tillsynsmail/A 54090-2022 tillsynsbegäran mail.docx", "A 54090-2022")</f>
        <v/>
      </c>
      <c r="Z9">
        <f>HYPERLINK("https://klasma.github.io/Logging_2518/fåglar/A 54090-2022 prioriterade fågelarter.docx", "A 54090-2022")</f>
        <v/>
      </c>
    </row>
    <row r="10" ht="15" customHeight="1">
      <c r="A10" t="inlineStr">
        <is>
          <t>A 27058-2023</t>
        </is>
      </c>
      <c r="B10" s="1" t="n">
        <v>45096</v>
      </c>
      <c r="C10" s="1" t="n">
        <v>45340</v>
      </c>
      <c r="D10" t="inlineStr">
        <is>
          <t>NORRBOTTENS LÄN</t>
        </is>
      </c>
      <c r="E10" t="inlineStr">
        <is>
          <t>ÖVERTORNEÅ</t>
        </is>
      </c>
      <c r="G10" t="n">
        <v>5.3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Doftskinn
Gammelgransskål
Garnlav
Ullticka
Violmussling
Stor aspticka
Stuplav</t>
        </is>
      </c>
      <c r="S10">
        <f>HYPERLINK("https://klasma.github.io/Logging_2518/artfynd/A 27058-2023 artfynd.xlsx", "A 27058-2023")</f>
        <v/>
      </c>
      <c r="T10">
        <f>HYPERLINK("https://klasma.github.io/Logging_2518/kartor/A 27058-2023 karta.png", "A 27058-2023")</f>
        <v/>
      </c>
      <c r="V10">
        <f>HYPERLINK("https://klasma.github.io/Logging_2518/klagomål/A 27058-2023 FSC-klagomål.docx", "A 27058-2023")</f>
        <v/>
      </c>
      <c r="W10">
        <f>HYPERLINK("https://klasma.github.io/Logging_2518/klagomålsmail/A 27058-2023 FSC-klagomål mail.docx", "A 27058-2023")</f>
        <v/>
      </c>
      <c r="X10">
        <f>HYPERLINK("https://klasma.github.io/Logging_2518/tillsyn/A 27058-2023 tillsynsbegäran.docx", "A 27058-2023")</f>
        <v/>
      </c>
      <c r="Y10">
        <f>HYPERLINK("https://klasma.github.io/Logging_2518/tillsynsmail/A 27058-2023 tillsynsbegäran mail.docx", "A 27058-2023")</f>
        <v/>
      </c>
    </row>
    <row r="11" ht="15" customHeight="1">
      <c r="A11" t="inlineStr">
        <is>
          <t>A 33324-2023</t>
        </is>
      </c>
      <c r="B11" s="1" t="n">
        <v>45128</v>
      </c>
      <c r="C11" s="1" t="n">
        <v>45340</v>
      </c>
      <c r="D11" t="inlineStr">
        <is>
          <t>NORRBOTTENS LÄN</t>
        </is>
      </c>
      <c r="E11" t="inlineStr">
        <is>
          <t>ÖVERTORNEÅ</t>
        </is>
      </c>
      <c r="G11" t="n">
        <v>9.6</v>
      </c>
      <c r="H11" t="n">
        <v>2</v>
      </c>
      <c r="I11" t="n">
        <v>5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7</v>
      </c>
      <c r="R11" s="2" t="inlineStr">
        <is>
          <t>Spillkråka
Vitplätt
Norrlandslav
Plattlummer
Skinnlav
Stor aspticka
Vedticka</t>
        </is>
      </c>
      <c r="S11">
        <f>HYPERLINK("https://klasma.github.io/Logging_2518/artfynd/A 33324-2023 artfynd.xlsx", "A 33324-2023")</f>
        <v/>
      </c>
      <c r="T11">
        <f>HYPERLINK("https://klasma.github.io/Logging_2518/kartor/A 33324-2023 karta.png", "A 33324-2023")</f>
        <v/>
      </c>
      <c r="V11">
        <f>HYPERLINK("https://klasma.github.io/Logging_2518/klagomål/A 33324-2023 FSC-klagomål.docx", "A 33324-2023")</f>
        <v/>
      </c>
      <c r="W11">
        <f>HYPERLINK("https://klasma.github.io/Logging_2518/klagomålsmail/A 33324-2023 FSC-klagomål mail.docx", "A 33324-2023")</f>
        <v/>
      </c>
      <c r="X11">
        <f>HYPERLINK("https://klasma.github.io/Logging_2518/tillsyn/A 33324-2023 tillsynsbegäran.docx", "A 33324-2023")</f>
        <v/>
      </c>
      <c r="Y11">
        <f>HYPERLINK("https://klasma.github.io/Logging_2518/tillsynsmail/A 33324-2023 tillsynsbegäran mail.docx", "A 33324-2023")</f>
        <v/>
      </c>
      <c r="Z11">
        <f>HYPERLINK("https://klasma.github.io/Logging_2518/fåglar/A 33324-2023 prioriterade fågelarter.docx", "A 33324-2023")</f>
        <v/>
      </c>
    </row>
    <row r="12" ht="15" customHeight="1">
      <c r="A12" t="inlineStr">
        <is>
          <t>A 25299-2023</t>
        </is>
      </c>
      <c r="B12" s="1" t="n">
        <v>45087</v>
      </c>
      <c r="C12" s="1" t="n">
        <v>45340</v>
      </c>
      <c r="D12" t="inlineStr">
        <is>
          <t>NORRBOTTENS LÄN</t>
        </is>
      </c>
      <c r="E12" t="inlineStr">
        <is>
          <t>ÖVERTORNEÅ</t>
        </is>
      </c>
      <c r="G12" t="n">
        <v>3.8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Garnlav
Granticka
Tretåig hackspett
Bårdlav
Skinnlav
Stuplav</t>
        </is>
      </c>
      <c r="S12">
        <f>HYPERLINK("https://klasma.github.io/Logging_2518/artfynd/A 25299-2023 artfynd.xlsx", "A 25299-2023")</f>
        <v/>
      </c>
      <c r="T12">
        <f>HYPERLINK("https://klasma.github.io/Logging_2518/kartor/A 25299-2023 karta.png", "A 25299-2023")</f>
        <v/>
      </c>
      <c r="V12">
        <f>HYPERLINK("https://klasma.github.io/Logging_2518/klagomål/A 25299-2023 FSC-klagomål.docx", "A 25299-2023")</f>
        <v/>
      </c>
      <c r="W12">
        <f>HYPERLINK("https://klasma.github.io/Logging_2518/klagomålsmail/A 25299-2023 FSC-klagomål mail.docx", "A 25299-2023")</f>
        <v/>
      </c>
      <c r="X12">
        <f>HYPERLINK("https://klasma.github.io/Logging_2518/tillsyn/A 25299-2023 tillsynsbegäran.docx", "A 25299-2023")</f>
        <v/>
      </c>
      <c r="Y12">
        <f>HYPERLINK("https://klasma.github.io/Logging_2518/tillsynsmail/A 25299-2023 tillsynsbegäran mail.docx", "A 25299-2023")</f>
        <v/>
      </c>
      <c r="Z12">
        <f>HYPERLINK("https://klasma.github.io/Logging_2518/fåglar/A 25299-2023 prioriterade fågelarter.docx", "A 25299-2023")</f>
        <v/>
      </c>
    </row>
    <row r="13" ht="15" customHeight="1">
      <c r="A13" t="inlineStr">
        <is>
          <t>A 54390-2020</t>
        </is>
      </c>
      <c r="B13" s="1" t="n">
        <v>44126</v>
      </c>
      <c r="C13" s="1" t="n">
        <v>45340</v>
      </c>
      <c r="D13" t="inlineStr">
        <is>
          <t>NORRBOTTENS LÄN</t>
        </is>
      </c>
      <c r="E13" t="inlineStr">
        <is>
          <t>ÖVERTORNEÅ</t>
        </is>
      </c>
      <c r="F13" t="inlineStr">
        <is>
          <t>Sveaskog</t>
        </is>
      </c>
      <c r="G13" t="n">
        <v>3.2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Gammelgransskål
Garnlav
Rosenticka
Ullticka
Vedticka</t>
        </is>
      </c>
      <c r="S13">
        <f>HYPERLINK("https://klasma.github.io/Logging_2518/artfynd/A 54390-2020 artfynd.xlsx", "A 54390-2020")</f>
        <v/>
      </c>
      <c r="T13">
        <f>HYPERLINK("https://klasma.github.io/Logging_2518/kartor/A 54390-2020 karta.png", "A 54390-2020")</f>
        <v/>
      </c>
      <c r="V13">
        <f>HYPERLINK("https://klasma.github.io/Logging_2518/klagomål/A 54390-2020 FSC-klagomål.docx", "A 54390-2020")</f>
        <v/>
      </c>
      <c r="W13">
        <f>HYPERLINK("https://klasma.github.io/Logging_2518/klagomålsmail/A 54390-2020 FSC-klagomål mail.docx", "A 54390-2020")</f>
        <v/>
      </c>
      <c r="X13">
        <f>HYPERLINK("https://klasma.github.io/Logging_2518/tillsyn/A 54390-2020 tillsynsbegäran.docx", "A 54390-2020")</f>
        <v/>
      </c>
      <c r="Y13">
        <f>HYPERLINK("https://klasma.github.io/Logging_2518/tillsynsmail/A 54390-2020 tillsynsbegäran mail.docx", "A 54390-2020")</f>
        <v/>
      </c>
    </row>
    <row r="14" ht="15" customHeight="1">
      <c r="A14" t="inlineStr">
        <is>
          <t>A 31305-2021</t>
        </is>
      </c>
      <c r="B14" s="1" t="n">
        <v>44368</v>
      </c>
      <c r="C14" s="1" t="n">
        <v>45340</v>
      </c>
      <c r="D14" t="inlineStr">
        <is>
          <t>NORRBOTTENS LÄN</t>
        </is>
      </c>
      <c r="E14" t="inlineStr">
        <is>
          <t>ÖVERTORNEÅ</t>
        </is>
      </c>
      <c r="F14" t="inlineStr">
        <is>
          <t>Sveaskog</t>
        </is>
      </c>
      <c r="G14" t="n">
        <v>3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Gammelgransskål
Garnlav
Harticka
Luddlav
Vedticka</t>
        </is>
      </c>
      <c r="S14">
        <f>HYPERLINK("https://klasma.github.io/Logging_2518/artfynd/A 31305-2021 artfynd.xlsx", "A 31305-2021")</f>
        <v/>
      </c>
      <c r="T14">
        <f>HYPERLINK("https://klasma.github.io/Logging_2518/kartor/A 31305-2021 karta.png", "A 31305-2021")</f>
        <v/>
      </c>
      <c r="V14">
        <f>HYPERLINK("https://klasma.github.io/Logging_2518/klagomål/A 31305-2021 FSC-klagomål.docx", "A 31305-2021")</f>
        <v/>
      </c>
      <c r="W14">
        <f>HYPERLINK("https://klasma.github.io/Logging_2518/klagomålsmail/A 31305-2021 FSC-klagomål mail.docx", "A 31305-2021")</f>
        <v/>
      </c>
      <c r="X14">
        <f>HYPERLINK("https://klasma.github.io/Logging_2518/tillsyn/A 31305-2021 tillsynsbegäran.docx", "A 31305-2021")</f>
        <v/>
      </c>
      <c r="Y14">
        <f>HYPERLINK("https://klasma.github.io/Logging_2518/tillsynsmail/A 31305-2021 tillsynsbegäran mail.docx", "A 31305-2021")</f>
        <v/>
      </c>
    </row>
    <row r="15" ht="15" customHeight="1">
      <c r="A15" t="inlineStr">
        <is>
          <t>A 54504-2022</t>
        </is>
      </c>
      <c r="B15" s="1" t="n">
        <v>44880</v>
      </c>
      <c r="C15" s="1" t="n">
        <v>45340</v>
      </c>
      <c r="D15" t="inlineStr">
        <is>
          <t>NORRBOTTENS LÄN</t>
        </is>
      </c>
      <c r="E15" t="inlineStr">
        <is>
          <t>ÖVERTORNEÅ</t>
        </is>
      </c>
      <c r="F15" t="inlineStr">
        <is>
          <t>Sveaskog</t>
        </is>
      </c>
      <c r="G15" t="n">
        <v>2.6</v>
      </c>
      <c r="H15" t="n">
        <v>2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Garnlav
Spillkråka
Barkticka
Norrlandslav
Revlummer</t>
        </is>
      </c>
      <c r="S15">
        <f>HYPERLINK("https://klasma.github.io/Logging_2518/artfynd/A 54504-2022 artfynd.xlsx", "A 54504-2022")</f>
        <v/>
      </c>
      <c r="T15">
        <f>HYPERLINK("https://klasma.github.io/Logging_2518/kartor/A 54504-2022 karta.png", "A 54504-2022")</f>
        <v/>
      </c>
      <c r="V15">
        <f>HYPERLINK("https://klasma.github.io/Logging_2518/klagomål/A 54504-2022 FSC-klagomål.docx", "A 54504-2022")</f>
        <v/>
      </c>
      <c r="W15">
        <f>HYPERLINK("https://klasma.github.io/Logging_2518/klagomålsmail/A 54504-2022 FSC-klagomål mail.docx", "A 54504-2022")</f>
        <v/>
      </c>
      <c r="X15">
        <f>HYPERLINK("https://klasma.github.io/Logging_2518/tillsyn/A 54504-2022 tillsynsbegäran.docx", "A 54504-2022")</f>
        <v/>
      </c>
      <c r="Y15">
        <f>HYPERLINK("https://klasma.github.io/Logging_2518/tillsynsmail/A 54504-2022 tillsynsbegäran mail.docx", "A 54504-2022")</f>
        <v/>
      </c>
      <c r="Z15">
        <f>HYPERLINK("https://klasma.github.io/Logging_2518/fåglar/A 54504-2022 prioriterade fågelarter.docx", "A 54504-2022")</f>
        <v/>
      </c>
    </row>
    <row r="16" ht="15" customHeight="1">
      <c r="A16" t="inlineStr">
        <is>
          <t>A 15202-2023</t>
        </is>
      </c>
      <c r="B16" s="1" t="n">
        <v>45017</v>
      </c>
      <c r="C16" s="1" t="n">
        <v>45340</v>
      </c>
      <c r="D16" t="inlineStr">
        <is>
          <t>NORRBOTTENS LÄN</t>
        </is>
      </c>
      <c r="E16" t="inlineStr">
        <is>
          <t>ÖVERTORNEÅ</t>
        </is>
      </c>
      <c r="G16" t="n">
        <v>3.2</v>
      </c>
      <c r="H16" t="n">
        <v>1</v>
      </c>
      <c r="I16" t="n">
        <v>0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5</v>
      </c>
      <c r="R16" s="2" t="inlineStr">
        <is>
          <t>Garnlav
Granticka
Lunglav
Spillkråka
Tallticka</t>
        </is>
      </c>
      <c r="S16">
        <f>HYPERLINK("https://klasma.github.io/Logging_2518/artfynd/A 15202-2023 artfynd.xlsx", "A 15202-2023")</f>
        <v/>
      </c>
      <c r="T16">
        <f>HYPERLINK("https://klasma.github.io/Logging_2518/kartor/A 15202-2023 karta.png", "A 15202-2023")</f>
        <v/>
      </c>
      <c r="V16">
        <f>HYPERLINK("https://klasma.github.io/Logging_2518/klagomål/A 15202-2023 FSC-klagomål.docx", "A 15202-2023")</f>
        <v/>
      </c>
      <c r="W16">
        <f>HYPERLINK("https://klasma.github.io/Logging_2518/klagomålsmail/A 15202-2023 FSC-klagomål mail.docx", "A 15202-2023")</f>
        <v/>
      </c>
      <c r="X16">
        <f>HYPERLINK("https://klasma.github.io/Logging_2518/tillsyn/A 15202-2023 tillsynsbegäran.docx", "A 15202-2023")</f>
        <v/>
      </c>
      <c r="Y16">
        <f>HYPERLINK("https://klasma.github.io/Logging_2518/tillsynsmail/A 15202-2023 tillsynsbegäran mail.docx", "A 15202-2023")</f>
        <v/>
      </c>
      <c r="Z16">
        <f>HYPERLINK("https://klasma.github.io/Logging_2518/fåglar/A 15202-2023 prioriterade fågelarter.docx", "A 15202-2023")</f>
        <v/>
      </c>
    </row>
    <row r="17" ht="15" customHeight="1">
      <c r="A17" t="inlineStr">
        <is>
          <t>A 142-2024</t>
        </is>
      </c>
      <c r="B17" s="1" t="n">
        <v>45293</v>
      </c>
      <c r="C17" s="1" t="n">
        <v>45340</v>
      </c>
      <c r="D17" t="inlineStr">
        <is>
          <t>NORRBOTTENS LÄN</t>
        </is>
      </c>
      <c r="E17" t="inlineStr">
        <is>
          <t>ÖVERTORNEÅ</t>
        </is>
      </c>
      <c r="G17" t="n">
        <v>9</v>
      </c>
      <c r="H17" t="n">
        <v>1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Garnlav
Granticka
Spillkråka
Stuplav</t>
        </is>
      </c>
      <c r="S17">
        <f>HYPERLINK("https://klasma.github.io/Logging_2518/artfynd/A 142-2024 artfynd.xlsx", "A 142-2024")</f>
        <v/>
      </c>
      <c r="T17">
        <f>HYPERLINK("https://klasma.github.io/Logging_2518/kartor/A 142-2024 karta.png", "A 142-2024")</f>
        <v/>
      </c>
      <c r="V17">
        <f>HYPERLINK("https://klasma.github.io/Logging_2518/klagomål/A 142-2024 FSC-klagomål.docx", "A 142-2024")</f>
        <v/>
      </c>
      <c r="W17">
        <f>HYPERLINK("https://klasma.github.io/Logging_2518/klagomålsmail/A 142-2024 FSC-klagomål mail.docx", "A 142-2024")</f>
        <v/>
      </c>
      <c r="X17">
        <f>HYPERLINK("https://klasma.github.io/Logging_2518/tillsyn/A 142-2024 tillsynsbegäran.docx", "A 142-2024")</f>
        <v/>
      </c>
      <c r="Y17">
        <f>HYPERLINK("https://klasma.github.io/Logging_2518/tillsynsmail/A 142-2024 tillsynsbegäran mail.docx", "A 142-2024")</f>
        <v/>
      </c>
      <c r="Z17">
        <f>HYPERLINK("https://klasma.github.io/Logging_2518/fåglar/A 142-2024 prioriterade fågelarter.docx", "A 142-2024")</f>
        <v/>
      </c>
    </row>
    <row r="18" ht="15" customHeight="1">
      <c r="A18" t="inlineStr">
        <is>
          <t>A 3458-2021</t>
        </is>
      </c>
      <c r="B18" s="1" t="n">
        <v>44216</v>
      </c>
      <c r="C18" s="1" t="n">
        <v>45340</v>
      </c>
      <c r="D18" t="inlineStr">
        <is>
          <t>NORRBOTTENS LÄN</t>
        </is>
      </c>
      <c r="E18" t="inlineStr">
        <is>
          <t>ÖVERTORNEÅ</t>
        </is>
      </c>
      <c r="G18" t="n">
        <v>3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Doftskinn
Gulnål</t>
        </is>
      </c>
      <c r="S18">
        <f>HYPERLINK("https://klasma.github.io/Logging_2518/artfynd/A 3458-2021 artfynd.xlsx", "A 3458-2021")</f>
        <v/>
      </c>
      <c r="T18">
        <f>HYPERLINK("https://klasma.github.io/Logging_2518/kartor/A 3458-2021 karta.png", "A 3458-2021")</f>
        <v/>
      </c>
      <c r="U18">
        <f>HYPERLINK("https://klasma.github.io/Logging_2518/knärot/A 3458-2021 karta knärot.png", "A 3458-2021")</f>
        <v/>
      </c>
      <c r="V18">
        <f>HYPERLINK("https://klasma.github.io/Logging_2518/klagomål/A 3458-2021 FSC-klagomål.docx", "A 3458-2021")</f>
        <v/>
      </c>
      <c r="W18">
        <f>HYPERLINK("https://klasma.github.io/Logging_2518/klagomålsmail/A 3458-2021 FSC-klagomål mail.docx", "A 3458-2021")</f>
        <v/>
      </c>
      <c r="X18">
        <f>HYPERLINK("https://klasma.github.io/Logging_2518/tillsyn/A 3458-2021 tillsynsbegäran.docx", "A 3458-2021")</f>
        <v/>
      </c>
      <c r="Y18">
        <f>HYPERLINK("https://klasma.github.io/Logging_2518/tillsynsmail/A 3458-2021 tillsynsbegäran mail.docx", "A 3458-2021")</f>
        <v/>
      </c>
    </row>
    <row r="19" ht="15" customHeight="1">
      <c r="A19" t="inlineStr">
        <is>
          <t>A 46019-2021</t>
        </is>
      </c>
      <c r="B19" s="1" t="n">
        <v>44441</v>
      </c>
      <c r="C19" s="1" t="n">
        <v>45340</v>
      </c>
      <c r="D19" t="inlineStr">
        <is>
          <t>NORRBOTTENS LÄN</t>
        </is>
      </c>
      <c r="E19" t="inlineStr">
        <is>
          <t>ÖVERTORNEÅ</t>
        </is>
      </c>
      <c r="G19" t="n">
        <v>2.7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Doftskinn
Gulnål</t>
        </is>
      </c>
      <c r="S19">
        <f>HYPERLINK("https://klasma.github.io/Logging_2518/artfynd/A 46019-2021 artfynd.xlsx", "A 46019-2021")</f>
        <v/>
      </c>
      <c r="T19">
        <f>HYPERLINK("https://klasma.github.io/Logging_2518/kartor/A 46019-2021 karta.png", "A 46019-2021")</f>
        <v/>
      </c>
      <c r="U19">
        <f>HYPERLINK("https://klasma.github.io/Logging_2518/knärot/A 46019-2021 karta knärot.png", "A 46019-2021")</f>
        <v/>
      </c>
      <c r="V19">
        <f>HYPERLINK("https://klasma.github.io/Logging_2518/klagomål/A 46019-2021 FSC-klagomål.docx", "A 46019-2021")</f>
        <v/>
      </c>
      <c r="W19">
        <f>HYPERLINK("https://klasma.github.io/Logging_2518/klagomålsmail/A 46019-2021 FSC-klagomål mail.docx", "A 46019-2021")</f>
        <v/>
      </c>
      <c r="X19">
        <f>HYPERLINK("https://klasma.github.io/Logging_2518/tillsyn/A 46019-2021 tillsynsbegäran.docx", "A 46019-2021")</f>
        <v/>
      </c>
      <c r="Y19">
        <f>HYPERLINK("https://klasma.github.io/Logging_2518/tillsynsmail/A 46019-2021 tillsynsbegäran mail.docx", "A 46019-2021")</f>
        <v/>
      </c>
    </row>
    <row r="20" ht="15" customHeight="1">
      <c r="A20" t="inlineStr">
        <is>
          <t>A 19133-2023</t>
        </is>
      </c>
      <c r="B20" s="1" t="n">
        <v>45044</v>
      </c>
      <c r="C20" s="1" t="n">
        <v>45340</v>
      </c>
      <c r="D20" t="inlineStr">
        <is>
          <t>NORRBOTTENS LÄN</t>
        </is>
      </c>
      <c r="E20" t="inlineStr">
        <is>
          <t>ÖVERTORNEÅ</t>
        </is>
      </c>
      <c r="G20" t="n">
        <v>11.4</v>
      </c>
      <c r="H20" t="n">
        <v>2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Garnlav
Järpe
Spillkråka</t>
        </is>
      </c>
      <c r="S20">
        <f>HYPERLINK("https://klasma.github.io/Logging_2518/artfynd/A 19133-2023 artfynd.xlsx", "A 19133-2023")</f>
        <v/>
      </c>
      <c r="T20">
        <f>HYPERLINK("https://klasma.github.io/Logging_2518/kartor/A 19133-2023 karta.png", "A 19133-2023")</f>
        <v/>
      </c>
      <c r="V20">
        <f>HYPERLINK("https://klasma.github.io/Logging_2518/klagomål/A 19133-2023 FSC-klagomål.docx", "A 19133-2023")</f>
        <v/>
      </c>
      <c r="W20">
        <f>HYPERLINK("https://klasma.github.io/Logging_2518/klagomålsmail/A 19133-2023 FSC-klagomål mail.docx", "A 19133-2023")</f>
        <v/>
      </c>
      <c r="X20">
        <f>HYPERLINK("https://klasma.github.io/Logging_2518/tillsyn/A 19133-2023 tillsynsbegäran.docx", "A 19133-2023")</f>
        <v/>
      </c>
      <c r="Y20">
        <f>HYPERLINK("https://klasma.github.io/Logging_2518/tillsynsmail/A 19133-2023 tillsynsbegäran mail.docx", "A 19133-2023")</f>
        <v/>
      </c>
      <c r="Z20">
        <f>HYPERLINK("https://klasma.github.io/Logging_2518/fåglar/A 19133-2023 prioriterade fågelarter.docx", "A 19133-2023")</f>
        <v/>
      </c>
    </row>
    <row r="21" ht="15" customHeight="1">
      <c r="A21" t="inlineStr">
        <is>
          <t>A 30293-2023</t>
        </is>
      </c>
      <c r="B21" s="1" t="n">
        <v>45111</v>
      </c>
      <c r="C21" s="1" t="n">
        <v>45340</v>
      </c>
      <c r="D21" t="inlineStr">
        <is>
          <t>NORRBOTTENS LÄN</t>
        </is>
      </c>
      <c r="E21" t="inlineStr">
        <is>
          <t>ÖVERTORNEÅ</t>
        </is>
      </c>
      <c r="G21" t="n">
        <v>3.8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Spillkråka
Violmussling</t>
        </is>
      </c>
      <c r="S21">
        <f>HYPERLINK("https://klasma.github.io/Logging_2518/artfynd/A 30293-2023 artfynd.xlsx", "A 30293-2023")</f>
        <v/>
      </c>
      <c r="T21">
        <f>HYPERLINK("https://klasma.github.io/Logging_2518/kartor/A 30293-2023 karta.png", "A 30293-2023")</f>
        <v/>
      </c>
      <c r="V21">
        <f>HYPERLINK("https://klasma.github.io/Logging_2518/klagomål/A 30293-2023 FSC-klagomål.docx", "A 30293-2023")</f>
        <v/>
      </c>
      <c r="W21">
        <f>HYPERLINK("https://klasma.github.io/Logging_2518/klagomålsmail/A 30293-2023 FSC-klagomål mail.docx", "A 30293-2023")</f>
        <v/>
      </c>
      <c r="X21">
        <f>HYPERLINK("https://klasma.github.io/Logging_2518/tillsyn/A 30293-2023 tillsynsbegäran.docx", "A 30293-2023")</f>
        <v/>
      </c>
      <c r="Y21">
        <f>HYPERLINK("https://klasma.github.io/Logging_2518/tillsynsmail/A 30293-2023 tillsynsbegäran mail.docx", "A 30293-2023")</f>
        <v/>
      </c>
      <c r="Z21">
        <f>HYPERLINK("https://klasma.github.io/Logging_2518/fåglar/A 30293-2023 prioriterade fågelarter.docx", "A 30293-2023")</f>
        <v/>
      </c>
    </row>
    <row r="22" ht="15" customHeight="1">
      <c r="A22" t="inlineStr">
        <is>
          <t>A 38176-2023</t>
        </is>
      </c>
      <c r="B22" s="1" t="n">
        <v>45161</v>
      </c>
      <c r="C22" s="1" t="n">
        <v>45340</v>
      </c>
      <c r="D22" t="inlineStr">
        <is>
          <t>NORRBOTTENS LÄN</t>
        </is>
      </c>
      <c r="E22" t="inlineStr">
        <is>
          <t>ÖVERTORNEÅ</t>
        </is>
      </c>
      <c r="F22" t="inlineStr">
        <is>
          <t>Sveaskog</t>
        </is>
      </c>
      <c r="G22" t="n">
        <v>1.3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Garnlav
Bårdlav
Stuplav</t>
        </is>
      </c>
      <c r="S22">
        <f>HYPERLINK("https://klasma.github.io/Logging_2518/artfynd/A 38176-2023 artfynd.xlsx", "A 38176-2023")</f>
        <v/>
      </c>
      <c r="T22">
        <f>HYPERLINK("https://klasma.github.io/Logging_2518/kartor/A 38176-2023 karta.png", "A 38176-2023")</f>
        <v/>
      </c>
      <c r="V22">
        <f>HYPERLINK("https://klasma.github.io/Logging_2518/klagomål/A 38176-2023 FSC-klagomål.docx", "A 38176-2023")</f>
        <v/>
      </c>
      <c r="W22">
        <f>HYPERLINK("https://klasma.github.io/Logging_2518/klagomålsmail/A 38176-2023 FSC-klagomål mail.docx", "A 38176-2023")</f>
        <v/>
      </c>
      <c r="X22">
        <f>HYPERLINK("https://klasma.github.io/Logging_2518/tillsyn/A 38176-2023 tillsynsbegäran.docx", "A 38176-2023")</f>
        <v/>
      </c>
      <c r="Y22">
        <f>HYPERLINK("https://klasma.github.io/Logging_2518/tillsynsmail/A 38176-2023 tillsynsbegäran mail.docx", "A 38176-2023")</f>
        <v/>
      </c>
    </row>
    <row r="23" ht="15" customHeight="1">
      <c r="A23" t="inlineStr">
        <is>
          <t>A 65260-2023</t>
        </is>
      </c>
      <c r="B23" s="1" t="n">
        <v>45291</v>
      </c>
      <c r="C23" s="1" t="n">
        <v>45340</v>
      </c>
      <c r="D23" t="inlineStr">
        <is>
          <t>NORRBOTTENS LÄN</t>
        </is>
      </c>
      <c r="E23" t="inlineStr">
        <is>
          <t>ÖVERTORNEÅ</t>
        </is>
      </c>
      <c r="G23" t="n">
        <v>7.7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Garnlav
Spillkråka
Vedticka</t>
        </is>
      </c>
      <c r="S23">
        <f>HYPERLINK("https://klasma.github.io/Logging_2518/artfynd/A 65260-2023 artfynd.xlsx", "A 65260-2023")</f>
        <v/>
      </c>
      <c r="T23">
        <f>HYPERLINK("https://klasma.github.io/Logging_2518/kartor/A 65260-2023 karta.png", "A 65260-2023")</f>
        <v/>
      </c>
      <c r="V23">
        <f>HYPERLINK("https://klasma.github.io/Logging_2518/klagomål/A 65260-2023 FSC-klagomål.docx", "A 65260-2023")</f>
        <v/>
      </c>
      <c r="W23">
        <f>HYPERLINK("https://klasma.github.io/Logging_2518/klagomålsmail/A 65260-2023 FSC-klagomål mail.docx", "A 65260-2023")</f>
        <v/>
      </c>
      <c r="X23">
        <f>HYPERLINK("https://klasma.github.io/Logging_2518/tillsyn/A 65260-2023 tillsynsbegäran.docx", "A 65260-2023")</f>
        <v/>
      </c>
      <c r="Y23">
        <f>HYPERLINK("https://klasma.github.io/Logging_2518/tillsynsmail/A 65260-2023 tillsynsbegäran mail.docx", "A 65260-2023")</f>
        <v/>
      </c>
      <c r="Z23">
        <f>HYPERLINK("https://klasma.github.io/Logging_2518/fåglar/A 65260-2023 prioriterade fågelarter.docx", "A 65260-2023")</f>
        <v/>
      </c>
    </row>
    <row r="24" ht="15" customHeight="1">
      <c r="A24" t="inlineStr">
        <is>
          <t>A 23307-2019</t>
        </is>
      </c>
      <c r="B24" s="1" t="n">
        <v>43593</v>
      </c>
      <c r="C24" s="1" t="n">
        <v>45340</v>
      </c>
      <c r="D24" t="inlineStr">
        <is>
          <t>NORRBOTTENS LÄN</t>
        </is>
      </c>
      <c r="E24" t="inlineStr">
        <is>
          <t>ÖVERTORNEÅ</t>
        </is>
      </c>
      <c r="F24" t="inlineStr">
        <is>
          <t>Sveaskog</t>
        </is>
      </c>
      <c r="G24" t="n">
        <v>34.4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Stjärntagging</t>
        </is>
      </c>
      <c r="S24">
        <f>HYPERLINK("https://klasma.github.io/Logging_2518/artfynd/A 23307-2019 artfynd.xlsx", "A 23307-2019")</f>
        <v/>
      </c>
      <c r="T24">
        <f>HYPERLINK("https://klasma.github.io/Logging_2518/kartor/A 23307-2019 karta.png", "A 23307-2019")</f>
        <v/>
      </c>
      <c r="V24">
        <f>HYPERLINK("https://klasma.github.io/Logging_2518/klagomål/A 23307-2019 FSC-klagomål.docx", "A 23307-2019")</f>
        <v/>
      </c>
      <c r="W24">
        <f>HYPERLINK("https://klasma.github.io/Logging_2518/klagomålsmail/A 23307-2019 FSC-klagomål mail.docx", "A 23307-2019")</f>
        <v/>
      </c>
      <c r="X24">
        <f>HYPERLINK("https://klasma.github.io/Logging_2518/tillsyn/A 23307-2019 tillsynsbegäran.docx", "A 23307-2019")</f>
        <v/>
      </c>
      <c r="Y24">
        <f>HYPERLINK("https://klasma.github.io/Logging_2518/tillsynsmail/A 23307-2019 tillsynsbegäran mail.docx", "A 23307-2019")</f>
        <v/>
      </c>
    </row>
    <row r="25" ht="15" customHeight="1">
      <c r="A25" t="inlineStr">
        <is>
          <t>A 48789-2021</t>
        </is>
      </c>
      <c r="B25" s="1" t="n">
        <v>44452</v>
      </c>
      <c r="C25" s="1" t="n">
        <v>45340</v>
      </c>
      <c r="D25" t="inlineStr">
        <is>
          <t>NORRBOTTENS LÄN</t>
        </is>
      </c>
      <c r="E25" t="inlineStr">
        <is>
          <t>ÖVERTORNEÅ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Revlummer</t>
        </is>
      </c>
      <c r="S25">
        <f>HYPERLINK("https://klasma.github.io/Logging_2518/artfynd/A 48789-2021 artfynd.xlsx", "A 48789-2021")</f>
        <v/>
      </c>
      <c r="T25">
        <f>HYPERLINK("https://klasma.github.io/Logging_2518/kartor/A 48789-2021 karta.png", "A 48789-2021")</f>
        <v/>
      </c>
      <c r="V25">
        <f>HYPERLINK("https://klasma.github.io/Logging_2518/klagomål/A 48789-2021 FSC-klagomål.docx", "A 48789-2021")</f>
        <v/>
      </c>
      <c r="W25">
        <f>HYPERLINK("https://klasma.github.io/Logging_2518/klagomålsmail/A 48789-2021 FSC-klagomål mail.docx", "A 48789-2021")</f>
        <v/>
      </c>
      <c r="X25">
        <f>HYPERLINK("https://klasma.github.io/Logging_2518/tillsyn/A 48789-2021 tillsynsbegäran.docx", "A 48789-2021")</f>
        <v/>
      </c>
      <c r="Y25">
        <f>HYPERLINK("https://klasma.github.io/Logging_2518/tillsynsmail/A 48789-2021 tillsynsbegäran mail.docx", "A 48789-2021")</f>
        <v/>
      </c>
    </row>
    <row r="26" ht="15" customHeight="1">
      <c r="A26" t="inlineStr">
        <is>
          <t>A 22668-2022</t>
        </is>
      </c>
      <c r="B26" s="1" t="n">
        <v>44714</v>
      </c>
      <c r="C26" s="1" t="n">
        <v>45340</v>
      </c>
      <c r="D26" t="inlineStr">
        <is>
          <t>NORRBOTTENS LÄN</t>
        </is>
      </c>
      <c r="E26" t="inlineStr">
        <is>
          <t>ÖVERTORNEÅ</t>
        </is>
      </c>
      <c r="G26" t="n">
        <v>14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Garnlav</t>
        </is>
      </c>
      <c r="S26">
        <f>HYPERLINK("https://klasma.github.io/Logging_2518/artfynd/A 22668-2022 artfynd.xlsx", "A 22668-2022")</f>
        <v/>
      </c>
      <c r="T26">
        <f>HYPERLINK("https://klasma.github.io/Logging_2518/kartor/A 22668-2022 karta.png", "A 22668-2022")</f>
        <v/>
      </c>
      <c r="V26">
        <f>HYPERLINK("https://klasma.github.io/Logging_2518/klagomål/A 22668-2022 FSC-klagomål.docx", "A 22668-2022")</f>
        <v/>
      </c>
      <c r="W26">
        <f>HYPERLINK("https://klasma.github.io/Logging_2518/klagomålsmail/A 22668-2022 FSC-klagomål mail.docx", "A 22668-2022")</f>
        <v/>
      </c>
      <c r="X26">
        <f>HYPERLINK("https://klasma.github.io/Logging_2518/tillsyn/A 22668-2022 tillsynsbegäran.docx", "A 22668-2022")</f>
        <v/>
      </c>
      <c r="Y26">
        <f>HYPERLINK("https://klasma.github.io/Logging_2518/tillsynsmail/A 22668-2022 tillsynsbegäran mail.docx", "A 22668-2022")</f>
        <v/>
      </c>
    </row>
    <row r="27" ht="15" customHeight="1">
      <c r="A27" t="inlineStr">
        <is>
          <t>A 43057-2022</t>
        </is>
      </c>
      <c r="B27" s="1" t="n">
        <v>44833</v>
      </c>
      <c r="C27" s="1" t="n">
        <v>45340</v>
      </c>
      <c r="D27" t="inlineStr">
        <is>
          <t>NORRBOTTENS LÄN</t>
        </is>
      </c>
      <c r="E27" t="inlineStr">
        <is>
          <t>ÖVERTORNEÅ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Garnlav</t>
        </is>
      </c>
      <c r="S27">
        <f>HYPERLINK("https://klasma.github.io/Logging_2518/artfynd/A 43057-2022 artfynd.xlsx", "A 43057-2022")</f>
        <v/>
      </c>
      <c r="T27">
        <f>HYPERLINK("https://klasma.github.io/Logging_2518/kartor/A 43057-2022 karta.png", "A 43057-2022")</f>
        <v/>
      </c>
      <c r="V27">
        <f>HYPERLINK("https://klasma.github.io/Logging_2518/klagomål/A 43057-2022 FSC-klagomål.docx", "A 43057-2022")</f>
        <v/>
      </c>
      <c r="W27">
        <f>HYPERLINK("https://klasma.github.io/Logging_2518/klagomålsmail/A 43057-2022 FSC-klagomål mail.docx", "A 43057-2022")</f>
        <v/>
      </c>
      <c r="X27">
        <f>HYPERLINK("https://klasma.github.io/Logging_2518/tillsyn/A 43057-2022 tillsynsbegäran.docx", "A 43057-2022")</f>
        <v/>
      </c>
      <c r="Y27">
        <f>HYPERLINK("https://klasma.github.io/Logging_2518/tillsynsmail/A 43057-2022 tillsynsbegäran mail.docx", "A 43057-2022")</f>
        <v/>
      </c>
    </row>
    <row r="28" ht="15" customHeight="1">
      <c r="A28" t="inlineStr">
        <is>
          <t>A 44248-2022</t>
        </is>
      </c>
      <c r="B28" s="1" t="n">
        <v>44839</v>
      </c>
      <c r="C28" s="1" t="n">
        <v>45340</v>
      </c>
      <c r="D28" t="inlineStr">
        <is>
          <t>NORRBOTTENS LÄN</t>
        </is>
      </c>
      <c r="E28" t="inlineStr">
        <is>
          <t>ÖVERTORNEÅ</t>
        </is>
      </c>
      <c r="F28" t="inlineStr">
        <is>
          <t>Sveaskog</t>
        </is>
      </c>
      <c r="G28" t="n">
        <v>28.7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Garnlav
Revlummer</t>
        </is>
      </c>
      <c r="S28">
        <f>HYPERLINK("https://klasma.github.io/Logging_2518/artfynd/A 44248-2022 artfynd.xlsx", "A 44248-2022")</f>
        <v/>
      </c>
      <c r="T28">
        <f>HYPERLINK("https://klasma.github.io/Logging_2518/kartor/A 44248-2022 karta.png", "A 44248-2022")</f>
        <v/>
      </c>
      <c r="V28">
        <f>HYPERLINK("https://klasma.github.io/Logging_2518/klagomål/A 44248-2022 FSC-klagomål.docx", "A 44248-2022")</f>
        <v/>
      </c>
      <c r="W28">
        <f>HYPERLINK("https://klasma.github.io/Logging_2518/klagomålsmail/A 44248-2022 FSC-klagomål mail.docx", "A 44248-2022")</f>
        <v/>
      </c>
      <c r="X28">
        <f>HYPERLINK("https://klasma.github.io/Logging_2518/tillsyn/A 44248-2022 tillsynsbegäran.docx", "A 44248-2022")</f>
        <v/>
      </c>
      <c r="Y28">
        <f>HYPERLINK("https://klasma.github.io/Logging_2518/tillsynsmail/A 44248-2022 tillsynsbegäran mail.docx", "A 44248-2022")</f>
        <v/>
      </c>
    </row>
    <row r="29" ht="15" customHeight="1">
      <c r="A29" t="inlineStr">
        <is>
          <t>A 50957-2023</t>
        </is>
      </c>
      <c r="B29" s="1" t="n">
        <v>45211</v>
      </c>
      <c r="C29" s="1" t="n">
        <v>45340</v>
      </c>
      <c r="D29" t="inlineStr">
        <is>
          <t>NORRBOTTENS LÄN</t>
        </is>
      </c>
      <c r="E29" t="inlineStr">
        <is>
          <t>ÖVERTORNEÅ</t>
        </is>
      </c>
      <c r="G29" t="n">
        <v>34.4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Lavskrika</t>
        </is>
      </c>
      <c r="S29">
        <f>HYPERLINK("https://klasma.github.io/Logging_2518/artfynd/A 50957-2023 artfynd.xlsx", "A 50957-2023")</f>
        <v/>
      </c>
      <c r="T29">
        <f>HYPERLINK("https://klasma.github.io/Logging_2518/kartor/A 50957-2023 karta.png", "A 50957-2023")</f>
        <v/>
      </c>
      <c r="V29">
        <f>HYPERLINK("https://klasma.github.io/Logging_2518/klagomål/A 50957-2023 FSC-klagomål.docx", "A 50957-2023")</f>
        <v/>
      </c>
      <c r="W29">
        <f>HYPERLINK("https://klasma.github.io/Logging_2518/klagomålsmail/A 50957-2023 FSC-klagomål mail.docx", "A 50957-2023")</f>
        <v/>
      </c>
      <c r="X29">
        <f>HYPERLINK("https://klasma.github.io/Logging_2518/tillsyn/A 50957-2023 tillsynsbegäran.docx", "A 50957-2023")</f>
        <v/>
      </c>
      <c r="Y29">
        <f>HYPERLINK("https://klasma.github.io/Logging_2518/tillsynsmail/A 50957-2023 tillsynsbegäran mail.docx", "A 50957-2023")</f>
        <v/>
      </c>
      <c r="Z29">
        <f>HYPERLINK("https://klasma.github.io/Logging_2518/fåglar/A 50957-2023 prioriterade fågelarter.docx", "A 50957-2023")</f>
        <v/>
      </c>
    </row>
    <row r="30" ht="15" customHeight="1">
      <c r="A30" t="inlineStr">
        <is>
          <t>A 61841-2023</t>
        </is>
      </c>
      <c r="B30" s="1" t="n">
        <v>45266</v>
      </c>
      <c r="C30" s="1" t="n">
        <v>45340</v>
      </c>
      <c r="D30" t="inlineStr">
        <is>
          <t>NORRBOTTENS LÄN</t>
        </is>
      </c>
      <c r="E30" t="inlineStr">
        <is>
          <t>ÖVERTORNEÅ</t>
        </is>
      </c>
      <c r="G30" t="n">
        <v>4.7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Granticka</t>
        </is>
      </c>
      <c r="S30">
        <f>HYPERLINK("https://klasma.github.io/Logging_2518/artfynd/A 61841-2023 artfynd.xlsx", "A 61841-2023")</f>
        <v/>
      </c>
      <c r="T30">
        <f>HYPERLINK("https://klasma.github.io/Logging_2518/kartor/A 61841-2023 karta.png", "A 61841-2023")</f>
        <v/>
      </c>
      <c r="V30">
        <f>HYPERLINK("https://klasma.github.io/Logging_2518/klagomål/A 61841-2023 FSC-klagomål.docx", "A 61841-2023")</f>
        <v/>
      </c>
      <c r="W30">
        <f>HYPERLINK("https://klasma.github.io/Logging_2518/klagomålsmail/A 61841-2023 FSC-klagomål mail.docx", "A 61841-2023")</f>
        <v/>
      </c>
      <c r="X30">
        <f>HYPERLINK("https://klasma.github.io/Logging_2518/tillsyn/A 61841-2023 tillsynsbegäran.docx", "A 61841-2023")</f>
        <v/>
      </c>
      <c r="Y30">
        <f>HYPERLINK("https://klasma.github.io/Logging_2518/tillsynsmail/A 61841-2023 tillsynsbegäran mail.docx", "A 61841-2023")</f>
        <v/>
      </c>
    </row>
    <row r="31" ht="15" customHeight="1">
      <c r="A31" t="inlineStr">
        <is>
          <t>A 62199-2023</t>
        </is>
      </c>
      <c r="B31" s="1" t="n">
        <v>45267</v>
      </c>
      <c r="C31" s="1" t="n">
        <v>45340</v>
      </c>
      <c r="D31" t="inlineStr">
        <is>
          <t>NORRBOTTENS LÄN</t>
        </is>
      </c>
      <c r="E31" t="inlineStr">
        <is>
          <t>ÖVERTORNEÅ</t>
        </is>
      </c>
      <c r="G31" t="n">
        <v>3.6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Spillkråka</t>
        </is>
      </c>
      <c r="S31">
        <f>HYPERLINK("https://klasma.github.io/Logging_2518/artfynd/A 62199-2023 artfynd.xlsx", "A 62199-2023")</f>
        <v/>
      </c>
      <c r="T31">
        <f>HYPERLINK("https://klasma.github.io/Logging_2518/kartor/A 62199-2023 karta.png", "A 62199-2023")</f>
        <v/>
      </c>
      <c r="V31">
        <f>HYPERLINK("https://klasma.github.io/Logging_2518/klagomål/A 62199-2023 FSC-klagomål.docx", "A 62199-2023")</f>
        <v/>
      </c>
      <c r="W31">
        <f>HYPERLINK("https://klasma.github.io/Logging_2518/klagomålsmail/A 62199-2023 FSC-klagomål mail.docx", "A 62199-2023")</f>
        <v/>
      </c>
      <c r="X31">
        <f>HYPERLINK("https://klasma.github.io/Logging_2518/tillsyn/A 62199-2023 tillsynsbegäran.docx", "A 62199-2023")</f>
        <v/>
      </c>
      <c r="Y31">
        <f>HYPERLINK("https://klasma.github.io/Logging_2518/tillsynsmail/A 62199-2023 tillsynsbegäran mail.docx", "A 62199-2023")</f>
        <v/>
      </c>
      <c r="Z31">
        <f>HYPERLINK("https://klasma.github.io/Logging_2518/fåglar/A 62199-2023 prioriterade fågelarter.docx", "A 62199-2023")</f>
        <v/>
      </c>
    </row>
    <row r="32" ht="15" customHeight="1">
      <c r="A32" t="inlineStr">
        <is>
          <t>A 29381-2019</t>
        </is>
      </c>
      <c r="B32" s="1" t="n">
        <v>43629</v>
      </c>
      <c r="C32" s="1" t="n">
        <v>45340</v>
      </c>
      <c r="D32" t="inlineStr">
        <is>
          <t>NORRBOTTENS LÄN</t>
        </is>
      </c>
      <c r="E32" t="inlineStr">
        <is>
          <t>ÖVERTORNEÅ</t>
        </is>
      </c>
      <c r="G32" t="n">
        <v>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HYPERLINK("https://klasma.github.io/Logging_2518/artfynd/A 29381-2019 artfynd.xlsx", "A 29381-2019")</f>
        <v/>
      </c>
      <c r="T32">
        <f>HYPERLINK("https://klasma.github.io/Logging_2518/kartor/A 29381-2019 karta.png", "A 29381-2019")</f>
        <v/>
      </c>
      <c r="V32">
        <f>HYPERLINK("https://klasma.github.io/Logging_2518/klagomål/A 29381-2019 FSC-klagomål.docx", "A 29381-2019")</f>
        <v/>
      </c>
      <c r="W32">
        <f>HYPERLINK("https://klasma.github.io/Logging_2518/klagomålsmail/A 29381-2019 FSC-klagomål mail.docx", "A 29381-2019")</f>
        <v/>
      </c>
      <c r="X32">
        <f>HYPERLINK("https://klasma.github.io/Logging_2518/tillsyn/A 29381-2019 tillsynsbegäran.docx", "A 29381-2019")</f>
        <v/>
      </c>
      <c r="Y32">
        <f>HYPERLINK("https://klasma.github.io/Logging_2518/tillsynsmail/A 29381-2019 tillsynsbegäran mail.docx", "A 29381-2019")</f>
        <v/>
      </c>
    </row>
    <row r="33" ht="15" customHeight="1">
      <c r="A33" t="inlineStr">
        <is>
          <t>A 38711-2019</t>
        </is>
      </c>
      <c r="B33" s="1" t="n">
        <v>43686</v>
      </c>
      <c r="C33" s="1" t="n">
        <v>45340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9.4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Kungsörn</t>
        </is>
      </c>
      <c r="S33">
        <f>HYPERLINK("https://klasma.github.io/Logging_2518/artfynd/A 38711-2019 artfynd.xlsx", "A 38711-2019")</f>
        <v/>
      </c>
      <c r="T33">
        <f>HYPERLINK("https://klasma.github.io/Logging_2518/kartor/A 38711-2019 karta.png", "A 38711-2019")</f>
        <v/>
      </c>
      <c r="V33">
        <f>HYPERLINK("https://klasma.github.io/Logging_2518/klagomål/A 38711-2019 FSC-klagomål.docx", "A 38711-2019")</f>
        <v/>
      </c>
      <c r="W33">
        <f>HYPERLINK("https://klasma.github.io/Logging_2518/klagomålsmail/A 38711-2019 FSC-klagomål mail.docx", "A 38711-2019")</f>
        <v/>
      </c>
      <c r="X33">
        <f>HYPERLINK("https://klasma.github.io/Logging_2518/tillsyn/A 38711-2019 tillsynsbegäran.docx", "A 38711-2019")</f>
        <v/>
      </c>
      <c r="Y33">
        <f>HYPERLINK("https://klasma.github.io/Logging_2518/tillsynsmail/A 38711-2019 tillsynsbegäran mail.docx", "A 38711-2019")</f>
        <v/>
      </c>
      <c r="Z33">
        <f>HYPERLINK("https://klasma.github.io/Logging_2518/fåglar/A 38711-2019 prioriterade fågelarter.docx", "A 38711-2019")</f>
        <v/>
      </c>
    </row>
    <row r="34" ht="15" customHeight="1">
      <c r="A34" t="inlineStr">
        <is>
          <t>A 40208-2021</t>
        </is>
      </c>
      <c r="B34" s="1" t="n">
        <v>44418</v>
      </c>
      <c r="C34" s="1" t="n">
        <v>45340</v>
      </c>
      <c r="D34" t="inlineStr">
        <is>
          <t>NORRBOTTENS LÄN</t>
        </is>
      </c>
      <c r="E34" t="inlineStr">
        <is>
          <t>ÖVERTORNEÅ</t>
        </is>
      </c>
      <c r="G34" t="n">
        <v>5.7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Älvstarr</t>
        </is>
      </c>
      <c r="S34">
        <f>HYPERLINK("https://klasma.github.io/Logging_2518/artfynd/A 40208-2021 artfynd.xlsx", "A 40208-2021")</f>
        <v/>
      </c>
      <c r="T34">
        <f>HYPERLINK("https://klasma.github.io/Logging_2518/kartor/A 40208-2021 karta.png", "A 40208-2021")</f>
        <v/>
      </c>
      <c r="V34">
        <f>HYPERLINK("https://klasma.github.io/Logging_2518/klagomål/A 40208-2021 FSC-klagomål.docx", "A 40208-2021")</f>
        <v/>
      </c>
      <c r="W34">
        <f>HYPERLINK("https://klasma.github.io/Logging_2518/klagomålsmail/A 40208-2021 FSC-klagomål mail.docx", "A 40208-2021")</f>
        <v/>
      </c>
      <c r="X34">
        <f>HYPERLINK("https://klasma.github.io/Logging_2518/tillsyn/A 40208-2021 tillsynsbegäran.docx", "A 40208-2021")</f>
        <v/>
      </c>
      <c r="Y34">
        <f>HYPERLINK("https://klasma.github.io/Logging_2518/tillsynsmail/A 40208-2021 tillsynsbegäran mail.docx", "A 40208-2021")</f>
        <v/>
      </c>
    </row>
    <row r="35" ht="15" customHeight="1">
      <c r="A35" t="inlineStr">
        <is>
          <t>A 33029-2022</t>
        </is>
      </c>
      <c r="B35" s="1" t="n">
        <v>44785</v>
      </c>
      <c r="C35" s="1" t="n">
        <v>45340</v>
      </c>
      <c r="D35" t="inlineStr">
        <is>
          <t>NORRBOTTENS LÄN</t>
        </is>
      </c>
      <c r="E35" t="inlineStr">
        <is>
          <t>ÖVERTORNEÅ</t>
        </is>
      </c>
      <c r="G35" t="n">
        <v>10.3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HYPERLINK("https://klasma.github.io/Logging_2518/artfynd/A 33029-2022 artfynd.xlsx", "A 33029-2022")</f>
        <v/>
      </c>
      <c r="T35">
        <f>HYPERLINK("https://klasma.github.io/Logging_2518/kartor/A 33029-2022 karta.png", "A 33029-2022")</f>
        <v/>
      </c>
      <c r="V35">
        <f>HYPERLINK("https://klasma.github.io/Logging_2518/klagomål/A 33029-2022 FSC-klagomål.docx", "A 33029-2022")</f>
        <v/>
      </c>
      <c r="W35">
        <f>HYPERLINK("https://klasma.github.io/Logging_2518/klagomålsmail/A 33029-2022 FSC-klagomål mail.docx", "A 33029-2022")</f>
        <v/>
      </c>
      <c r="X35">
        <f>HYPERLINK("https://klasma.github.io/Logging_2518/tillsyn/A 33029-2022 tillsynsbegäran.docx", "A 33029-2022")</f>
        <v/>
      </c>
      <c r="Y35">
        <f>HYPERLINK("https://klasma.github.io/Logging_2518/tillsynsmail/A 33029-2022 tillsynsbegäran mail.docx", "A 33029-2022")</f>
        <v/>
      </c>
    </row>
    <row r="36" ht="15" customHeight="1">
      <c r="A36" t="inlineStr">
        <is>
          <t>A 34186-2022</t>
        </is>
      </c>
      <c r="B36" s="1" t="n">
        <v>44791</v>
      </c>
      <c r="C36" s="1" t="n">
        <v>45340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33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aspticka</t>
        </is>
      </c>
      <c r="S36">
        <f>HYPERLINK("https://klasma.github.io/Logging_2518/artfynd/A 34186-2022 artfynd.xlsx", "A 34186-2022")</f>
        <v/>
      </c>
      <c r="T36">
        <f>HYPERLINK("https://klasma.github.io/Logging_2518/kartor/A 34186-2022 karta.png", "A 34186-2022")</f>
        <v/>
      </c>
      <c r="V36">
        <f>HYPERLINK("https://klasma.github.io/Logging_2518/klagomål/A 34186-2022 FSC-klagomål.docx", "A 34186-2022")</f>
        <v/>
      </c>
      <c r="W36">
        <f>HYPERLINK("https://klasma.github.io/Logging_2518/klagomålsmail/A 34186-2022 FSC-klagomål mail.docx", "A 34186-2022")</f>
        <v/>
      </c>
      <c r="X36">
        <f>HYPERLINK("https://klasma.github.io/Logging_2518/tillsyn/A 34186-2022 tillsynsbegäran.docx", "A 34186-2022")</f>
        <v/>
      </c>
      <c r="Y36">
        <f>HYPERLINK("https://klasma.github.io/Logging_2518/tillsynsmail/A 34186-2022 tillsynsbegäran mail.docx", "A 34186-2022")</f>
        <v/>
      </c>
    </row>
    <row r="37" ht="15" customHeight="1">
      <c r="A37" t="inlineStr">
        <is>
          <t>A 45665-2022</t>
        </is>
      </c>
      <c r="B37" s="1" t="n">
        <v>44845</v>
      </c>
      <c r="C37" s="1" t="n">
        <v>45340</v>
      </c>
      <c r="D37" t="inlineStr">
        <is>
          <t>NORRBOTTENS LÄN</t>
        </is>
      </c>
      <c r="E37" t="inlineStr">
        <is>
          <t>ÖVERTORNEÅ</t>
        </is>
      </c>
      <c r="F37" t="inlineStr">
        <is>
          <t>Sveaskog</t>
        </is>
      </c>
      <c r="G37" t="n">
        <v>4.6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HYPERLINK("https://klasma.github.io/Logging_2518/artfynd/A 45665-2022 artfynd.xlsx", "A 45665-2022")</f>
        <v/>
      </c>
      <c r="T37">
        <f>HYPERLINK("https://klasma.github.io/Logging_2518/kartor/A 45665-2022 karta.png", "A 45665-2022")</f>
        <v/>
      </c>
      <c r="V37">
        <f>HYPERLINK("https://klasma.github.io/Logging_2518/klagomål/A 45665-2022 FSC-klagomål.docx", "A 45665-2022")</f>
        <v/>
      </c>
      <c r="W37">
        <f>HYPERLINK("https://klasma.github.io/Logging_2518/klagomålsmail/A 45665-2022 FSC-klagomål mail.docx", "A 45665-2022")</f>
        <v/>
      </c>
      <c r="X37">
        <f>HYPERLINK("https://klasma.github.io/Logging_2518/tillsyn/A 45665-2022 tillsynsbegäran.docx", "A 45665-2022")</f>
        <v/>
      </c>
      <c r="Y37">
        <f>HYPERLINK("https://klasma.github.io/Logging_2518/tillsynsmail/A 45665-2022 tillsynsbegäran mail.docx", "A 45665-2022")</f>
        <v/>
      </c>
    </row>
    <row r="38" ht="15" customHeight="1">
      <c r="A38" t="inlineStr">
        <is>
          <t>A 38349-2023</t>
        </is>
      </c>
      <c r="B38" s="1" t="n">
        <v>45161</v>
      </c>
      <c r="C38" s="1" t="n">
        <v>45340</v>
      </c>
      <c r="D38" t="inlineStr">
        <is>
          <t>NORRBOTTENS LÄN</t>
        </is>
      </c>
      <c r="E38" t="inlineStr">
        <is>
          <t>ÖVERTORNEÅ</t>
        </is>
      </c>
      <c r="G38" t="n">
        <v>12.1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HYPERLINK("https://klasma.github.io/Logging_2518/artfynd/A 38349-2023 artfynd.xlsx", "A 38349-2023")</f>
        <v/>
      </c>
      <c r="T38">
        <f>HYPERLINK("https://klasma.github.io/Logging_2518/kartor/A 38349-2023 karta.png", "A 38349-2023")</f>
        <v/>
      </c>
      <c r="V38">
        <f>HYPERLINK("https://klasma.github.io/Logging_2518/klagomål/A 38349-2023 FSC-klagomål.docx", "A 38349-2023")</f>
        <v/>
      </c>
      <c r="W38">
        <f>HYPERLINK("https://klasma.github.io/Logging_2518/klagomålsmail/A 38349-2023 FSC-klagomål mail.docx", "A 38349-2023")</f>
        <v/>
      </c>
      <c r="X38">
        <f>HYPERLINK("https://klasma.github.io/Logging_2518/tillsyn/A 38349-2023 tillsynsbegäran.docx", "A 38349-2023")</f>
        <v/>
      </c>
      <c r="Y38">
        <f>HYPERLINK("https://klasma.github.io/Logging_2518/tillsynsmail/A 38349-2023 tillsynsbegäran mail.docx", "A 38349-2023")</f>
        <v/>
      </c>
    </row>
    <row r="39" ht="15" customHeight="1">
      <c r="A39" t="inlineStr">
        <is>
          <t>A 46378-2023</t>
        </is>
      </c>
      <c r="B39" s="1" t="n">
        <v>45197</v>
      </c>
      <c r="C39" s="1" t="n">
        <v>45340</v>
      </c>
      <c r="D39" t="inlineStr">
        <is>
          <t>NORRBOTTENS LÄN</t>
        </is>
      </c>
      <c r="E39" t="inlineStr">
        <is>
          <t>ÖVERTORNEÅ</t>
        </is>
      </c>
      <c r="F39" t="inlineStr">
        <is>
          <t>Sveaskog</t>
        </is>
      </c>
      <c r="G39" t="n">
        <v>43.9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Kungsörn</t>
        </is>
      </c>
      <c r="S39">
        <f>HYPERLINK("https://klasma.github.io/Logging_2518/artfynd/A 46378-2023 artfynd.xlsx", "A 46378-2023")</f>
        <v/>
      </c>
      <c r="T39">
        <f>HYPERLINK("https://klasma.github.io/Logging_2518/kartor/A 46378-2023 karta.png", "A 46378-2023")</f>
        <v/>
      </c>
      <c r="V39">
        <f>HYPERLINK("https://klasma.github.io/Logging_2518/klagomål/A 46378-2023 FSC-klagomål.docx", "A 46378-2023")</f>
        <v/>
      </c>
      <c r="W39">
        <f>HYPERLINK("https://klasma.github.io/Logging_2518/klagomålsmail/A 46378-2023 FSC-klagomål mail.docx", "A 46378-2023")</f>
        <v/>
      </c>
      <c r="X39">
        <f>HYPERLINK("https://klasma.github.io/Logging_2518/tillsyn/A 46378-2023 tillsynsbegäran.docx", "A 46378-2023")</f>
        <v/>
      </c>
      <c r="Y39">
        <f>HYPERLINK("https://klasma.github.io/Logging_2518/tillsynsmail/A 46378-2023 tillsynsbegäran mail.docx", "A 46378-2023")</f>
        <v/>
      </c>
      <c r="Z39">
        <f>HYPERLINK("https://klasma.github.io/Logging_2518/fåglar/A 46378-2023 prioriterade fågelarter.docx", "A 46378-2023")</f>
        <v/>
      </c>
    </row>
    <row r="40" ht="15" customHeight="1">
      <c r="A40" t="inlineStr">
        <is>
          <t>A 37785-2018</t>
        </is>
      </c>
      <c r="B40" s="1" t="n">
        <v>43335</v>
      </c>
      <c r="C40" s="1" t="n">
        <v>45340</v>
      </c>
      <c r="D40" t="inlineStr">
        <is>
          <t>NORRBOTTENS LÄN</t>
        </is>
      </c>
      <c r="E40" t="inlineStr">
        <is>
          <t>ÖVERTORNEÅ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37880-2018</t>
        </is>
      </c>
      <c r="B41" s="1" t="n">
        <v>43335</v>
      </c>
      <c r="C41" s="1" t="n">
        <v>45340</v>
      </c>
      <c r="D41" t="inlineStr">
        <is>
          <t>NORRBOTTENS LÄN</t>
        </is>
      </c>
      <c r="E41" t="inlineStr">
        <is>
          <t>ÖVERTORNEÅ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38779-2018</t>
        </is>
      </c>
      <c r="B42" s="1" t="n">
        <v>43335</v>
      </c>
      <c r="C42" s="1" t="n">
        <v>45340</v>
      </c>
      <c r="D42" t="inlineStr">
        <is>
          <t>NORRBOTTENS LÄN</t>
        </is>
      </c>
      <c r="E42" t="inlineStr">
        <is>
          <t>ÖVERTORNEÅ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38263-2018</t>
        </is>
      </c>
      <c r="B43" s="1" t="n">
        <v>43339</v>
      </c>
      <c r="C43" s="1" t="n">
        <v>45340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40539-2018</t>
        </is>
      </c>
      <c r="B44" s="1" t="n">
        <v>43342</v>
      </c>
      <c r="C44" s="1" t="n">
        <v>45340</v>
      </c>
      <c r="D44" t="inlineStr">
        <is>
          <t>NORRBOTTENS LÄN</t>
        </is>
      </c>
      <c r="E44" t="inlineStr">
        <is>
          <t>ÖVERTORNEÅ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43051-2018</t>
        </is>
      </c>
      <c r="B45" s="1" t="n">
        <v>43355</v>
      </c>
      <c r="C45" s="1" t="n">
        <v>45340</v>
      </c>
      <c r="D45" t="inlineStr">
        <is>
          <t>NORRBOTTENS LÄN</t>
        </is>
      </c>
      <c r="E45" t="inlineStr">
        <is>
          <t>ÖVERTORNEÅ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43048-2018</t>
        </is>
      </c>
      <c r="B46" s="1" t="n">
        <v>43355</v>
      </c>
      <c r="C46" s="1" t="n">
        <v>45340</v>
      </c>
      <c r="D46" t="inlineStr">
        <is>
          <t>NORRBOTTENS LÄN</t>
        </is>
      </c>
      <c r="E46" t="inlineStr">
        <is>
          <t>ÖVERTORNEÅ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44921-2018</t>
        </is>
      </c>
      <c r="B47" s="1" t="n">
        <v>43360</v>
      </c>
      <c r="C47" s="1" t="n">
        <v>45340</v>
      </c>
      <c r="D47" t="inlineStr">
        <is>
          <t>NORRBOTTENS LÄN</t>
        </is>
      </c>
      <c r="E47" t="inlineStr">
        <is>
          <t>ÖVERTORNEÅ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47198-2018</t>
        </is>
      </c>
      <c r="B48" s="1" t="n">
        <v>43369</v>
      </c>
      <c r="C48" s="1" t="n">
        <v>45340</v>
      </c>
      <c r="D48" t="inlineStr">
        <is>
          <t>NORRBOTTENS LÄN</t>
        </is>
      </c>
      <c r="E48" t="inlineStr">
        <is>
          <t>ÖVERTORNEÅ</t>
        </is>
      </c>
      <c r="G48" t="n">
        <v>11.1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47214-2018</t>
        </is>
      </c>
      <c r="B49" s="1" t="n">
        <v>43369</v>
      </c>
      <c r="C49" s="1" t="n">
        <v>45340</v>
      </c>
      <c r="D49" t="inlineStr">
        <is>
          <t>NORRBOTTENS LÄN</t>
        </is>
      </c>
      <c r="E49" t="inlineStr">
        <is>
          <t>ÖVERTORNEÅ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51665-2018</t>
        </is>
      </c>
      <c r="B50" s="1" t="n">
        <v>43378</v>
      </c>
      <c r="C50" s="1" t="n">
        <v>45340</v>
      </c>
      <c r="D50" t="inlineStr">
        <is>
          <t>NORRBOTTENS LÄN</t>
        </is>
      </c>
      <c r="E50" t="inlineStr">
        <is>
          <t>ÖVERTORNEÅ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54742-2018</t>
        </is>
      </c>
      <c r="B51" s="1" t="n">
        <v>43395</v>
      </c>
      <c r="C51" s="1" t="n">
        <v>45340</v>
      </c>
      <c r="D51" t="inlineStr">
        <is>
          <t>NORRBOTTENS LÄN</t>
        </is>
      </c>
      <c r="E51" t="inlineStr">
        <is>
          <t>ÖVERTORNEÅ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57143-2018</t>
        </is>
      </c>
      <c r="B52" s="1" t="n">
        <v>43396</v>
      </c>
      <c r="C52" s="1" t="n">
        <v>45340</v>
      </c>
      <c r="D52" t="inlineStr">
        <is>
          <t>NORRBOTTENS LÄN</t>
        </is>
      </c>
      <c r="E52" t="inlineStr">
        <is>
          <t>ÖVERTORNEÅ</t>
        </is>
      </c>
      <c r="G52" t="n">
        <v>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59209-2018</t>
        </is>
      </c>
      <c r="B53" s="1" t="n">
        <v>43403</v>
      </c>
      <c r="C53" s="1" t="n">
        <v>45340</v>
      </c>
      <c r="D53" t="inlineStr">
        <is>
          <t>NORRBOTTENS LÄN</t>
        </is>
      </c>
      <c r="E53" t="inlineStr">
        <is>
          <t>ÖVERTORNEÅ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59413-2018</t>
        </is>
      </c>
      <c r="B54" s="1" t="n">
        <v>43418</v>
      </c>
      <c r="C54" s="1" t="n">
        <v>45340</v>
      </c>
      <c r="D54" t="inlineStr">
        <is>
          <t>NORRBOTTENS LÄN</t>
        </is>
      </c>
      <c r="E54" t="inlineStr">
        <is>
          <t>ÖVERTORNEÅ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59414-2018</t>
        </is>
      </c>
      <c r="B55" s="1" t="n">
        <v>43418</v>
      </c>
      <c r="C55" s="1" t="n">
        <v>45340</v>
      </c>
      <c r="D55" t="inlineStr">
        <is>
          <t>NORRBOTTENS LÄN</t>
        </is>
      </c>
      <c r="E55" t="inlineStr">
        <is>
          <t>ÖVERTORNEÅ</t>
        </is>
      </c>
      <c r="G55" t="n">
        <v>11.3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59422-2018</t>
        </is>
      </c>
      <c r="B56" s="1" t="n">
        <v>43418</v>
      </c>
      <c r="C56" s="1" t="n">
        <v>45340</v>
      </c>
      <c r="D56" t="inlineStr">
        <is>
          <t>NORRBOTTENS LÄN</t>
        </is>
      </c>
      <c r="E56" t="inlineStr">
        <is>
          <t>ÖVERTORNEÅ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59417-2018</t>
        </is>
      </c>
      <c r="B57" s="1" t="n">
        <v>43418</v>
      </c>
      <c r="C57" s="1" t="n">
        <v>45340</v>
      </c>
      <c r="D57" t="inlineStr">
        <is>
          <t>NORRBOTTENS LÄN</t>
        </is>
      </c>
      <c r="E57" t="inlineStr">
        <is>
          <t>ÖVERTORNEÅ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59411-2018</t>
        </is>
      </c>
      <c r="B58" s="1" t="n">
        <v>43418</v>
      </c>
      <c r="C58" s="1" t="n">
        <v>45340</v>
      </c>
      <c r="D58" t="inlineStr">
        <is>
          <t>NORRBOTTENS LÄN</t>
        </is>
      </c>
      <c r="E58" t="inlineStr">
        <is>
          <t>ÖVERTORNEÅ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59412-2018</t>
        </is>
      </c>
      <c r="B59" s="1" t="n">
        <v>43418</v>
      </c>
      <c r="C59" s="1" t="n">
        <v>45340</v>
      </c>
      <c r="D59" t="inlineStr">
        <is>
          <t>NORRBOTTENS LÄN</t>
        </is>
      </c>
      <c r="E59" t="inlineStr">
        <is>
          <t>ÖVERTORNEÅ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59899-2018</t>
        </is>
      </c>
      <c r="B60" s="1" t="n">
        <v>43419</v>
      </c>
      <c r="C60" s="1" t="n">
        <v>45340</v>
      </c>
      <c r="D60" t="inlineStr">
        <is>
          <t>NORRBOTTENS LÄN</t>
        </is>
      </c>
      <c r="E60" t="inlineStr">
        <is>
          <t>ÖVERTORNEÅ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64025-2018</t>
        </is>
      </c>
      <c r="B61" s="1" t="n">
        <v>43430</v>
      </c>
      <c r="C61" s="1" t="n">
        <v>45340</v>
      </c>
      <c r="D61" t="inlineStr">
        <is>
          <t>NORRBOTTENS LÄN</t>
        </is>
      </c>
      <c r="E61" t="inlineStr">
        <is>
          <t>ÖVERTORNEÅ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63929-2018</t>
        </is>
      </c>
      <c r="B62" s="1" t="n">
        <v>43430</v>
      </c>
      <c r="C62" s="1" t="n">
        <v>45340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66569-2018</t>
        </is>
      </c>
      <c r="B63" s="1" t="n">
        <v>43437</v>
      </c>
      <c r="C63" s="1" t="n">
        <v>45340</v>
      </c>
      <c r="D63" t="inlineStr">
        <is>
          <t>NORRBOTTENS LÄN</t>
        </is>
      </c>
      <c r="E63" t="inlineStr">
        <is>
          <t>ÖVERTORNEÅ</t>
        </is>
      </c>
      <c r="F63" t="inlineStr">
        <is>
          <t>Sveaskog</t>
        </is>
      </c>
      <c r="G63" t="n">
        <v>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68494-2018</t>
        </is>
      </c>
      <c r="B64" s="1" t="n">
        <v>43442</v>
      </c>
      <c r="C64" s="1" t="n">
        <v>45340</v>
      </c>
      <c r="D64" t="inlineStr">
        <is>
          <t>NORRBOTTENS LÄN</t>
        </is>
      </c>
      <c r="E64" t="inlineStr">
        <is>
          <t>ÖVERTORNEÅ</t>
        </is>
      </c>
      <c r="G64" t="n">
        <v>12.8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69526-2018</t>
        </is>
      </c>
      <c r="B65" s="1" t="n">
        <v>43444</v>
      </c>
      <c r="C65" s="1" t="n">
        <v>45340</v>
      </c>
      <c r="D65" t="inlineStr">
        <is>
          <t>NORRBOTTENS LÄN</t>
        </is>
      </c>
      <c r="E65" t="inlineStr">
        <is>
          <t>ÖVERTORNEÅ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70389-2018</t>
        </is>
      </c>
      <c r="B66" s="1" t="n">
        <v>43446</v>
      </c>
      <c r="C66" s="1" t="n">
        <v>45340</v>
      </c>
      <c r="D66" t="inlineStr">
        <is>
          <t>NORRBOTTENS LÄN</t>
        </is>
      </c>
      <c r="E66" t="inlineStr">
        <is>
          <t>ÖVERTORNEÅ</t>
        </is>
      </c>
      <c r="G66" t="n">
        <v>11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69894-2018</t>
        </is>
      </c>
      <c r="B67" s="1" t="n">
        <v>43447</v>
      </c>
      <c r="C67" s="1" t="n">
        <v>45340</v>
      </c>
      <c r="D67" t="inlineStr">
        <is>
          <t>NORRBOTTENS LÄN</t>
        </is>
      </c>
      <c r="E67" t="inlineStr">
        <is>
          <t>ÖVERTORNEÅ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71053-2018</t>
        </is>
      </c>
      <c r="B68" s="1" t="n">
        <v>43451</v>
      </c>
      <c r="C68" s="1" t="n">
        <v>45340</v>
      </c>
      <c r="D68" t="inlineStr">
        <is>
          <t>NORRBOTTENS LÄN</t>
        </is>
      </c>
      <c r="E68" t="inlineStr">
        <is>
          <t>ÖVERTORNEÅ</t>
        </is>
      </c>
      <c r="G68" t="n">
        <v>13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1399-2019</t>
        </is>
      </c>
      <c r="B69" s="1" t="n">
        <v>43461</v>
      </c>
      <c r="C69" s="1" t="n">
        <v>45340</v>
      </c>
      <c r="D69" t="inlineStr">
        <is>
          <t>NORRBOTTENS LÄN</t>
        </is>
      </c>
      <c r="E69" t="inlineStr">
        <is>
          <t>ÖVERTORNEÅ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4268-2019</t>
        </is>
      </c>
      <c r="B70" s="1" t="n">
        <v>43476</v>
      </c>
      <c r="C70" s="1" t="n">
        <v>45340</v>
      </c>
      <c r="D70" t="inlineStr">
        <is>
          <t>NORRBOTTENS LÄN</t>
        </is>
      </c>
      <c r="E70" t="inlineStr">
        <is>
          <t>ÖVERTORNEÅ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4264-2019</t>
        </is>
      </c>
      <c r="B71" s="1" t="n">
        <v>43476</v>
      </c>
      <c r="C71" s="1" t="n">
        <v>45340</v>
      </c>
      <c r="D71" t="inlineStr">
        <is>
          <t>NORRBOTTENS LÄN</t>
        </is>
      </c>
      <c r="E71" t="inlineStr">
        <is>
          <t>ÖVERTORNEÅ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5733-2019</t>
        </is>
      </c>
      <c r="B72" s="1" t="n">
        <v>43482</v>
      </c>
      <c r="C72" s="1" t="n">
        <v>45340</v>
      </c>
      <c r="D72" t="inlineStr">
        <is>
          <t>NORRBOTTENS LÄN</t>
        </is>
      </c>
      <c r="E72" t="inlineStr">
        <is>
          <t>ÖVERTORNEÅ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4774-2019</t>
        </is>
      </c>
      <c r="B73" s="1" t="n">
        <v>43486</v>
      </c>
      <c r="C73" s="1" t="n">
        <v>45340</v>
      </c>
      <c r="D73" t="inlineStr">
        <is>
          <t>NORRBOTTENS LÄN</t>
        </is>
      </c>
      <c r="E73" t="inlineStr">
        <is>
          <t>ÖVERTORNEÅ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6685-2019</t>
        </is>
      </c>
      <c r="B74" s="1" t="n">
        <v>43488</v>
      </c>
      <c r="C74" s="1" t="n">
        <v>45340</v>
      </c>
      <c r="D74" t="inlineStr">
        <is>
          <t>NORRBOTTENS LÄN</t>
        </is>
      </c>
      <c r="E74" t="inlineStr">
        <is>
          <t>ÖVERTORNEÅ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7291-2019</t>
        </is>
      </c>
      <c r="B75" s="1" t="n">
        <v>43490</v>
      </c>
      <c r="C75" s="1" t="n">
        <v>45340</v>
      </c>
      <c r="D75" t="inlineStr">
        <is>
          <t>NORRBOTTENS LÄN</t>
        </is>
      </c>
      <c r="E75" t="inlineStr">
        <is>
          <t>ÖVERTORNEÅ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7287-2019</t>
        </is>
      </c>
      <c r="B76" s="1" t="n">
        <v>43490</v>
      </c>
      <c r="C76" s="1" t="n">
        <v>45340</v>
      </c>
      <c r="D76" t="inlineStr">
        <is>
          <t>NORRBOTTENS LÄN</t>
        </is>
      </c>
      <c r="E76" t="inlineStr">
        <is>
          <t>ÖVERTORNEÅ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6893-2019</t>
        </is>
      </c>
      <c r="B77" s="1" t="n">
        <v>43495</v>
      </c>
      <c r="C77" s="1" t="n">
        <v>45340</v>
      </c>
      <c r="D77" t="inlineStr">
        <is>
          <t>NORRBOTTENS LÄN</t>
        </is>
      </c>
      <c r="E77" t="inlineStr">
        <is>
          <t>ÖVERTORNEÅ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8871-2019</t>
        </is>
      </c>
      <c r="B78" s="1" t="n">
        <v>43503</v>
      </c>
      <c r="C78" s="1" t="n">
        <v>45340</v>
      </c>
      <c r="D78" t="inlineStr">
        <is>
          <t>NORRBOTTENS LÄN</t>
        </is>
      </c>
      <c r="E78" t="inlineStr">
        <is>
          <t>ÖVERTORNEÅ</t>
        </is>
      </c>
      <c r="G78" t="n">
        <v>11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8950-2019</t>
        </is>
      </c>
      <c r="B79" s="1" t="n">
        <v>43503</v>
      </c>
      <c r="C79" s="1" t="n">
        <v>45340</v>
      </c>
      <c r="D79" t="inlineStr">
        <is>
          <t>NORRBOTTENS LÄN</t>
        </is>
      </c>
      <c r="E79" t="inlineStr">
        <is>
          <t>ÖVERTORNEÅ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8949-2019</t>
        </is>
      </c>
      <c r="B80" s="1" t="n">
        <v>43503</v>
      </c>
      <c r="C80" s="1" t="n">
        <v>45340</v>
      </c>
      <c r="D80" t="inlineStr">
        <is>
          <t>NORRBOTTENS LÄN</t>
        </is>
      </c>
      <c r="E80" t="inlineStr">
        <is>
          <t>ÖVERTORNEÅ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9413-2019</t>
        </is>
      </c>
      <c r="B81" s="1" t="n">
        <v>43507</v>
      </c>
      <c r="C81" s="1" t="n">
        <v>45340</v>
      </c>
      <c r="D81" t="inlineStr">
        <is>
          <t>NORRBOTTENS LÄN</t>
        </is>
      </c>
      <c r="E81" t="inlineStr">
        <is>
          <t>ÖVERTORNEÅ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10837-2019</t>
        </is>
      </c>
      <c r="B82" s="1" t="n">
        <v>43514</v>
      </c>
      <c r="C82" s="1" t="n">
        <v>45340</v>
      </c>
      <c r="D82" t="inlineStr">
        <is>
          <t>NORRBOTTENS LÄN</t>
        </is>
      </c>
      <c r="E82" t="inlineStr">
        <is>
          <t>ÖVERTORNEÅ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10834-2019</t>
        </is>
      </c>
      <c r="B83" s="1" t="n">
        <v>43514</v>
      </c>
      <c r="C83" s="1" t="n">
        <v>45340</v>
      </c>
      <c r="D83" t="inlineStr">
        <is>
          <t>NORRBOTTENS LÄN</t>
        </is>
      </c>
      <c r="E83" t="inlineStr">
        <is>
          <t>ÖVERTORNEÅ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10847-2019</t>
        </is>
      </c>
      <c r="B84" s="1" t="n">
        <v>43514</v>
      </c>
      <c r="C84" s="1" t="n">
        <v>45340</v>
      </c>
      <c r="D84" t="inlineStr">
        <is>
          <t>NORRBOTTENS LÄN</t>
        </is>
      </c>
      <c r="E84" t="inlineStr">
        <is>
          <t>ÖVERTORNEÅ</t>
        </is>
      </c>
      <c r="G84" t="n">
        <v>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10850-2019</t>
        </is>
      </c>
      <c r="B85" s="1" t="n">
        <v>43514</v>
      </c>
      <c r="C85" s="1" t="n">
        <v>45340</v>
      </c>
      <c r="D85" t="inlineStr">
        <is>
          <t>NORRBOTTENS LÄN</t>
        </is>
      </c>
      <c r="E85" t="inlineStr">
        <is>
          <t>ÖVERTORNEÅ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12212-2019</t>
        </is>
      </c>
      <c r="B86" s="1" t="n">
        <v>43522</v>
      </c>
      <c r="C86" s="1" t="n">
        <v>45340</v>
      </c>
      <c r="D86" t="inlineStr">
        <is>
          <t>NORRBOTTENS LÄN</t>
        </is>
      </c>
      <c r="E86" t="inlineStr">
        <is>
          <t>ÖVERTORNEÅ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15373-2019</t>
        </is>
      </c>
      <c r="B87" s="1" t="n">
        <v>43541</v>
      </c>
      <c r="C87" s="1" t="n">
        <v>45340</v>
      </c>
      <c r="D87" t="inlineStr">
        <is>
          <t>NORRBOTTENS LÄN</t>
        </is>
      </c>
      <c r="E87" t="inlineStr">
        <is>
          <t>ÖVERTORNEÅ</t>
        </is>
      </c>
      <c r="G87" t="n">
        <v>24.5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15302-2019</t>
        </is>
      </c>
      <c r="B88" s="1" t="n">
        <v>43541</v>
      </c>
      <c r="C88" s="1" t="n">
        <v>45340</v>
      </c>
      <c r="D88" t="inlineStr">
        <is>
          <t>NORRBOTTENS LÄN</t>
        </is>
      </c>
      <c r="E88" t="inlineStr">
        <is>
          <t>ÖVERTORNEÅ</t>
        </is>
      </c>
      <c r="G88" t="n">
        <v>14.8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15303-2019</t>
        </is>
      </c>
      <c r="B89" s="1" t="n">
        <v>43541</v>
      </c>
      <c r="C89" s="1" t="n">
        <v>45340</v>
      </c>
      <c r="D89" t="inlineStr">
        <is>
          <t>NORRBOTTENS LÄN</t>
        </is>
      </c>
      <c r="E89" t="inlineStr">
        <is>
          <t>ÖVERTORNEÅ</t>
        </is>
      </c>
      <c r="G89" t="n">
        <v>53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16538-2019</t>
        </is>
      </c>
      <c r="B90" s="1" t="n">
        <v>43546</v>
      </c>
      <c r="C90" s="1" t="n">
        <v>45340</v>
      </c>
      <c r="D90" t="inlineStr">
        <is>
          <t>NORRBOTTENS LÄN</t>
        </is>
      </c>
      <c r="E90" t="inlineStr">
        <is>
          <t>ÖVERTORNEÅ</t>
        </is>
      </c>
      <c r="G90" t="n">
        <v>18.5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17173-2019</t>
        </is>
      </c>
      <c r="B91" s="1" t="n">
        <v>43551</v>
      </c>
      <c r="C91" s="1" t="n">
        <v>45340</v>
      </c>
      <c r="D91" t="inlineStr">
        <is>
          <t>NORRBOTTENS LÄN</t>
        </is>
      </c>
      <c r="E91" t="inlineStr">
        <is>
          <t>ÖVERTORNEÅ</t>
        </is>
      </c>
      <c r="G91" t="n">
        <v>10.9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17983-2019</t>
        </is>
      </c>
      <c r="B92" s="1" t="n">
        <v>43557</v>
      </c>
      <c r="C92" s="1" t="n">
        <v>45340</v>
      </c>
      <c r="D92" t="inlineStr">
        <is>
          <t>NORRBOTTENS LÄN</t>
        </is>
      </c>
      <c r="E92" t="inlineStr">
        <is>
          <t>ÖVERTORNEÅ</t>
        </is>
      </c>
      <c r="G92" t="n">
        <v>9.199999999999999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18038-2019</t>
        </is>
      </c>
      <c r="B93" s="1" t="n">
        <v>43557</v>
      </c>
      <c r="C93" s="1" t="n">
        <v>45340</v>
      </c>
      <c r="D93" t="inlineStr">
        <is>
          <t>NORRBOTTENS LÄN</t>
        </is>
      </c>
      <c r="E93" t="inlineStr">
        <is>
          <t>ÖVERTORNEÅ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22294-2019</t>
        </is>
      </c>
      <c r="B94" s="1" t="n">
        <v>43585</v>
      </c>
      <c r="C94" s="1" t="n">
        <v>45340</v>
      </c>
      <c r="D94" t="inlineStr">
        <is>
          <t>NORRBOTTENS LÄN</t>
        </is>
      </c>
      <c r="E94" t="inlineStr">
        <is>
          <t>ÖVERTORNEÅ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22900-2019</t>
        </is>
      </c>
      <c r="B95" s="1" t="n">
        <v>43587</v>
      </c>
      <c r="C95" s="1" t="n">
        <v>45340</v>
      </c>
      <c r="D95" t="inlineStr">
        <is>
          <t>NORRBOTTENS LÄN</t>
        </is>
      </c>
      <c r="E95" t="inlineStr">
        <is>
          <t>ÖVERTORNEÅ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23449-2019</t>
        </is>
      </c>
      <c r="B96" s="1" t="n">
        <v>43593</v>
      </c>
      <c r="C96" s="1" t="n">
        <v>45340</v>
      </c>
      <c r="D96" t="inlineStr">
        <is>
          <t>NORRBOTTENS LÄN</t>
        </is>
      </c>
      <c r="E96" t="inlineStr">
        <is>
          <t>ÖVERTORNEÅ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24474-2019</t>
        </is>
      </c>
      <c r="B97" s="1" t="n">
        <v>43600</v>
      </c>
      <c r="C97" s="1" t="n">
        <v>45340</v>
      </c>
      <c r="D97" t="inlineStr">
        <is>
          <t>NORRBOTTENS LÄN</t>
        </is>
      </c>
      <c r="E97" t="inlineStr">
        <is>
          <t>ÖVERTORNEÅ</t>
        </is>
      </c>
      <c r="G97" t="n">
        <v>8.9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26101-2019</t>
        </is>
      </c>
      <c r="B98" s="1" t="n">
        <v>43605</v>
      </c>
      <c r="C98" s="1" t="n">
        <v>45340</v>
      </c>
      <c r="D98" t="inlineStr">
        <is>
          <t>NORRBOTTENS LÄN</t>
        </is>
      </c>
      <c r="E98" t="inlineStr">
        <is>
          <t>ÖVERTORNEÅ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25660-2019</t>
        </is>
      </c>
      <c r="B99" s="1" t="n">
        <v>43607</v>
      </c>
      <c r="C99" s="1" t="n">
        <v>45340</v>
      </c>
      <c r="D99" t="inlineStr">
        <is>
          <t>NORRBOTTENS LÄN</t>
        </is>
      </c>
      <c r="E99" t="inlineStr">
        <is>
          <t>ÖVERTORNEÅ</t>
        </is>
      </c>
      <c r="G99" t="n">
        <v>9.800000000000001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26865-2019</t>
        </is>
      </c>
      <c r="B100" s="1" t="n">
        <v>43608</v>
      </c>
      <c r="C100" s="1" t="n">
        <v>45340</v>
      </c>
      <c r="D100" t="inlineStr">
        <is>
          <t>NORRBOTTENS LÄN</t>
        </is>
      </c>
      <c r="E100" t="inlineStr">
        <is>
          <t>ÖVERTORNEÅ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26256-2019</t>
        </is>
      </c>
      <c r="B101" s="1" t="n">
        <v>43610</v>
      </c>
      <c r="C101" s="1" t="n">
        <v>45340</v>
      </c>
      <c r="D101" t="inlineStr">
        <is>
          <t>NORRBOTTENS LÄN</t>
        </is>
      </c>
      <c r="E101" t="inlineStr">
        <is>
          <t>ÖVERTORNEÅ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28674-2019</t>
        </is>
      </c>
      <c r="B102" s="1" t="n">
        <v>43614</v>
      </c>
      <c r="C102" s="1" t="n">
        <v>45340</v>
      </c>
      <c r="D102" t="inlineStr">
        <is>
          <t>NORRBOTTENS LÄN</t>
        </is>
      </c>
      <c r="E102" t="inlineStr">
        <is>
          <t>ÖVERTORNEÅ</t>
        </is>
      </c>
      <c r="G102" t="n">
        <v>13.7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29384-2019</t>
        </is>
      </c>
      <c r="B103" s="1" t="n">
        <v>43629</v>
      </c>
      <c r="C103" s="1" t="n">
        <v>45340</v>
      </c>
      <c r="D103" t="inlineStr">
        <is>
          <t>NORRBOTTENS LÄN</t>
        </is>
      </c>
      <c r="E103" t="inlineStr">
        <is>
          <t>ÖVERTORNEÅ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30106-2019</t>
        </is>
      </c>
      <c r="B104" s="1" t="n">
        <v>43634</v>
      </c>
      <c r="C104" s="1" t="n">
        <v>45340</v>
      </c>
      <c r="D104" t="inlineStr">
        <is>
          <t>NORRBOTTENS LÄN</t>
        </is>
      </c>
      <c r="E104" t="inlineStr">
        <is>
          <t>ÖVERTORNEÅ</t>
        </is>
      </c>
      <c r="F104" t="inlineStr">
        <is>
          <t>Sveaskog</t>
        </is>
      </c>
      <c r="G104" t="n">
        <v>18.5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32897-2019</t>
        </is>
      </c>
      <c r="B105" s="1" t="n">
        <v>43643</v>
      </c>
      <c r="C105" s="1" t="n">
        <v>45340</v>
      </c>
      <c r="D105" t="inlineStr">
        <is>
          <t>NORRBOTTENS LÄN</t>
        </is>
      </c>
      <c r="E105" t="inlineStr">
        <is>
          <t>ÖVERTORNEÅ</t>
        </is>
      </c>
      <c r="G105" t="n">
        <v>17.1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32894-2019</t>
        </is>
      </c>
      <c r="B106" s="1" t="n">
        <v>43643</v>
      </c>
      <c r="C106" s="1" t="n">
        <v>45340</v>
      </c>
      <c r="D106" t="inlineStr">
        <is>
          <t>NORRBOTTENS LÄN</t>
        </is>
      </c>
      <c r="E106" t="inlineStr">
        <is>
          <t>ÖVERTORNEÅ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34174-2019</t>
        </is>
      </c>
      <c r="B107" s="1" t="n">
        <v>43655</v>
      </c>
      <c r="C107" s="1" t="n">
        <v>45340</v>
      </c>
      <c r="D107" t="inlineStr">
        <is>
          <t>NORRBOTTENS LÄN</t>
        </is>
      </c>
      <c r="E107" t="inlineStr">
        <is>
          <t>ÖVERTORNEÅ</t>
        </is>
      </c>
      <c r="F107" t="inlineStr">
        <is>
          <t>Sveaskog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37160-2019</t>
        </is>
      </c>
      <c r="B108" s="1" t="n">
        <v>43658</v>
      </c>
      <c r="C108" s="1" t="n">
        <v>45340</v>
      </c>
      <c r="D108" t="inlineStr">
        <is>
          <t>NORRBOTTENS LÄN</t>
        </is>
      </c>
      <c r="E108" t="inlineStr">
        <is>
          <t>ÖVERTORNEÅ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37151-2019</t>
        </is>
      </c>
      <c r="B109" s="1" t="n">
        <v>43658</v>
      </c>
      <c r="C109" s="1" t="n">
        <v>45340</v>
      </c>
      <c r="D109" t="inlineStr">
        <is>
          <t>NORRBOTTENS LÄN</t>
        </is>
      </c>
      <c r="E109" t="inlineStr">
        <is>
          <t>ÖVERTORNEÅ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36114-2019</t>
        </is>
      </c>
      <c r="B110" s="1" t="n">
        <v>43658</v>
      </c>
      <c r="C110" s="1" t="n">
        <v>45340</v>
      </c>
      <c r="D110" t="inlineStr">
        <is>
          <t>NORRBOTTENS LÄN</t>
        </is>
      </c>
      <c r="E110" t="inlineStr">
        <is>
          <t>ÖVERTORNEÅ</t>
        </is>
      </c>
      <c r="G110" t="n">
        <v>6.9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37159-2019</t>
        </is>
      </c>
      <c r="B111" s="1" t="n">
        <v>43658</v>
      </c>
      <c r="C111" s="1" t="n">
        <v>45340</v>
      </c>
      <c r="D111" t="inlineStr">
        <is>
          <t>NORRBOTTENS LÄN</t>
        </is>
      </c>
      <c r="E111" t="inlineStr">
        <is>
          <t>ÖVERTORNEÅ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37148-2019</t>
        </is>
      </c>
      <c r="B112" s="1" t="n">
        <v>43658</v>
      </c>
      <c r="C112" s="1" t="n">
        <v>45340</v>
      </c>
      <c r="D112" t="inlineStr">
        <is>
          <t>NORRBOTTENS LÄN</t>
        </is>
      </c>
      <c r="E112" t="inlineStr">
        <is>
          <t>ÖVERTORNEÅ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37146-2019</t>
        </is>
      </c>
      <c r="B113" s="1" t="n">
        <v>43658</v>
      </c>
      <c r="C113" s="1" t="n">
        <v>45340</v>
      </c>
      <c r="D113" t="inlineStr">
        <is>
          <t>NORRBOTTENS LÄN</t>
        </is>
      </c>
      <c r="E113" t="inlineStr">
        <is>
          <t>ÖVERTORNEÅ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37155-2019</t>
        </is>
      </c>
      <c r="B114" s="1" t="n">
        <v>43658</v>
      </c>
      <c r="C114" s="1" t="n">
        <v>45340</v>
      </c>
      <c r="D114" t="inlineStr">
        <is>
          <t>NORRBOTTENS LÄN</t>
        </is>
      </c>
      <c r="E114" t="inlineStr">
        <is>
          <t>ÖVERTORNEÅ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37152-2019</t>
        </is>
      </c>
      <c r="B115" s="1" t="n">
        <v>43658</v>
      </c>
      <c r="C115" s="1" t="n">
        <v>45340</v>
      </c>
      <c r="D115" t="inlineStr">
        <is>
          <t>NORRBOTTENS LÄN</t>
        </is>
      </c>
      <c r="E115" t="inlineStr">
        <is>
          <t>ÖVERTORNEÅ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37219-2019</t>
        </is>
      </c>
      <c r="B116" s="1" t="n">
        <v>43677</v>
      </c>
      <c r="C116" s="1" t="n">
        <v>45340</v>
      </c>
      <c r="D116" t="inlineStr">
        <is>
          <t>NORRBOTTENS LÄN</t>
        </is>
      </c>
      <c r="E116" t="inlineStr">
        <is>
          <t>ÖVERTORNEÅ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39601-2019</t>
        </is>
      </c>
      <c r="B117" s="1" t="n">
        <v>43686</v>
      </c>
      <c r="C117" s="1" t="n">
        <v>45340</v>
      </c>
      <c r="D117" t="inlineStr">
        <is>
          <t>NORRBOTTENS LÄN</t>
        </is>
      </c>
      <c r="E117" t="inlineStr">
        <is>
          <t>ÖVERTORNEÅ</t>
        </is>
      </c>
      <c r="G117" t="n">
        <v>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43089-2019</t>
        </is>
      </c>
      <c r="B118" s="1" t="n">
        <v>43686</v>
      </c>
      <c r="C118" s="1" t="n">
        <v>45340</v>
      </c>
      <c r="D118" t="inlineStr">
        <is>
          <t>NORRBOTTENS LÄN</t>
        </is>
      </c>
      <c r="E118" t="inlineStr">
        <is>
          <t>ÖVERTORNEÅ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39580-2019</t>
        </is>
      </c>
      <c r="B119" s="1" t="n">
        <v>43686</v>
      </c>
      <c r="C119" s="1" t="n">
        <v>45340</v>
      </c>
      <c r="D119" t="inlineStr">
        <is>
          <t>NORRBOTTENS LÄN</t>
        </is>
      </c>
      <c r="E119" t="inlineStr">
        <is>
          <t>ÖVERTORNEÅ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41003-2019</t>
        </is>
      </c>
      <c r="B120" s="1" t="n">
        <v>43697</v>
      </c>
      <c r="C120" s="1" t="n">
        <v>45340</v>
      </c>
      <c r="D120" t="inlineStr">
        <is>
          <t>NORRBOTTENS LÄN</t>
        </is>
      </c>
      <c r="E120" t="inlineStr">
        <is>
          <t>ÖVERTORNEÅ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41004-2019</t>
        </is>
      </c>
      <c r="B121" s="1" t="n">
        <v>43697</v>
      </c>
      <c r="C121" s="1" t="n">
        <v>45340</v>
      </c>
      <c r="D121" t="inlineStr">
        <is>
          <t>NORRBOTTENS LÄN</t>
        </is>
      </c>
      <c r="E121" t="inlineStr">
        <is>
          <t>ÖVERTORNEÅ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41974-2019</t>
        </is>
      </c>
      <c r="B122" s="1" t="n">
        <v>43700</v>
      </c>
      <c r="C122" s="1" t="n">
        <v>45340</v>
      </c>
      <c r="D122" t="inlineStr">
        <is>
          <t>NORRBOTTENS LÄN</t>
        </is>
      </c>
      <c r="E122" t="inlineStr">
        <is>
          <t>ÖVERTORNEÅ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41976-2019</t>
        </is>
      </c>
      <c r="B123" s="1" t="n">
        <v>43700</v>
      </c>
      <c r="C123" s="1" t="n">
        <v>45340</v>
      </c>
      <c r="D123" t="inlineStr">
        <is>
          <t>NORRBOTTENS LÄN</t>
        </is>
      </c>
      <c r="E123" t="inlineStr">
        <is>
          <t>ÖVERTORNEÅ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43812-2019</t>
        </is>
      </c>
      <c r="B124" s="1" t="n">
        <v>43707</v>
      </c>
      <c r="C124" s="1" t="n">
        <v>45340</v>
      </c>
      <c r="D124" t="inlineStr">
        <is>
          <t>NORRBOTTENS LÄN</t>
        </is>
      </c>
      <c r="E124" t="inlineStr">
        <is>
          <t>ÖVERTORNEÅ</t>
        </is>
      </c>
      <c r="F124" t="inlineStr">
        <is>
          <t>Sveaskog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48490-2019</t>
        </is>
      </c>
      <c r="B125" s="1" t="n">
        <v>43727</v>
      </c>
      <c r="C125" s="1" t="n">
        <v>45340</v>
      </c>
      <c r="D125" t="inlineStr">
        <is>
          <t>NORRBOTTENS LÄN</t>
        </is>
      </c>
      <c r="E125" t="inlineStr">
        <is>
          <t>ÖVERTORNEÅ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49279-2019</t>
        </is>
      </c>
      <c r="B126" s="1" t="n">
        <v>43728</v>
      </c>
      <c r="C126" s="1" t="n">
        <v>45340</v>
      </c>
      <c r="D126" t="inlineStr">
        <is>
          <t>NORRBOTTENS LÄN</t>
        </is>
      </c>
      <c r="E126" t="inlineStr">
        <is>
          <t>ÖVERTORNEÅ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49648-2019</t>
        </is>
      </c>
      <c r="B127" s="1" t="n">
        <v>43732</v>
      </c>
      <c r="C127" s="1" t="n">
        <v>45340</v>
      </c>
      <c r="D127" t="inlineStr">
        <is>
          <t>NORRBOTTENS LÄN</t>
        </is>
      </c>
      <c r="E127" t="inlineStr">
        <is>
          <t>ÖVERTORNEÅ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52989-2019</t>
        </is>
      </c>
      <c r="B128" s="1" t="n">
        <v>43740</v>
      </c>
      <c r="C128" s="1" t="n">
        <v>45340</v>
      </c>
      <c r="D128" t="inlineStr">
        <is>
          <t>NORRBOTTENS LÄN</t>
        </is>
      </c>
      <c r="E128" t="inlineStr">
        <is>
          <t>ÖVERTORNEÅ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2259-2020</t>
        </is>
      </c>
      <c r="B129" s="1" t="n">
        <v>43740</v>
      </c>
      <c r="C129" s="1" t="n">
        <v>45340</v>
      </c>
      <c r="D129" t="inlineStr">
        <is>
          <t>NORRBOTTENS LÄN</t>
        </is>
      </c>
      <c r="E129" t="inlineStr">
        <is>
          <t>ÖVERTORNEÅ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53054-2019</t>
        </is>
      </c>
      <c r="B130" s="1" t="n">
        <v>43740</v>
      </c>
      <c r="C130" s="1" t="n">
        <v>45340</v>
      </c>
      <c r="D130" t="inlineStr">
        <is>
          <t>NORRBOTTENS LÄN</t>
        </is>
      </c>
      <c r="E130" t="inlineStr">
        <is>
          <t>ÖVERTORNEÅ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53084-2019</t>
        </is>
      </c>
      <c r="B131" s="1" t="n">
        <v>43740</v>
      </c>
      <c r="C131" s="1" t="n">
        <v>45340</v>
      </c>
      <c r="D131" t="inlineStr">
        <is>
          <t>NORRBOTTENS LÄN</t>
        </is>
      </c>
      <c r="E131" t="inlineStr">
        <is>
          <t>ÖVERTORNEÅ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2269-2020</t>
        </is>
      </c>
      <c r="B132" s="1" t="n">
        <v>43740</v>
      </c>
      <c r="C132" s="1" t="n">
        <v>45340</v>
      </c>
      <c r="D132" t="inlineStr">
        <is>
          <t>NORRBOTTENS LÄN</t>
        </is>
      </c>
      <c r="E132" t="inlineStr">
        <is>
          <t>ÖVERTORNEÅ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51642-2019</t>
        </is>
      </c>
      <c r="B133" s="1" t="n">
        <v>43740</v>
      </c>
      <c r="C133" s="1" t="n">
        <v>45340</v>
      </c>
      <c r="D133" t="inlineStr">
        <is>
          <t>NORRBOTTENS LÄN</t>
        </is>
      </c>
      <c r="E133" t="inlineStr">
        <is>
          <t>ÖVERTORNEÅ</t>
        </is>
      </c>
      <c r="G133" t="n">
        <v>16.1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54210-2019</t>
        </is>
      </c>
      <c r="B134" s="1" t="n">
        <v>43745</v>
      </c>
      <c r="C134" s="1" t="n">
        <v>45340</v>
      </c>
      <c r="D134" t="inlineStr">
        <is>
          <t>NORRBOTTENS LÄN</t>
        </is>
      </c>
      <c r="E134" t="inlineStr">
        <is>
          <t>ÖVERTORNEÅ</t>
        </is>
      </c>
      <c r="G134" t="n">
        <v>15.6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53321-2019</t>
        </is>
      </c>
      <c r="B135" s="1" t="n">
        <v>43748</v>
      </c>
      <c r="C135" s="1" t="n">
        <v>45340</v>
      </c>
      <c r="D135" t="inlineStr">
        <is>
          <t>NORRBOTTENS LÄN</t>
        </is>
      </c>
      <c r="E135" t="inlineStr">
        <is>
          <t>ÖVERTORNEÅ</t>
        </is>
      </c>
      <c r="F135" t="inlineStr">
        <is>
          <t>Sveaskog</t>
        </is>
      </c>
      <c r="G135" t="n">
        <v>62.4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54078-2019</t>
        </is>
      </c>
      <c r="B136" s="1" t="n">
        <v>43752</v>
      </c>
      <c r="C136" s="1" t="n">
        <v>45340</v>
      </c>
      <c r="D136" t="inlineStr">
        <is>
          <t>NORRBOTTENS LÄN</t>
        </is>
      </c>
      <c r="E136" t="inlineStr">
        <is>
          <t>ÖVERTORNEÅ</t>
        </is>
      </c>
      <c r="G136" t="n">
        <v>7.2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55073-2019</t>
        </is>
      </c>
      <c r="B137" s="1" t="n">
        <v>43752</v>
      </c>
      <c r="C137" s="1" t="n">
        <v>45340</v>
      </c>
      <c r="D137" t="inlineStr">
        <is>
          <t>NORRBOTTENS LÄN</t>
        </is>
      </c>
      <c r="E137" t="inlineStr">
        <is>
          <t>ÖVERTORNEÅ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56365-2019</t>
        </is>
      </c>
      <c r="B138" s="1" t="n">
        <v>43762</v>
      </c>
      <c r="C138" s="1" t="n">
        <v>45340</v>
      </c>
      <c r="D138" t="inlineStr">
        <is>
          <t>NORRBOTTENS LÄN</t>
        </is>
      </c>
      <c r="E138" t="inlineStr">
        <is>
          <t>ÖVERTORNEÅ</t>
        </is>
      </c>
      <c r="F138" t="inlineStr">
        <is>
          <t>Sveaskog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60129-2019</t>
        </is>
      </c>
      <c r="B139" s="1" t="n">
        <v>43778</v>
      </c>
      <c r="C139" s="1" t="n">
        <v>45340</v>
      </c>
      <c r="D139" t="inlineStr">
        <is>
          <t>NORRBOTTENS LÄN</t>
        </is>
      </c>
      <c r="E139" t="inlineStr">
        <is>
          <t>ÖVERTORNEÅ</t>
        </is>
      </c>
      <c r="G139" t="n">
        <v>31.1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60891-2019</t>
        </is>
      </c>
      <c r="B140" s="1" t="n">
        <v>43781</v>
      </c>
      <c r="C140" s="1" t="n">
        <v>45340</v>
      </c>
      <c r="D140" t="inlineStr">
        <is>
          <t>NORRBOTTENS LÄN</t>
        </is>
      </c>
      <c r="E140" t="inlineStr">
        <is>
          <t>ÖVERTORNEÅ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62214-2019</t>
        </is>
      </c>
      <c r="B141" s="1" t="n">
        <v>43782</v>
      </c>
      <c r="C141" s="1" t="n">
        <v>45340</v>
      </c>
      <c r="D141" t="inlineStr">
        <is>
          <t>NORRBOTTENS LÄN</t>
        </is>
      </c>
      <c r="E141" t="inlineStr">
        <is>
          <t>ÖVERTORNEÅ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62183-2019</t>
        </is>
      </c>
      <c r="B142" s="1" t="n">
        <v>43787</v>
      </c>
      <c r="C142" s="1" t="n">
        <v>45340</v>
      </c>
      <c r="D142" t="inlineStr">
        <is>
          <t>NORRBOTTENS LÄN</t>
        </is>
      </c>
      <c r="E142" t="inlineStr">
        <is>
          <t>ÖVERTORNEÅ</t>
        </is>
      </c>
      <c r="G142" t="n">
        <v>7.4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62951-2019</t>
        </is>
      </c>
      <c r="B143" s="1" t="n">
        <v>43789</v>
      </c>
      <c r="C143" s="1" t="n">
        <v>45340</v>
      </c>
      <c r="D143" t="inlineStr">
        <is>
          <t>NORRBOTTENS LÄN</t>
        </is>
      </c>
      <c r="E143" t="inlineStr">
        <is>
          <t>ÖVERTORNEÅ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62960-2019</t>
        </is>
      </c>
      <c r="B144" s="1" t="n">
        <v>43790</v>
      </c>
      <c r="C144" s="1" t="n">
        <v>45340</v>
      </c>
      <c r="D144" t="inlineStr">
        <is>
          <t>NORRBOTTENS LÄN</t>
        </is>
      </c>
      <c r="E144" t="inlineStr">
        <is>
          <t>ÖVERTORNEÅ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64003-2019</t>
        </is>
      </c>
      <c r="B145" s="1" t="n">
        <v>43791</v>
      </c>
      <c r="C145" s="1" t="n">
        <v>45340</v>
      </c>
      <c r="D145" t="inlineStr">
        <is>
          <t>NORRBOTTENS LÄN</t>
        </is>
      </c>
      <c r="E145" t="inlineStr">
        <is>
          <t>ÖVERTORNEÅ</t>
        </is>
      </c>
      <c r="G145" t="n">
        <v>8.4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64010-2019</t>
        </is>
      </c>
      <c r="B146" s="1" t="n">
        <v>43791</v>
      </c>
      <c r="C146" s="1" t="n">
        <v>45340</v>
      </c>
      <c r="D146" t="inlineStr">
        <is>
          <t>NORRBOTTENS LÄN</t>
        </is>
      </c>
      <c r="E146" t="inlineStr">
        <is>
          <t>ÖVERTORNEÅ</t>
        </is>
      </c>
      <c r="G146" t="n">
        <v>13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64321-2019</t>
        </is>
      </c>
      <c r="B147" s="1" t="n">
        <v>43797</v>
      </c>
      <c r="C147" s="1" t="n">
        <v>45340</v>
      </c>
      <c r="D147" t="inlineStr">
        <is>
          <t>NORRBOTTENS LÄN</t>
        </is>
      </c>
      <c r="E147" t="inlineStr">
        <is>
          <t>ÖVERTORNEÅ</t>
        </is>
      </c>
      <c r="G147" t="n">
        <v>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65062-2019</t>
        </is>
      </c>
      <c r="B148" s="1" t="n">
        <v>43801</v>
      </c>
      <c r="C148" s="1" t="n">
        <v>45340</v>
      </c>
      <c r="D148" t="inlineStr">
        <is>
          <t>NORRBOTTENS LÄN</t>
        </is>
      </c>
      <c r="E148" t="inlineStr">
        <is>
          <t>ÖVERTORNEÅ</t>
        </is>
      </c>
      <c r="G148" t="n">
        <v>8.6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65510-2019</t>
        </is>
      </c>
      <c r="B149" s="1" t="n">
        <v>43803</v>
      </c>
      <c r="C149" s="1" t="n">
        <v>45340</v>
      </c>
      <c r="D149" t="inlineStr">
        <is>
          <t>NORRBOTTENS LÄN</t>
        </is>
      </c>
      <c r="E149" t="inlineStr">
        <is>
          <t>ÖVERTORNEÅ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65500-2019</t>
        </is>
      </c>
      <c r="B150" s="1" t="n">
        <v>43803</v>
      </c>
      <c r="C150" s="1" t="n">
        <v>45340</v>
      </c>
      <c r="D150" t="inlineStr">
        <is>
          <t>NORRBOTTENS LÄN</t>
        </is>
      </c>
      <c r="E150" t="inlineStr">
        <is>
          <t>ÖVERTORNEÅ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65457-2019</t>
        </is>
      </c>
      <c r="B151" s="1" t="n">
        <v>43803</v>
      </c>
      <c r="C151" s="1" t="n">
        <v>45340</v>
      </c>
      <c r="D151" t="inlineStr">
        <is>
          <t>NORRBOTTENS LÄN</t>
        </is>
      </c>
      <c r="E151" t="inlineStr">
        <is>
          <t>ÖVERTORNEÅ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65498-2019</t>
        </is>
      </c>
      <c r="B152" s="1" t="n">
        <v>43803</v>
      </c>
      <c r="C152" s="1" t="n">
        <v>45340</v>
      </c>
      <c r="D152" t="inlineStr">
        <is>
          <t>NORRBOTTENS LÄN</t>
        </is>
      </c>
      <c r="E152" t="inlineStr">
        <is>
          <t>ÖVERTORNEÅ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66111-2019</t>
        </is>
      </c>
      <c r="B153" s="1" t="n">
        <v>43808</v>
      </c>
      <c r="C153" s="1" t="n">
        <v>45340</v>
      </c>
      <c r="D153" t="inlineStr">
        <is>
          <t>NORRBOTTENS LÄN</t>
        </is>
      </c>
      <c r="E153" t="inlineStr">
        <is>
          <t>ÖVERTORNEÅ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66542-2019</t>
        </is>
      </c>
      <c r="B154" s="1" t="n">
        <v>43809</v>
      </c>
      <c r="C154" s="1" t="n">
        <v>45340</v>
      </c>
      <c r="D154" t="inlineStr">
        <is>
          <t>NORRBOTTENS LÄN</t>
        </is>
      </c>
      <c r="E154" t="inlineStr">
        <is>
          <t>ÖVERTORNEÅ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66536-2019</t>
        </is>
      </c>
      <c r="B155" s="1" t="n">
        <v>43809</v>
      </c>
      <c r="C155" s="1" t="n">
        <v>45340</v>
      </c>
      <c r="D155" t="inlineStr">
        <is>
          <t>NORRBOTTENS LÄN</t>
        </is>
      </c>
      <c r="E155" t="inlineStr">
        <is>
          <t>ÖVERTORNEÅ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67864-2019</t>
        </is>
      </c>
      <c r="B156" s="1" t="n">
        <v>43810</v>
      </c>
      <c r="C156" s="1" t="n">
        <v>45340</v>
      </c>
      <c r="D156" t="inlineStr">
        <is>
          <t>NORRBOTTENS LÄN</t>
        </is>
      </c>
      <c r="E156" t="inlineStr">
        <is>
          <t>ÖVERTORNEÅ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67862-2019</t>
        </is>
      </c>
      <c r="B157" s="1" t="n">
        <v>43810</v>
      </c>
      <c r="C157" s="1" t="n">
        <v>45340</v>
      </c>
      <c r="D157" t="inlineStr">
        <is>
          <t>NORRBOTTENS LÄN</t>
        </is>
      </c>
      <c r="E157" t="inlineStr">
        <is>
          <t>ÖVERTORNEÅ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67858-2019</t>
        </is>
      </c>
      <c r="B158" s="1" t="n">
        <v>43810</v>
      </c>
      <c r="C158" s="1" t="n">
        <v>45340</v>
      </c>
      <c r="D158" t="inlineStr">
        <is>
          <t>NORRBOTTENS LÄN</t>
        </is>
      </c>
      <c r="E158" t="inlineStr">
        <is>
          <t>ÖVERTORNEÅ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68835-2019</t>
        </is>
      </c>
      <c r="B159" s="1" t="n">
        <v>43819</v>
      </c>
      <c r="C159" s="1" t="n">
        <v>45340</v>
      </c>
      <c r="D159" t="inlineStr">
        <is>
          <t>NORRBOTTENS LÄN</t>
        </is>
      </c>
      <c r="E159" t="inlineStr">
        <is>
          <t>ÖVERTORNEÅ</t>
        </is>
      </c>
      <c r="G159" t="n">
        <v>12.4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69085-2019</t>
        </is>
      </c>
      <c r="B160" s="1" t="n">
        <v>43829</v>
      </c>
      <c r="C160" s="1" t="n">
        <v>45340</v>
      </c>
      <c r="D160" t="inlineStr">
        <is>
          <t>NORRBOTTENS LÄN</t>
        </is>
      </c>
      <c r="E160" t="inlineStr">
        <is>
          <t>ÖVERTORNEÅ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4882-2020</t>
        </is>
      </c>
      <c r="B161" s="1" t="n">
        <v>43852</v>
      </c>
      <c r="C161" s="1" t="n">
        <v>45340</v>
      </c>
      <c r="D161" t="inlineStr">
        <is>
          <t>NORRBOTTENS LÄN</t>
        </is>
      </c>
      <c r="E161" t="inlineStr">
        <is>
          <t>ÖVERTORNEÅ</t>
        </is>
      </c>
      <c r="G161" t="n">
        <v>7.7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5276-2020</t>
        </is>
      </c>
      <c r="B162" s="1" t="n">
        <v>43857</v>
      </c>
      <c r="C162" s="1" t="n">
        <v>45340</v>
      </c>
      <c r="D162" t="inlineStr">
        <is>
          <t>NORRBOTTENS LÄN</t>
        </is>
      </c>
      <c r="E162" t="inlineStr">
        <is>
          <t>ÖVERTORNEÅ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5469-2020</t>
        </is>
      </c>
      <c r="B163" s="1" t="n">
        <v>43858</v>
      </c>
      <c r="C163" s="1" t="n">
        <v>45340</v>
      </c>
      <c r="D163" t="inlineStr">
        <is>
          <t>NORRBOTTENS LÄN</t>
        </is>
      </c>
      <c r="E163" t="inlineStr">
        <is>
          <t>ÖVERTORNEÅ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4725-2020</t>
        </is>
      </c>
      <c r="B164" s="1" t="n">
        <v>43858</v>
      </c>
      <c r="C164" s="1" t="n">
        <v>45340</v>
      </c>
      <c r="D164" t="inlineStr">
        <is>
          <t>NORRBOTTENS LÄN</t>
        </is>
      </c>
      <c r="E164" t="inlineStr">
        <is>
          <t>ÖVERTORNEÅ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5463-2020</t>
        </is>
      </c>
      <c r="B165" s="1" t="n">
        <v>43858</v>
      </c>
      <c r="C165" s="1" t="n">
        <v>45340</v>
      </c>
      <c r="D165" t="inlineStr">
        <is>
          <t>NORRBOTTENS LÄN</t>
        </is>
      </c>
      <c r="E165" t="inlineStr">
        <is>
          <t>ÖVERTORNEÅ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5784-2020</t>
        </is>
      </c>
      <c r="B166" s="1" t="n">
        <v>43864</v>
      </c>
      <c r="C166" s="1" t="n">
        <v>45340</v>
      </c>
      <c r="D166" t="inlineStr">
        <is>
          <t>NORRBOTTENS LÄN</t>
        </is>
      </c>
      <c r="E166" t="inlineStr">
        <is>
          <t>ÖVERTORNEÅ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5782-2020</t>
        </is>
      </c>
      <c r="B167" s="1" t="n">
        <v>43864</v>
      </c>
      <c r="C167" s="1" t="n">
        <v>45340</v>
      </c>
      <c r="D167" t="inlineStr">
        <is>
          <t>NORRBOTTENS LÄN</t>
        </is>
      </c>
      <c r="E167" t="inlineStr">
        <is>
          <t>ÖVERTORNEÅ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6132-2020</t>
        </is>
      </c>
      <c r="B168" s="1" t="n">
        <v>43864</v>
      </c>
      <c r="C168" s="1" t="n">
        <v>45340</v>
      </c>
      <c r="D168" t="inlineStr">
        <is>
          <t>NORRBOTTENS LÄN</t>
        </is>
      </c>
      <c r="E168" t="inlineStr">
        <is>
          <t>ÖVERTORNEÅ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6131-2020</t>
        </is>
      </c>
      <c r="B169" s="1" t="n">
        <v>43864</v>
      </c>
      <c r="C169" s="1" t="n">
        <v>45340</v>
      </c>
      <c r="D169" t="inlineStr">
        <is>
          <t>NORRBOTTENS LÄN</t>
        </is>
      </c>
      <c r="E169" t="inlineStr">
        <is>
          <t>ÖVERTORNEÅ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8041-2020</t>
        </is>
      </c>
      <c r="B170" s="1" t="n">
        <v>43873</v>
      </c>
      <c r="C170" s="1" t="n">
        <v>45340</v>
      </c>
      <c r="D170" t="inlineStr">
        <is>
          <t>NORRBOTTENS LÄN</t>
        </is>
      </c>
      <c r="E170" t="inlineStr">
        <is>
          <t>ÖVERTORNEÅ</t>
        </is>
      </c>
      <c r="G170" t="n">
        <v>27.6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13065-2020</t>
        </is>
      </c>
      <c r="B171" s="1" t="n">
        <v>43900</v>
      </c>
      <c r="C171" s="1" t="n">
        <v>45340</v>
      </c>
      <c r="D171" t="inlineStr">
        <is>
          <t>NORRBOTTENS LÄN</t>
        </is>
      </c>
      <c r="E171" t="inlineStr">
        <is>
          <t>ÖVERTORNEÅ</t>
        </is>
      </c>
      <c r="G171" t="n">
        <v>8.300000000000001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13059-2020</t>
        </is>
      </c>
      <c r="B172" s="1" t="n">
        <v>43900</v>
      </c>
      <c r="C172" s="1" t="n">
        <v>45340</v>
      </c>
      <c r="D172" t="inlineStr">
        <is>
          <t>NORRBOTTENS LÄN</t>
        </is>
      </c>
      <c r="E172" t="inlineStr">
        <is>
          <t>ÖVERTORNEÅ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19058-2020</t>
        </is>
      </c>
      <c r="B173" s="1" t="n">
        <v>43936</v>
      </c>
      <c r="C173" s="1" t="n">
        <v>45340</v>
      </c>
      <c r="D173" t="inlineStr">
        <is>
          <t>NORRBOTTENS LÄN</t>
        </is>
      </c>
      <c r="E173" t="inlineStr">
        <is>
          <t>ÖVERTORNEÅ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19978-2020</t>
        </is>
      </c>
      <c r="B174" s="1" t="n">
        <v>43943</v>
      </c>
      <c r="C174" s="1" t="n">
        <v>45340</v>
      </c>
      <c r="D174" t="inlineStr">
        <is>
          <t>NORRBOTTENS LÄN</t>
        </is>
      </c>
      <c r="E174" t="inlineStr">
        <is>
          <t>ÖVERTORNEÅ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19981-2020</t>
        </is>
      </c>
      <c r="B175" s="1" t="n">
        <v>43943</v>
      </c>
      <c r="C175" s="1" t="n">
        <v>45340</v>
      </c>
      <c r="D175" t="inlineStr">
        <is>
          <t>NORRBOTTENS LÄN</t>
        </is>
      </c>
      <c r="E175" t="inlineStr">
        <is>
          <t>ÖVERTORNEÅ</t>
        </is>
      </c>
      <c r="G175" t="n">
        <v>8.800000000000001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20418-2020</t>
        </is>
      </c>
      <c r="B176" s="1" t="n">
        <v>43945</v>
      </c>
      <c r="C176" s="1" t="n">
        <v>45340</v>
      </c>
      <c r="D176" t="inlineStr">
        <is>
          <t>NORRBOTTENS LÄN</t>
        </is>
      </c>
      <c r="E176" t="inlineStr">
        <is>
          <t>ÖVERTORNEÅ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26315-2020</t>
        </is>
      </c>
      <c r="B177" s="1" t="n">
        <v>43986</v>
      </c>
      <c r="C177" s="1" t="n">
        <v>45340</v>
      </c>
      <c r="D177" t="inlineStr">
        <is>
          <t>NORRBOTTENS LÄN</t>
        </is>
      </c>
      <c r="E177" t="inlineStr">
        <is>
          <t>ÖVERTORNEÅ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26312-2020</t>
        </is>
      </c>
      <c r="B178" s="1" t="n">
        <v>43986</v>
      </c>
      <c r="C178" s="1" t="n">
        <v>45340</v>
      </c>
      <c r="D178" t="inlineStr">
        <is>
          <t>NORRBOTTENS LÄN</t>
        </is>
      </c>
      <c r="E178" t="inlineStr">
        <is>
          <t>ÖVERTORNEÅ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29053-2020</t>
        </is>
      </c>
      <c r="B179" s="1" t="n">
        <v>44000</v>
      </c>
      <c r="C179" s="1" t="n">
        <v>45340</v>
      </c>
      <c r="D179" t="inlineStr">
        <is>
          <t>NORRBOTTENS LÄN</t>
        </is>
      </c>
      <c r="E179" t="inlineStr">
        <is>
          <t>ÖVERTORNEÅ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29220-2020</t>
        </is>
      </c>
      <c r="B180" s="1" t="n">
        <v>44004</v>
      </c>
      <c r="C180" s="1" t="n">
        <v>45340</v>
      </c>
      <c r="D180" t="inlineStr">
        <is>
          <t>NORRBOTTENS LÄN</t>
        </is>
      </c>
      <c r="E180" t="inlineStr">
        <is>
          <t>ÖVERTORNEÅ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30582-2020</t>
        </is>
      </c>
      <c r="B181" s="1" t="n">
        <v>44008</v>
      </c>
      <c r="C181" s="1" t="n">
        <v>45340</v>
      </c>
      <c r="D181" t="inlineStr">
        <is>
          <t>NORRBOTTENS LÄN</t>
        </is>
      </c>
      <c r="E181" t="inlineStr">
        <is>
          <t>ÖVERTORNEÅ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30583-2020</t>
        </is>
      </c>
      <c r="B182" s="1" t="n">
        <v>44008</v>
      </c>
      <c r="C182" s="1" t="n">
        <v>45340</v>
      </c>
      <c r="D182" t="inlineStr">
        <is>
          <t>NORRBOTTENS LÄN</t>
        </is>
      </c>
      <c r="E182" t="inlineStr">
        <is>
          <t>ÖVERTORNEÅ</t>
        </is>
      </c>
      <c r="G182" t="n">
        <v>8.800000000000001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31555-2020</t>
        </is>
      </c>
      <c r="B183" s="1" t="n">
        <v>44013</v>
      </c>
      <c r="C183" s="1" t="n">
        <v>45340</v>
      </c>
      <c r="D183" t="inlineStr">
        <is>
          <t>NORRBOTTENS LÄN</t>
        </is>
      </c>
      <c r="E183" t="inlineStr">
        <is>
          <t>ÖVERTORNEÅ</t>
        </is>
      </c>
      <c r="F183" t="inlineStr">
        <is>
          <t>Sveaskog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32075-2020</t>
        </is>
      </c>
      <c r="B184" s="1" t="n">
        <v>44015</v>
      </c>
      <c r="C184" s="1" t="n">
        <v>45340</v>
      </c>
      <c r="D184" t="inlineStr">
        <is>
          <t>NORRBOTTENS LÄN</t>
        </is>
      </c>
      <c r="E184" t="inlineStr">
        <is>
          <t>ÖVERTORNEÅ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38241-2020</t>
        </is>
      </c>
      <c r="B185" s="1" t="n">
        <v>44060</v>
      </c>
      <c r="C185" s="1" t="n">
        <v>45340</v>
      </c>
      <c r="D185" t="inlineStr">
        <is>
          <t>NORRBOTTENS LÄN</t>
        </is>
      </c>
      <c r="E185" t="inlineStr">
        <is>
          <t>ÖVERTORNEÅ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41651-2020</t>
        </is>
      </c>
      <c r="B186" s="1" t="n">
        <v>44074</v>
      </c>
      <c r="C186" s="1" t="n">
        <v>45340</v>
      </c>
      <c r="D186" t="inlineStr">
        <is>
          <t>NORRBOTTENS LÄN</t>
        </is>
      </c>
      <c r="E186" t="inlineStr">
        <is>
          <t>ÖVERTORNEÅ</t>
        </is>
      </c>
      <c r="F186" t="inlineStr">
        <is>
          <t>Sveaskog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43562-2020</t>
        </is>
      </c>
      <c r="B187" s="1" t="n">
        <v>44077</v>
      </c>
      <c r="C187" s="1" t="n">
        <v>45340</v>
      </c>
      <c r="D187" t="inlineStr">
        <is>
          <t>NORRBOTTENS LÄN</t>
        </is>
      </c>
      <c r="E187" t="inlineStr">
        <is>
          <t>ÖVERTORNEÅ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45673-2020</t>
        </is>
      </c>
      <c r="B188" s="1" t="n">
        <v>44090</v>
      </c>
      <c r="C188" s="1" t="n">
        <v>45340</v>
      </c>
      <c r="D188" t="inlineStr">
        <is>
          <t>NORRBOTTENS LÄN</t>
        </is>
      </c>
      <c r="E188" t="inlineStr">
        <is>
          <t>ÖVERTORNEÅ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45716-2020</t>
        </is>
      </c>
      <c r="B189" s="1" t="n">
        <v>44090</v>
      </c>
      <c r="C189" s="1" t="n">
        <v>45340</v>
      </c>
      <c r="D189" t="inlineStr">
        <is>
          <t>NORRBOTTENS LÄN</t>
        </is>
      </c>
      <c r="E189" t="inlineStr">
        <is>
          <t>ÖVERTORNEÅ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51582-2020</t>
        </is>
      </c>
      <c r="B190" s="1" t="n">
        <v>44113</v>
      </c>
      <c r="C190" s="1" t="n">
        <v>45340</v>
      </c>
      <c r="D190" t="inlineStr">
        <is>
          <t>NORRBOTTENS LÄN</t>
        </is>
      </c>
      <c r="E190" t="inlineStr">
        <is>
          <t>ÖVERTORNEÅ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53481-2020</t>
        </is>
      </c>
      <c r="B191" s="1" t="n">
        <v>44123</v>
      </c>
      <c r="C191" s="1" t="n">
        <v>45340</v>
      </c>
      <c r="D191" t="inlineStr">
        <is>
          <t>NORRBOTTENS LÄN</t>
        </is>
      </c>
      <c r="E191" t="inlineStr">
        <is>
          <t>ÖVERTORNEÅ</t>
        </is>
      </c>
      <c r="G191" t="n">
        <v>15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54911-2020</t>
        </is>
      </c>
      <c r="B192" s="1" t="n">
        <v>44127</v>
      </c>
      <c r="C192" s="1" t="n">
        <v>45340</v>
      </c>
      <c r="D192" t="inlineStr">
        <is>
          <t>NORRBOTTENS LÄN</t>
        </is>
      </c>
      <c r="E192" t="inlineStr">
        <is>
          <t>ÖVERTORNEÅ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55230-2020</t>
        </is>
      </c>
      <c r="B193" s="1" t="n">
        <v>44130</v>
      </c>
      <c r="C193" s="1" t="n">
        <v>45340</v>
      </c>
      <c r="D193" t="inlineStr">
        <is>
          <t>NORRBOTTENS LÄN</t>
        </is>
      </c>
      <c r="E193" t="inlineStr">
        <is>
          <t>ÖVERTORNEÅ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55222-2020</t>
        </is>
      </c>
      <c r="B194" s="1" t="n">
        <v>44130</v>
      </c>
      <c r="C194" s="1" t="n">
        <v>45340</v>
      </c>
      <c r="D194" t="inlineStr">
        <is>
          <t>NORRBOTTENS LÄN</t>
        </is>
      </c>
      <c r="E194" t="inlineStr">
        <is>
          <t>ÖVERTORNEÅ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55518-2020</t>
        </is>
      </c>
      <c r="B195" s="1" t="n">
        <v>44130</v>
      </c>
      <c r="C195" s="1" t="n">
        <v>45340</v>
      </c>
      <c r="D195" t="inlineStr">
        <is>
          <t>NORRBOTTENS LÄN</t>
        </is>
      </c>
      <c r="E195" t="inlineStr">
        <is>
          <t>ÖVERTORNEÅ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56024-2020</t>
        </is>
      </c>
      <c r="B196" s="1" t="n">
        <v>44132</v>
      </c>
      <c r="C196" s="1" t="n">
        <v>45340</v>
      </c>
      <c r="D196" t="inlineStr">
        <is>
          <t>NORRBOTTENS LÄN</t>
        </is>
      </c>
      <c r="E196" t="inlineStr">
        <is>
          <t>ÖVERTORNEÅ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56363-2020</t>
        </is>
      </c>
      <c r="B197" s="1" t="n">
        <v>44135</v>
      </c>
      <c r="C197" s="1" t="n">
        <v>45340</v>
      </c>
      <c r="D197" t="inlineStr">
        <is>
          <t>NORRBOTTENS LÄN</t>
        </is>
      </c>
      <c r="E197" t="inlineStr">
        <is>
          <t>ÖVERTORNEÅ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60919-2020</t>
        </is>
      </c>
      <c r="B198" s="1" t="n">
        <v>44153</v>
      </c>
      <c r="C198" s="1" t="n">
        <v>45340</v>
      </c>
      <c r="D198" t="inlineStr">
        <is>
          <t>NORRBOTTENS LÄN</t>
        </is>
      </c>
      <c r="E198" t="inlineStr">
        <is>
          <t>ÖVERTORNEÅ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65771-2020</t>
        </is>
      </c>
      <c r="B199" s="1" t="n">
        <v>44172</v>
      </c>
      <c r="C199" s="1" t="n">
        <v>45340</v>
      </c>
      <c r="D199" t="inlineStr">
        <is>
          <t>NORRBOTTENS LÄN</t>
        </is>
      </c>
      <c r="E199" t="inlineStr">
        <is>
          <t>ÖVERTORNEÅ</t>
        </is>
      </c>
      <c r="G199" t="n">
        <v>9.300000000000001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68166-2020</t>
        </is>
      </c>
      <c r="B200" s="1" t="n">
        <v>44183</v>
      </c>
      <c r="C200" s="1" t="n">
        <v>45340</v>
      </c>
      <c r="D200" t="inlineStr">
        <is>
          <t>NORRBOTTENS LÄN</t>
        </is>
      </c>
      <c r="E200" t="inlineStr">
        <is>
          <t>ÖVERTORNEÅ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69535-2020</t>
        </is>
      </c>
      <c r="B201" s="1" t="n">
        <v>44194</v>
      </c>
      <c r="C201" s="1" t="n">
        <v>45340</v>
      </c>
      <c r="D201" t="inlineStr">
        <is>
          <t>NORRBOTTENS LÄN</t>
        </is>
      </c>
      <c r="E201" t="inlineStr">
        <is>
          <t>ÖVERTORNEÅ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2544-2021</t>
        </is>
      </c>
      <c r="B202" s="1" t="n">
        <v>44214</v>
      </c>
      <c r="C202" s="1" t="n">
        <v>45340</v>
      </c>
      <c r="D202" t="inlineStr">
        <is>
          <t>NORRBOTTENS LÄN</t>
        </is>
      </c>
      <c r="E202" t="inlineStr">
        <is>
          <t>ÖVERTORNEÅ</t>
        </is>
      </c>
      <c r="G202" t="n">
        <v>18.4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2743-2021</t>
        </is>
      </c>
      <c r="B203" s="1" t="n">
        <v>44214</v>
      </c>
      <c r="C203" s="1" t="n">
        <v>45340</v>
      </c>
      <c r="D203" t="inlineStr">
        <is>
          <t>NORRBOTTENS LÄN</t>
        </is>
      </c>
      <c r="E203" t="inlineStr">
        <is>
          <t>ÖVERTORNEÅ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3775-2021</t>
        </is>
      </c>
      <c r="B204" s="1" t="n">
        <v>44217</v>
      </c>
      <c r="C204" s="1" t="n">
        <v>45340</v>
      </c>
      <c r="D204" t="inlineStr">
        <is>
          <t>NORRBOTTENS LÄN</t>
        </is>
      </c>
      <c r="E204" t="inlineStr">
        <is>
          <t>ÖVERTORNEÅ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4792-2021</t>
        </is>
      </c>
      <c r="B205" s="1" t="n">
        <v>44225</v>
      </c>
      <c r="C205" s="1" t="n">
        <v>45340</v>
      </c>
      <c r="D205" t="inlineStr">
        <is>
          <t>NORRBOTTENS LÄN</t>
        </is>
      </c>
      <c r="E205" t="inlineStr">
        <is>
          <t>ÖVERTORNEÅ</t>
        </is>
      </c>
      <c r="G205" t="n">
        <v>48.7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7472-2021</t>
        </is>
      </c>
      <c r="B206" s="1" t="n">
        <v>44238</v>
      </c>
      <c r="C206" s="1" t="n">
        <v>45340</v>
      </c>
      <c r="D206" t="inlineStr">
        <is>
          <t>NORRBOTTENS LÄN</t>
        </is>
      </c>
      <c r="E206" t="inlineStr">
        <is>
          <t>ÖVERTORNEÅ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7470-2021</t>
        </is>
      </c>
      <c r="B207" s="1" t="n">
        <v>44238</v>
      </c>
      <c r="C207" s="1" t="n">
        <v>45340</v>
      </c>
      <c r="D207" t="inlineStr">
        <is>
          <t>NORRBOTTENS LÄN</t>
        </is>
      </c>
      <c r="E207" t="inlineStr">
        <is>
          <t>ÖVERTORNEÅ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7469-2021</t>
        </is>
      </c>
      <c r="B208" s="1" t="n">
        <v>44238</v>
      </c>
      <c r="C208" s="1" t="n">
        <v>45340</v>
      </c>
      <c r="D208" t="inlineStr">
        <is>
          <t>NORRBOTTENS LÄN</t>
        </is>
      </c>
      <c r="E208" t="inlineStr">
        <is>
          <t>ÖVERTORNEÅ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8495-2021</t>
        </is>
      </c>
      <c r="B209" s="1" t="n">
        <v>44244</v>
      </c>
      <c r="C209" s="1" t="n">
        <v>45340</v>
      </c>
      <c r="D209" t="inlineStr">
        <is>
          <t>NORRBOTTENS LÄN</t>
        </is>
      </c>
      <c r="E209" t="inlineStr">
        <is>
          <t>ÖVERTORNEÅ</t>
        </is>
      </c>
      <c r="G209" t="n">
        <v>18.5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8511-2021</t>
        </is>
      </c>
      <c r="B210" s="1" t="n">
        <v>44244</v>
      </c>
      <c r="C210" s="1" t="n">
        <v>45340</v>
      </c>
      <c r="D210" t="inlineStr">
        <is>
          <t>NORRBOTTENS LÄN</t>
        </is>
      </c>
      <c r="E210" t="inlineStr">
        <is>
          <t>ÖVERTORNEÅ</t>
        </is>
      </c>
      <c r="G210" t="n">
        <v>23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8898-2021</t>
        </is>
      </c>
      <c r="B211" s="1" t="n">
        <v>44245</v>
      </c>
      <c r="C211" s="1" t="n">
        <v>45340</v>
      </c>
      <c r="D211" t="inlineStr">
        <is>
          <t>NORRBOTTENS LÄN</t>
        </is>
      </c>
      <c r="E211" t="inlineStr">
        <is>
          <t>ÖVERTORNEÅ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9838-2021</t>
        </is>
      </c>
      <c r="B212" s="1" t="n">
        <v>44252</v>
      </c>
      <c r="C212" s="1" t="n">
        <v>45340</v>
      </c>
      <c r="D212" t="inlineStr">
        <is>
          <t>NORRBOTTENS LÄN</t>
        </is>
      </c>
      <c r="E212" t="inlineStr">
        <is>
          <t>ÖVERTORNEÅ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9842-2021</t>
        </is>
      </c>
      <c r="B213" s="1" t="n">
        <v>44252</v>
      </c>
      <c r="C213" s="1" t="n">
        <v>45340</v>
      </c>
      <c r="D213" t="inlineStr">
        <is>
          <t>NORRBOTTENS LÄN</t>
        </is>
      </c>
      <c r="E213" t="inlineStr">
        <is>
          <t>ÖVERTORNEÅ</t>
        </is>
      </c>
      <c r="G213" t="n">
        <v>8.800000000000001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10188-2021</t>
        </is>
      </c>
      <c r="B214" s="1" t="n">
        <v>44256</v>
      </c>
      <c r="C214" s="1" t="n">
        <v>45340</v>
      </c>
      <c r="D214" t="inlineStr">
        <is>
          <t>NORRBOTTENS LÄN</t>
        </is>
      </c>
      <c r="E214" t="inlineStr">
        <is>
          <t>ÖVERTORNEÅ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10619-2021</t>
        </is>
      </c>
      <c r="B215" s="1" t="n">
        <v>44258</v>
      </c>
      <c r="C215" s="1" t="n">
        <v>45340</v>
      </c>
      <c r="D215" t="inlineStr">
        <is>
          <t>NORRBOTTENS LÄN</t>
        </is>
      </c>
      <c r="E215" t="inlineStr">
        <is>
          <t>ÖVERTORNEÅ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13576-2021</t>
        </is>
      </c>
      <c r="B216" s="1" t="n">
        <v>44273</v>
      </c>
      <c r="C216" s="1" t="n">
        <v>45340</v>
      </c>
      <c r="D216" t="inlineStr">
        <is>
          <t>NORRBOTTENS LÄN</t>
        </is>
      </c>
      <c r="E216" t="inlineStr">
        <is>
          <t>ÖVERTORNEÅ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13866-2021</t>
        </is>
      </c>
      <c r="B217" s="1" t="n">
        <v>44277</v>
      </c>
      <c r="C217" s="1" t="n">
        <v>45340</v>
      </c>
      <c r="D217" t="inlineStr">
        <is>
          <t>NORRBOTTENS LÄN</t>
        </is>
      </c>
      <c r="E217" t="inlineStr">
        <is>
          <t>ÖVERTORNEÅ</t>
        </is>
      </c>
      <c r="G217" t="n">
        <v>9.6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13864-2021</t>
        </is>
      </c>
      <c r="B218" s="1" t="n">
        <v>44277</v>
      </c>
      <c r="C218" s="1" t="n">
        <v>45340</v>
      </c>
      <c r="D218" t="inlineStr">
        <is>
          <t>NORRBOTTENS LÄN</t>
        </is>
      </c>
      <c r="E218" t="inlineStr">
        <is>
          <t>ÖVERTORNEÅ</t>
        </is>
      </c>
      <c r="G218" t="n">
        <v>48.3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13861-2021</t>
        </is>
      </c>
      <c r="B219" s="1" t="n">
        <v>44277</v>
      </c>
      <c r="C219" s="1" t="n">
        <v>45340</v>
      </c>
      <c r="D219" t="inlineStr">
        <is>
          <t>NORRBOTTENS LÄN</t>
        </is>
      </c>
      <c r="E219" t="inlineStr">
        <is>
          <t>ÖVERTORNEÅ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13870-2021</t>
        </is>
      </c>
      <c r="B220" s="1" t="n">
        <v>44277</v>
      </c>
      <c r="C220" s="1" t="n">
        <v>45340</v>
      </c>
      <c r="D220" t="inlineStr">
        <is>
          <t>NORRBOTTENS LÄN</t>
        </is>
      </c>
      <c r="E220" t="inlineStr">
        <is>
          <t>ÖVERTORNEÅ</t>
        </is>
      </c>
      <c r="G220" t="n">
        <v>10.8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13859-2021</t>
        </is>
      </c>
      <c r="B221" s="1" t="n">
        <v>44277</v>
      </c>
      <c r="C221" s="1" t="n">
        <v>45340</v>
      </c>
      <c r="D221" t="inlineStr">
        <is>
          <t>NORRBOTTENS LÄN</t>
        </is>
      </c>
      <c r="E221" t="inlineStr">
        <is>
          <t>ÖVERTORNEÅ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13877-2021</t>
        </is>
      </c>
      <c r="B222" s="1" t="n">
        <v>44277</v>
      </c>
      <c r="C222" s="1" t="n">
        <v>45340</v>
      </c>
      <c r="D222" t="inlineStr">
        <is>
          <t>NORRBOTTENS LÄN</t>
        </is>
      </c>
      <c r="E222" t="inlineStr">
        <is>
          <t>ÖVERTORNEÅ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15238-2021</t>
        </is>
      </c>
      <c r="B223" s="1" t="n">
        <v>44284</v>
      </c>
      <c r="C223" s="1" t="n">
        <v>45340</v>
      </c>
      <c r="D223" t="inlineStr">
        <is>
          <t>NORRBOTTENS LÄN</t>
        </is>
      </c>
      <c r="E223" t="inlineStr">
        <is>
          <t>ÖVERTORNEÅ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15240-2021</t>
        </is>
      </c>
      <c r="B224" s="1" t="n">
        <v>44284</v>
      </c>
      <c r="C224" s="1" t="n">
        <v>45340</v>
      </c>
      <c r="D224" t="inlineStr">
        <is>
          <t>NORRBOTTENS LÄN</t>
        </is>
      </c>
      <c r="E224" t="inlineStr">
        <is>
          <t>ÖVERTORNEÅ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15239-2021</t>
        </is>
      </c>
      <c r="B225" s="1" t="n">
        <v>44284</v>
      </c>
      <c r="C225" s="1" t="n">
        <v>45340</v>
      </c>
      <c r="D225" t="inlineStr">
        <is>
          <t>NORRBOTTENS LÄN</t>
        </is>
      </c>
      <c r="E225" t="inlineStr">
        <is>
          <t>ÖVERTORNEÅ</t>
        </is>
      </c>
      <c r="G225" t="n">
        <v>9.300000000000001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15246-2021</t>
        </is>
      </c>
      <c r="B226" s="1" t="n">
        <v>44284</v>
      </c>
      <c r="C226" s="1" t="n">
        <v>45340</v>
      </c>
      <c r="D226" t="inlineStr">
        <is>
          <t>NORRBOTTENS LÄN</t>
        </is>
      </c>
      <c r="E226" t="inlineStr">
        <is>
          <t>ÖVERTORNEÅ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16111-2021</t>
        </is>
      </c>
      <c r="B227" s="1" t="n">
        <v>44291</v>
      </c>
      <c r="C227" s="1" t="n">
        <v>45340</v>
      </c>
      <c r="D227" t="inlineStr">
        <is>
          <t>NORRBOTTENS LÄN</t>
        </is>
      </c>
      <c r="E227" t="inlineStr">
        <is>
          <t>ÖVERTORNEÅ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16112-2021</t>
        </is>
      </c>
      <c r="B228" s="1" t="n">
        <v>44291</v>
      </c>
      <c r="C228" s="1" t="n">
        <v>45340</v>
      </c>
      <c r="D228" t="inlineStr">
        <is>
          <t>NORRBOTTENS LÄN</t>
        </is>
      </c>
      <c r="E228" t="inlineStr">
        <is>
          <t>ÖVERTORNEÅ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18449-2021</t>
        </is>
      </c>
      <c r="B229" s="1" t="n">
        <v>44305</v>
      </c>
      <c r="C229" s="1" t="n">
        <v>45340</v>
      </c>
      <c r="D229" t="inlineStr">
        <is>
          <t>NORRBOTTENS LÄN</t>
        </is>
      </c>
      <c r="E229" t="inlineStr">
        <is>
          <t>ÖVERTORNEÅ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18575-2021</t>
        </is>
      </c>
      <c r="B230" s="1" t="n">
        <v>44305</v>
      </c>
      <c r="C230" s="1" t="n">
        <v>45340</v>
      </c>
      <c r="D230" t="inlineStr">
        <is>
          <t>NORRBOTTENS LÄN</t>
        </is>
      </c>
      <c r="E230" t="inlineStr">
        <is>
          <t>ÖVERTORNEÅ</t>
        </is>
      </c>
      <c r="G230" t="n">
        <v>10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18566-2021</t>
        </is>
      </c>
      <c r="B231" s="1" t="n">
        <v>44305</v>
      </c>
      <c r="C231" s="1" t="n">
        <v>45340</v>
      </c>
      <c r="D231" t="inlineStr">
        <is>
          <t>NORRBOTTENS LÄN</t>
        </is>
      </c>
      <c r="E231" t="inlineStr">
        <is>
          <t>ÖVERTORNEÅ</t>
        </is>
      </c>
      <c r="G231" t="n">
        <v>7.9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18578-2021</t>
        </is>
      </c>
      <c r="B232" s="1" t="n">
        <v>44305</v>
      </c>
      <c r="C232" s="1" t="n">
        <v>45340</v>
      </c>
      <c r="D232" t="inlineStr">
        <is>
          <t>NORRBOTTENS LÄN</t>
        </is>
      </c>
      <c r="E232" t="inlineStr">
        <is>
          <t>ÖVERTORNEÅ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18577-2021</t>
        </is>
      </c>
      <c r="B233" s="1" t="n">
        <v>44305</v>
      </c>
      <c r="C233" s="1" t="n">
        <v>45340</v>
      </c>
      <c r="D233" t="inlineStr">
        <is>
          <t>NORRBOTTENS LÄN</t>
        </is>
      </c>
      <c r="E233" t="inlineStr">
        <is>
          <t>ÖVERTORNEÅ</t>
        </is>
      </c>
      <c r="G233" t="n">
        <v>16.9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19401-2021</t>
        </is>
      </c>
      <c r="B234" s="1" t="n">
        <v>44310</v>
      </c>
      <c r="C234" s="1" t="n">
        <v>45340</v>
      </c>
      <c r="D234" t="inlineStr">
        <is>
          <t>NORRBOTTENS LÄN</t>
        </is>
      </c>
      <c r="E234" t="inlineStr">
        <is>
          <t>ÖVERTORNEÅ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19845-2021</t>
        </is>
      </c>
      <c r="B235" s="1" t="n">
        <v>44312</v>
      </c>
      <c r="C235" s="1" t="n">
        <v>45340</v>
      </c>
      <c r="D235" t="inlineStr">
        <is>
          <t>NORRBOTTENS LÄN</t>
        </is>
      </c>
      <c r="E235" t="inlineStr">
        <is>
          <t>ÖVERTORNEÅ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22726-2021</t>
        </is>
      </c>
      <c r="B236" s="1" t="n">
        <v>44327</v>
      </c>
      <c r="C236" s="1" t="n">
        <v>45340</v>
      </c>
      <c r="D236" t="inlineStr">
        <is>
          <t>NORRBOTTENS LÄN</t>
        </is>
      </c>
      <c r="E236" t="inlineStr">
        <is>
          <t>ÖVERTORNEÅ</t>
        </is>
      </c>
      <c r="G236" t="n">
        <v>20.2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24416-2021</t>
        </is>
      </c>
      <c r="B237" s="1" t="n">
        <v>44337</v>
      </c>
      <c r="C237" s="1" t="n">
        <v>45340</v>
      </c>
      <c r="D237" t="inlineStr">
        <is>
          <t>NORRBOTTENS LÄN</t>
        </is>
      </c>
      <c r="E237" t="inlineStr">
        <is>
          <t>ÖVERTORNEÅ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27789-2021</t>
        </is>
      </c>
      <c r="B238" s="1" t="n">
        <v>44354</v>
      </c>
      <c r="C238" s="1" t="n">
        <v>45340</v>
      </c>
      <c r="D238" t="inlineStr">
        <is>
          <t>NORRBOTTENS LÄN</t>
        </is>
      </c>
      <c r="E238" t="inlineStr">
        <is>
          <t>ÖVERTORNEÅ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29945-2021</t>
        </is>
      </c>
      <c r="B239" s="1" t="n">
        <v>44363</v>
      </c>
      <c r="C239" s="1" t="n">
        <v>45340</v>
      </c>
      <c r="D239" t="inlineStr">
        <is>
          <t>NORRBOTTENS LÄN</t>
        </is>
      </c>
      <c r="E239" t="inlineStr">
        <is>
          <t>ÖVERTORNEÅ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30688-2021</t>
        </is>
      </c>
      <c r="B240" s="1" t="n">
        <v>44365</v>
      </c>
      <c r="C240" s="1" t="n">
        <v>45340</v>
      </c>
      <c r="D240" t="inlineStr">
        <is>
          <t>NORRBOTTENS LÄN</t>
        </is>
      </c>
      <c r="E240" t="inlineStr">
        <is>
          <t>ÖVERTORNEÅ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31008-2021</t>
        </is>
      </c>
      <c r="B241" s="1" t="n">
        <v>44366</v>
      </c>
      <c r="C241" s="1" t="n">
        <v>45340</v>
      </c>
      <c r="D241" t="inlineStr">
        <is>
          <t>NORRBOTTENS LÄN</t>
        </is>
      </c>
      <c r="E241" t="inlineStr">
        <is>
          <t>ÖVERTORNEÅ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31007-2021</t>
        </is>
      </c>
      <c r="B242" s="1" t="n">
        <v>44366</v>
      </c>
      <c r="C242" s="1" t="n">
        <v>45340</v>
      </c>
      <c r="D242" t="inlineStr">
        <is>
          <t>NORRBOTTENS LÄN</t>
        </is>
      </c>
      <c r="E242" t="inlineStr">
        <is>
          <t>ÖVERTORNEÅ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31444-2021</t>
        </is>
      </c>
      <c r="B243" s="1" t="n">
        <v>44369</v>
      </c>
      <c r="C243" s="1" t="n">
        <v>45340</v>
      </c>
      <c r="D243" t="inlineStr">
        <is>
          <t>NORRBOTTENS LÄN</t>
        </is>
      </c>
      <c r="E243" t="inlineStr">
        <is>
          <t>ÖVERTORNEÅ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32902-2021</t>
        </is>
      </c>
      <c r="B244" s="1" t="n">
        <v>44376</v>
      </c>
      <c r="C244" s="1" t="n">
        <v>45340</v>
      </c>
      <c r="D244" t="inlineStr">
        <is>
          <t>NORRBOTTENS LÄN</t>
        </is>
      </c>
      <c r="E244" t="inlineStr">
        <is>
          <t>ÖVERTORNEÅ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36202-2021</t>
        </is>
      </c>
      <c r="B245" s="1" t="n">
        <v>44389</v>
      </c>
      <c r="C245" s="1" t="n">
        <v>45340</v>
      </c>
      <c r="D245" t="inlineStr">
        <is>
          <t>NORRBOTTENS LÄN</t>
        </is>
      </c>
      <c r="E245" t="inlineStr">
        <is>
          <t>ÖVERTORNEÅ</t>
        </is>
      </c>
      <c r="F245" t="inlineStr">
        <is>
          <t>Sveaskog</t>
        </is>
      </c>
      <c r="G245" t="n">
        <v>34.9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37607-2021</t>
        </is>
      </c>
      <c r="B246" s="1" t="n">
        <v>44399</v>
      </c>
      <c r="C246" s="1" t="n">
        <v>45340</v>
      </c>
      <c r="D246" t="inlineStr">
        <is>
          <t>NORRBOTTENS LÄN</t>
        </is>
      </c>
      <c r="E246" t="inlineStr">
        <is>
          <t>ÖVERTORNEÅ</t>
        </is>
      </c>
      <c r="G246" t="n">
        <v>12.1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37846-2021</t>
        </is>
      </c>
      <c r="B247" s="1" t="n">
        <v>44403</v>
      </c>
      <c r="C247" s="1" t="n">
        <v>45340</v>
      </c>
      <c r="D247" t="inlineStr">
        <is>
          <t>NORRBOTTENS LÄN</t>
        </is>
      </c>
      <c r="E247" t="inlineStr">
        <is>
          <t>ÖVERTORNEÅ</t>
        </is>
      </c>
      <c r="G247" t="n">
        <v>11.2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38002-2021</t>
        </is>
      </c>
      <c r="B248" s="1" t="n">
        <v>44404</v>
      </c>
      <c r="C248" s="1" t="n">
        <v>45340</v>
      </c>
      <c r="D248" t="inlineStr">
        <is>
          <t>NORRBOTTENS LÄN</t>
        </is>
      </c>
      <c r="E248" t="inlineStr">
        <is>
          <t>ÖVERTORNEÅ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38152-2021</t>
        </is>
      </c>
      <c r="B249" s="1" t="n">
        <v>44405</v>
      </c>
      <c r="C249" s="1" t="n">
        <v>45340</v>
      </c>
      <c r="D249" t="inlineStr">
        <is>
          <t>NORRBOTTENS LÄN</t>
        </is>
      </c>
      <c r="E249" t="inlineStr">
        <is>
          <t>ÖVERTORNEÅ</t>
        </is>
      </c>
      <c r="G249" t="n">
        <v>14.8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38156-2021</t>
        </is>
      </c>
      <c r="B250" s="1" t="n">
        <v>44405</v>
      </c>
      <c r="C250" s="1" t="n">
        <v>45340</v>
      </c>
      <c r="D250" t="inlineStr">
        <is>
          <t>NORRBOTTENS LÄN</t>
        </is>
      </c>
      <c r="E250" t="inlineStr">
        <is>
          <t>ÖVERTORNEÅ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38696-2021</t>
        </is>
      </c>
      <c r="B251" s="1" t="n">
        <v>44406</v>
      </c>
      <c r="C251" s="1" t="n">
        <v>45340</v>
      </c>
      <c r="D251" t="inlineStr">
        <is>
          <t>NORRBOTTENS LÄN</t>
        </is>
      </c>
      <c r="E251" t="inlineStr">
        <is>
          <t>ÖVERTORNEÅ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38500-2021</t>
        </is>
      </c>
      <c r="B252" s="1" t="n">
        <v>44406</v>
      </c>
      <c r="C252" s="1" t="n">
        <v>45340</v>
      </c>
      <c r="D252" t="inlineStr">
        <is>
          <t>NORRBOTTENS LÄN</t>
        </is>
      </c>
      <c r="E252" t="inlineStr">
        <is>
          <t>ÖVERTORNEÅ</t>
        </is>
      </c>
      <c r="G252" t="n">
        <v>17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39893-2021</t>
        </is>
      </c>
      <c r="B253" s="1" t="n">
        <v>44417</v>
      </c>
      <c r="C253" s="1" t="n">
        <v>45340</v>
      </c>
      <c r="D253" t="inlineStr">
        <is>
          <t>NORRBOTTENS LÄN</t>
        </is>
      </c>
      <c r="E253" t="inlineStr">
        <is>
          <t>ÖVERTORNEÅ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41137-2021</t>
        </is>
      </c>
      <c r="B254" s="1" t="n">
        <v>44423</v>
      </c>
      <c r="C254" s="1" t="n">
        <v>45340</v>
      </c>
      <c r="D254" t="inlineStr">
        <is>
          <t>NORRBOTTENS LÄN</t>
        </is>
      </c>
      <c r="E254" t="inlineStr">
        <is>
          <t>ÖVERTORNEÅ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41197-2021</t>
        </is>
      </c>
      <c r="B255" s="1" t="n">
        <v>44424</v>
      </c>
      <c r="C255" s="1" t="n">
        <v>45340</v>
      </c>
      <c r="D255" t="inlineStr">
        <is>
          <t>NORRBOTTENS LÄN</t>
        </is>
      </c>
      <c r="E255" t="inlineStr">
        <is>
          <t>ÖVERTORNEÅ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42172-2021</t>
        </is>
      </c>
      <c r="B256" s="1" t="n">
        <v>44426</v>
      </c>
      <c r="C256" s="1" t="n">
        <v>45340</v>
      </c>
      <c r="D256" t="inlineStr">
        <is>
          <t>NORRBOTTENS LÄN</t>
        </is>
      </c>
      <c r="E256" t="inlineStr">
        <is>
          <t>ÖVERTORNEÅ</t>
        </is>
      </c>
      <c r="F256" t="inlineStr">
        <is>
          <t>Sveaskog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43407-2021</t>
        </is>
      </c>
      <c r="B257" s="1" t="n">
        <v>44432</v>
      </c>
      <c r="C257" s="1" t="n">
        <v>45340</v>
      </c>
      <c r="D257" t="inlineStr">
        <is>
          <t>NORRBOTTENS LÄN</t>
        </is>
      </c>
      <c r="E257" t="inlineStr">
        <is>
          <t>ÖVERTORNEÅ</t>
        </is>
      </c>
      <c r="F257" t="inlineStr">
        <is>
          <t>Sveaskog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43487-2021</t>
        </is>
      </c>
      <c r="B258" s="1" t="n">
        <v>44433</v>
      </c>
      <c r="C258" s="1" t="n">
        <v>45340</v>
      </c>
      <c r="D258" t="inlineStr">
        <is>
          <t>NORRBOTTENS LÄN</t>
        </is>
      </c>
      <c r="E258" t="inlineStr">
        <is>
          <t>ÖVERTORNEÅ</t>
        </is>
      </c>
      <c r="G258" t="n">
        <v>22.5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44278-2021</t>
        </is>
      </c>
      <c r="B259" s="1" t="n">
        <v>44433</v>
      </c>
      <c r="C259" s="1" t="n">
        <v>45340</v>
      </c>
      <c r="D259" t="inlineStr">
        <is>
          <t>NORRBOTTENS LÄN</t>
        </is>
      </c>
      <c r="E259" t="inlineStr">
        <is>
          <t>ÖVERTORNEÅ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45566-2021</t>
        </is>
      </c>
      <c r="B260" s="1" t="n">
        <v>44440</v>
      </c>
      <c r="C260" s="1" t="n">
        <v>45340</v>
      </c>
      <c r="D260" t="inlineStr">
        <is>
          <t>NORRBOTTENS LÄN</t>
        </is>
      </c>
      <c r="E260" t="inlineStr">
        <is>
          <t>ÖVERTORNEÅ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46022-2021</t>
        </is>
      </c>
      <c r="B261" s="1" t="n">
        <v>44442</v>
      </c>
      <c r="C261" s="1" t="n">
        <v>45340</v>
      </c>
      <c r="D261" t="inlineStr">
        <is>
          <t>NORRBOTTENS LÄN</t>
        </is>
      </c>
      <c r="E261" t="inlineStr">
        <is>
          <t>ÖVERTORNEÅ</t>
        </is>
      </c>
      <c r="G261" t="n">
        <v>8.800000000000001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46031-2021</t>
        </is>
      </c>
      <c r="B262" s="1" t="n">
        <v>44441</v>
      </c>
      <c r="C262" s="1" t="n">
        <v>45340</v>
      </c>
      <c r="D262" t="inlineStr">
        <is>
          <t>NORRBOTTENS LÄN</t>
        </is>
      </c>
      <c r="E262" t="inlineStr">
        <is>
          <t>ÖVERTORNEÅ</t>
        </is>
      </c>
      <c r="G262" t="n">
        <v>9.9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46026-2021</t>
        </is>
      </c>
      <c r="B263" s="1" t="n">
        <v>44442</v>
      </c>
      <c r="C263" s="1" t="n">
        <v>45340</v>
      </c>
      <c r="D263" t="inlineStr">
        <is>
          <t>NORRBOTTENS LÄN</t>
        </is>
      </c>
      <c r="E263" t="inlineStr">
        <is>
          <t>ÖVERTORNEÅ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46035-2021</t>
        </is>
      </c>
      <c r="B264" s="1" t="n">
        <v>44441</v>
      </c>
      <c r="C264" s="1" t="n">
        <v>45340</v>
      </c>
      <c r="D264" t="inlineStr">
        <is>
          <t>NORRBOTTENS LÄN</t>
        </is>
      </c>
      <c r="E264" t="inlineStr">
        <is>
          <t>ÖVERTORNEÅ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46024-2021</t>
        </is>
      </c>
      <c r="B265" s="1" t="n">
        <v>44441</v>
      </c>
      <c r="C265" s="1" t="n">
        <v>45340</v>
      </c>
      <c r="D265" t="inlineStr">
        <is>
          <t>NORRBOTTENS LÄN</t>
        </is>
      </c>
      <c r="E265" t="inlineStr">
        <is>
          <t>ÖVERTORNEÅ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46032-2021</t>
        </is>
      </c>
      <c r="B266" s="1" t="n">
        <v>44441</v>
      </c>
      <c r="C266" s="1" t="n">
        <v>45340</v>
      </c>
      <c r="D266" t="inlineStr">
        <is>
          <t>NORRBOTTENS LÄN</t>
        </is>
      </c>
      <c r="E266" t="inlineStr">
        <is>
          <t>ÖVERTORNEÅ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46027-2021</t>
        </is>
      </c>
      <c r="B267" s="1" t="n">
        <v>44442</v>
      </c>
      <c r="C267" s="1" t="n">
        <v>45340</v>
      </c>
      <c r="D267" t="inlineStr">
        <is>
          <t>NORRBOTTENS LÄN</t>
        </is>
      </c>
      <c r="E267" t="inlineStr">
        <is>
          <t>ÖVERTORNEÅ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46037-2021</t>
        </is>
      </c>
      <c r="B268" s="1" t="n">
        <v>44441</v>
      </c>
      <c r="C268" s="1" t="n">
        <v>45340</v>
      </c>
      <c r="D268" t="inlineStr">
        <is>
          <t>NORRBOTTENS LÄN</t>
        </is>
      </c>
      <c r="E268" t="inlineStr">
        <is>
          <t>ÖVERTORNEÅ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46973-2021</t>
        </is>
      </c>
      <c r="B269" s="1" t="n">
        <v>44446</v>
      </c>
      <c r="C269" s="1" t="n">
        <v>45340</v>
      </c>
      <c r="D269" t="inlineStr">
        <is>
          <t>NORRBOTTENS LÄN</t>
        </is>
      </c>
      <c r="E269" t="inlineStr">
        <is>
          <t>ÖVERTORNEÅ</t>
        </is>
      </c>
      <c r="G269" t="n">
        <v>6.5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48792-2021</t>
        </is>
      </c>
      <c r="B270" s="1" t="n">
        <v>44452</v>
      </c>
      <c r="C270" s="1" t="n">
        <v>45340</v>
      </c>
      <c r="D270" t="inlineStr">
        <is>
          <t>NORRBOTTENS LÄN</t>
        </is>
      </c>
      <c r="E270" t="inlineStr">
        <is>
          <t>ÖVERTORNEÅ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48770-2021</t>
        </is>
      </c>
      <c r="B271" s="1" t="n">
        <v>44452</v>
      </c>
      <c r="C271" s="1" t="n">
        <v>45340</v>
      </c>
      <c r="D271" t="inlineStr">
        <is>
          <t>NORRBOTTENS LÄN</t>
        </is>
      </c>
      <c r="E271" t="inlineStr">
        <is>
          <t>ÖVERTORNEÅ</t>
        </is>
      </c>
      <c r="G271" t="n">
        <v>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48780-2021</t>
        </is>
      </c>
      <c r="B272" s="1" t="n">
        <v>44452</v>
      </c>
      <c r="C272" s="1" t="n">
        <v>45340</v>
      </c>
      <c r="D272" t="inlineStr">
        <is>
          <t>NORRBOTTENS LÄN</t>
        </is>
      </c>
      <c r="E272" t="inlineStr">
        <is>
          <t>ÖVERTORNEÅ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48746-2021</t>
        </is>
      </c>
      <c r="B273" s="1" t="n">
        <v>44452</v>
      </c>
      <c r="C273" s="1" t="n">
        <v>45340</v>
      </c>
      <c r="D273" t="inlineStr">
        <is>
          <t>NORRBOTTENS LÄN</t>
        </is>
      </c>
      <c r="E273" t="inlineStr">
        <is>
          <t>ÖVERTORNEÅ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52288-2021</t>
        </is>
      </c>
      <c r="B274" s="1" t="n">
        <v>44463</v>
      </c>
      <c r="C274" s="1" t="n">
        <v>45340</v>
      </c>
      <c r="D274" t="inlineStr">
        <is>
          <t>NORRBOTTENS LÄN</t>
        </is>
      </c>
      <c r="E274" t="inlineStr">
        <is>
          <t>ÖVERTORNEÅ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57636-2021</t>
        </is>
      </c>
      <c r="B275" s="1" t="n">
        <v>44484</v>
      </c>
      <c r="C275" s="1" t="n">
        <v>45340</v>
      </c>
      <c r="D275" t="inlineStr">
        <is>
          <t>NORRBOTTENS LÄN</t>
        </is>
      </c>
      <c r="E275" t="inlineStr">
        <is>
          <t>ÖVERTORNEÅ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57849-2021</t>
        </is>
      </c>
      <c r="B276" s="1" t="n">
        <v>44484</v>
      </c>
      <c r="C276" s="1" t="n">
        <v>45340</v>
      </c>
      <c r="D276" t="inlineStr">
        <is>
          <t>NORRBOTTENS LÄN</t>
        </is>
      </c>
      <c r="E276" t="inlineStr">
        <is>
          <t>ÖVERTORNEÅ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58185-2021</t>
        </is>
      </c>
      <c r="B277" s="1" t="n">
        <v>44487</v>
      </c>
      <c r="C277" s="1" t="n">
        <v>45340</v>
      </c>
      <c r="D277" t="inlineStr">
        <is>
          <t>NORRBOTTENS LÄN</t>
        </is>
      </c>
      <c r="E277" t="inlineStr">
        <is>
          <t>ÖVERTORNEÅ</t>
        </is>
      </c>
      <c r="F277" t="inlineStr">
        <is>
          <t>Sveaskog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58304-2021</t>
        </is>
      </c>
      <c r="B278" s="1" t="n">
        <v>44488</v>
      </c>
      <c r="C278" s="1" t="n">
        <v>45340</v>
      </c>
      <c r="D278" t="inlineStr">
        <is>
          <t>NORRBOTTENS LÄN</t>
        </is>
      </c>
      <c r="E278" t="inlineStr">
        <is>
          <t>ÖVERTORNEÅ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58691-2021</t>
        </is>
      </c>
      <c r="B279" s="1" t="n">
        <v>44489</v>
      </c>
      <c r="C279" s="1" t="n">
        <v>45340</v>
      </c>
      <c r="D279" t="inlineStr">
        <is>
          <t>NORRBOTTENS LÄN</t>
        </is>
      </c>
      <c r="E279" t="inlineStr">
        <is>
          <t>ÖVERTORNEÅ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60133-2021</t>
        </is>
      </c>
      <c r="B280" s="1" t="n">
        <v>44494</v>
      </c>
      <c r="C280" s="1" t="n">
        <v>45340</v>
      </c>
      <c r="D280" t="inlineStr">
        <is>
          <t>NORRBOTTENS LÄN</t>
        </is>
      </c>
      <c r="E280" t="inlineStr">
        <is>
          <t>ÖVERTORNEÅ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60948-2021</t>
        </is>
      </c>
      <c r="B281" s="1" t="n">
        <v>44497</v>
      </c>
      <c r="C281" s="1" t="n">
        <v>45340</v>
      </c>
      <c r="D281" t="inlineStr">
        <is>
          <t>NORRBOTTENS LÄN</t>
        </is>
      </c>
      <c r="E281" t="inlineStr">
        <is>
          <t>ÖVERTORNEÅ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62851-2021</t>
        </is>
      </c>
      <c r="B282" s="1" t="n">
        <v>44504</v>
      </c>
      <c r="C282" s="1" t="n">
        <v>45340</v>
      </c>
      <c r="D282" t="inlineStr">
        <is>
          <t>NORRBOTTENS LÄN</t>
        </is>
      </c>
      <c r="E282" t="inlineStr">
        <is>
          <t>ÖVERTORNEÅ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62856-2021</t>
        </is>
      </c>
      <c r="B283" s="1" t="n">
        <v>44504</v>
      </c>
      <c r="C283" s="1" t="n">
        <v>45340</v>
      </c>
      <c r="D283" t="inlineStr">
        <is>
          <t>NORRBOTTENS LÄN</t>
        </is>
      </c>
      <c r="E283" t="inlineStr">
        <is>
          <t>ÖVERTORNEÅ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63347-2021</t>
        </is>
      </c>
      <c r="B284" s="1" t="n">
        <v>44508</v>
      </c>
      <c r="C284" s="1" t="n">
        <v>45340</v>
      </c>
      <c r="D284" t="inlineStr">
        <is>
          <t>NORRBOTTENS LÄN</t>
        </is>
      </c>
      <c r="E284" t="inlineStr">
        <is>
          <t>ÖVERTORNEÅ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63351-2021</t>
        </is>
      </c>
      <c r="B285" s="1" t="n">
        <v>44508</v>
      </c>
      <c r="C285" s="1" t="n">
        <v>45340</v>
      </c>
      <c r="D285" t="inlineStr">
        <is>
          <t>NORRBOTTENS LÄN</t>
        </is>
      </c>
      <c r="E285" t="inlineStr">
        <is>
          <t>ÖVERTORNEÅ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63735-2021</t>
        </is>
      </c>
      <c r="B286" s="1" t="n">
        <v>44508</v>
      </c>
      <c r="C286" s="1" t="n">
        <v>45340</v>
      </c>
      <c r="D286" t="inlineStr">
        <is>
          <t>NORRBOTTENS LÄN</t>
        </is>
      </c>
      <c r="E286" t="inlineStr">
        <is>
          <t>ÖVERTORNEÅ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63738-2021</t>
        </is>
      </c>
      <c r="B287" s="1" t="n">
        <v>44508</v>
      </c>
      <c r="C287" s="1" t="n">
        <v>45340</v>
      </c>
      <c r="D287" t="inlineStr">
        <is>
          <t>NORRBOTTENS LÄN</t>
        </is>
      </c>
      <c r="E287" t="inlineStr">
        <is>
          <t>ÖVERTORNEÅ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65110-2021</t>
        </is>
      </c>
      <c r="B288" s="1" t="n">
        <v>44515</v>
      </c>
      <c r="C288" s="1" t="n">
        <v>45340</v>
      </c>
      <c r="D288" t="inlineStr">
        <is>
          <t>NORRBOTTENS LÄN</t>
        </is>
      </c>
      <c r="E288" t="inlineStr">
        <is>
          <t>ÖVERTORNEÅ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66737-2021</t>
        </is>
      </c>
      <c r="B289" s="1" t="n">
        <v>44520</v>
      </c>
      <c r="C289" s="1" t="n">
        <v>45340</v>
      </c>
      <c r="D289" t="inlineStr">
        <is>
          <t>NORRBOTTENS LÄN</t>
        </is>
      </c>
      <c r="E289" t="inlineStr">
        <is>
          <t>ÖVERTORNEÅ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66775-2021</t>
        </is>
      </c>
      <c r="B290" s="1" t="n">
        <v>44522</v>
      </c>
      <c r="C290" s="1" t="n">
        <v>45340</v>
      </c>
      <c r="D290" t="inlineStr">
        <is>
          <t>NORRBOTTENS LÄN</t>
        </is>
      </c>
      <c r="E290" t="inlineStr">
        <is>
          <t>ÖVERTORNEÅ</t>
        </is>
      </c>
      <c r="G290" t="n">
        <v>15.1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68764-2021</t>
        </is>
      </c>
      <c r="B291" s="1" t="n">
        <v>44529</v>
      </c>
      <c r="C291" s="1" t="n">
        <v>45340</v>
      </c>
      <c r="D291" t="inlineStr">
        <is>
          <t>NORRBOTTENS LÄN</t>
        </is>
      </c>
      <c r="E291" t="inlineStr">
        <is>
          <t>ÖVERTORNEÅ</t>
        </is>
      </c>
      <c r="G291" t="n">
        <v>19.2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69402-2021</t>
        </is>
      </c>
      <c r="B292" s="1" t="n">
        <v>44531</v>
      </c>
      <c r="C292" s="1" t="n">
        <v>45340</v>
      </c>
      <c r="D292" t="inlineStr">
        <is>
          <t>NORRBOTTENS LÄN</t>
        </is>
      </c>
      <c r="E292" t="inlineStr">
        <is>
          <t>ÖVERTORNEÅ</t>
        </is>
      </c>
      <c r="F292" t="inlineStr">
        <is>
          <t>Sveaskog</t>
        </is>
      </c>
      <c r="G292" t="n">
        <v>21.1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69898-2021</t>
        </is>
      </c>
      <c r="B293" s="1" t="n">
        <v>44532</v>
      </c>
      <c r="C293" s="1" t="n">
        <v>45340</v>
      </c>
      <c r="D293" t="inlineStr">
        <is>
          <t>NORRBOTTENS LÄN</t>
        </is>
      </c>
      <c r="E293" t="inlineStr">
        <is>
          <t>ÖVERTORNEÅ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70415-2021</t>
        </is>
      </c>
      <c r="B294" s="1" t="n">
        <v>44536</v>
      </c>
      <c r="C294" s="1" t="n">
        <v>45340</v>
      </c>
      <c r="D294" t="inlineStr">
        <is>
          <t>NORRBOTTENS LÄN</t>
        </is>
      </c>
      <c r="E294" t="inlineStr">
        <is>
          <t>ÖVERTORNEÅ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70413-2021</t>
        </is>
      </c>
      <c r="B295" s="1" t="n">
        <v>44536</v>
      </c>
      <c r="C295" s="1" t="n">
        <v>45340</v>
      </c>
      <c r="D295" t="inlineStr">
        <is>
          <t>NORRBOTTENS LÄN</t>
        </is>
      </c>
      <c r="E295" t="inlineStr">
        <is>
          <t>ÖVERTORNEÅ</t>
        </is>
      </c>
      <c r="G295" t="n">
        <v>11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70617-2021</t>
        </is>
      </c>
      <c r="B296" s="1" t="n">
        <v>44537</v>
      </c>
      <c r="C296" s="1" t="n">
        <v>45340</v>
      </c>
      <c r="D296" t="inlineStr">
        <is>
          <t>NORRBOTTENS LÄN</t>
        </is>
      </c>
      <c r="E296" t="inlineStr">
        <is>
          <t>ÖVERTORNEÅ</t>
        </is>
      </c>
      <c r="F296" t="inlineStr">
        <is>
          <t>Kyrkan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71381-2021</t>
        </is>
      </c>
      <c r="B297" s="1" t="n">
        <v>44538</v>
      </c>
      <c r="C297" s="1" t="n">
        <v>45340</v>
      </c>
      <c r="D297" t="inlineStr">
        <is>
          <t>NORRBOTTENS LÄN</t>
        </is>
      </c>
      <c r="E297" t="inlineStr">
        <is>
          <t>ÖVERTORNEÅ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72442-2021</t>
        </is>
      </c>
      <c r="B298" s="1" t="n">
        <v>44544</v>
      </c>
      <c r="C298" s="1" t="n">
        <v>45340</v>
      </c>
      <c r="D298" t="inlineStr">
        <is>
          <t>NORRBOTTENS LÄN</t>
        </is>
      </c>
      <c r="E298" t="inlineStr">
        <is>
          <t>ÖVERTORNEÅ</t>
        </is>
      </c>
      <c r="G298" t="n">
        <v>12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72299-2021</t>
        </is>
      </c>
      <c r="B299" s="1" t="n">
        <v>44545</v>
      </c>
      <c r="C299" s="1" t="n">
        <v>45340</v>
      </c>
      <c r="D299" t="inlineStr">
        <is>
          <t>NORRBOTTENS LÄN</t>
        </is>
      </c>
      <c r="E299" t="inlineStr">
        <is>
          <t>ÖVERTORNEÅ</t>
        </is>
      </c>
      <c r="F299" t="inlineStr">
        <is>
          <t>Sveaskog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73605-2021</t>
        </is>
      </c>
      <c r="B300" s="1" t="n">
        <v>44551</v>
      </c>
      <c r="C300" s="1" t="n">
        <v>45340</v>
      </c>
      <c r="D300" t="inlineStr">
        <is>
          <t>NORRBOTTENS LÄN</t>
        </is>
      </c>
      <c r="E300" t="inlineStr">
        <is>
          <t>ÖVERTORNEÅ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73603-2021</t>
        </is>
      </c>
      <c r="B301" s="1" t="n">
        <v>44551</v>
      </c>
      <c r="C301" s="1" t="n">
        <v>45340</v>
      </c>
      <c r="D301" t="inlineStr">
        <is>
          <t>NORRBOTTENS LÄN</t>
        </is>
      </c>
      <c r="E301" t="inlineStr">
        <is>
          <t>ÖVERTORNEÅ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74231-2021</t>
        </is>
      </c>
      <c r="B302" s="1" t="n">
        <v>44553</v>
      </c>
      <c r="C302" s="1" t="n">
        <v>45340</v>
      </c>
      <c r="D302" t="inlineStr">
        <is>
          <t>NORRBOTTENS LÄN</t>
        </is>
      </c>
      <c r="E302" t="inlineStr">
        <is>
          <t>ÖVERTORNEÅ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74228-2021</t>
        </is>
      </c>
      <c r="B303" s="1" t="n">
        <v>44553</v>
      </c>
      <c r="C303" s="1" t="n">
        <v>45340</v>
      </c>
      <c r="D303" t="inlineStr">
        <is>
          <t>NORRBOTTENS LÄN</t>
        </is>
      </c>
      <c r="E303" t="inlineStr">
        <is>
          <t>ÖVERTORNEÅ</t>
        </is>
      </c>
      <c r="G303" t="n">
        <v>27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74232-2021</t>
        </is>
      </c>
      <c r="B304" s="1" t="n">
        <v>44553</v>
      </c>
      <c r="C304" s="1" t="n">
        <v>45340</v>
      </c>
      <c r="D304" t="inlineStr">
        <is>
          <t>NORRBOTTENS LÄN</t>
        </is>
      </c>
      <c r="E304" t="inlineStr">
        <is>
          <t>ÖVERTORNEÅ</t>
        </is>
      </c>
      <c r="G304" t="n">
        <v>8.4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74235-2021</t>
        </is>
      </c>
      <c r="B305" s="1" t="n">
        <v>44553</v>
      </c>
      <c r="C305" s="1" t="n">
        <v>45340</v>
      </c>
      <c r="D305" t="inlineStr">
        <is>
          <t>NORRBOTTENS LÄN</t>
        </is>
      </c>
      <c r="E305" t="inlineStr">
        <is>
          <t>ÖVERTORNEÅ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74057-2021</t>
        </is>
      </c>
      <c r="B306" s="1" t="n">
        <v>44557</v>
      </c>
      <c r="C306" s="1" t="n">
        <v>45340</v>
      </c>
      <c r="D306" t="inlineStr">
        <is>
          <t>NORRBOTTENS LÄN</t>
        </is>
      </c>
      <c r="E306" t="inlineStr">
        <is>
          <t>ÖVERTORNEÅ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74158-2021</t>
        </is>
      </c>
      <c r="B307" s="1" t="n">
        <v>44557</v>
      </c>
      <c r="C307" s="1" t="n">
        <v>45340</v>
      </c>
      <c r="D307" t="inlineStr">
        <is>
          <t>NORRBOTTENS LÄN</t>
        </is>
      </c>
      <c r="E307" t="inlineStr">
        <is>
          <t>ÖVERTORNEÅ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74163-2021</t>
        </is>
      </c>
      <c r="B308" s="1" t="n">
        <v>44557</v>
      </c>
      <c r="C308" s="1" t="n">
        <v>45340</v>
      </c>
      <c r="D308" t="inlineStr">
        <is>
          <t>NORRBOTTENS LÄN</t>
        </is>
      </c>
      <c r="E308" t="inlineStr">
        <is>
          <t>ÖVERTORNEÅ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313-2022</t>
        </is>
      </c>
      <c r="B309" s="1" t="n">
        <v>44564</v>
      </c>
      <c r="C309" s="1" t="n">
        <v>45340</v>
      </c>
      <c r="D309" t="inlineStr">
        <is>
          <t>NORRBOTTENS LÄN</t>
        </is>
      </c>
      <c r="E309" t="inlineStr">
        <is>
          <t>ÖVERTORNEÅ</t>
        </is>
      </c>
      <c r="G309" t="n">
        <v>13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1090-2022</t>
        </is>
      </c>
      <c r="B310" s="1" t="n">
        <v>44571</v>
      </c>
      <c r="C310" s="1" t="n">
        <v>45340</v>
      </c>
      <c r="D310" t="inlineStr">
        <is>
          <t>NORRBOTTENS LÄN</t>
        </is>
      </c>
      <c r="E310" t="inlineStr">
        <is>
          <t>ÖVERTORNEÅ</t>
        </is>
      </c>
      <c r="G310" t="n">
        <v>23.1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1091-2022</t>
        </is>
      </c>
      <c r="B311" s="1" t="n">
        <v>44571</v>
      </c>
      <c r="C311" s="1" t="n">
        <v>45340</v>
      </c>
      <c r="D311" t="inlineStr">
        <is>
          <t>NORRBOTTENS LÄN</t>
        </is>
      </c>
      <c r="E311" t="inlineStr">
        <is>
          <t>ÖVERTORNEÅ</t>
        </is>
      </c>
      <c r="G311" t="n">
        <v>10.7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1092-2022</t>
        </is>
      </c>
      <c r="B312" s="1" t="n">
        <v>44571</v>
      </c>
      <c r="C312" s="1" t="n">
        <v>45340</v>
      </c>
      <c r="D312" t="inlineStr">
        <is>
          <t>NORRBOTTENS LÄN</t>
        </is>
      </c>
      <c r="E312" t="inlineStr">
        <is>
          <t>ÖVERTORNEÅ</t>
        </is>
      </c>
      <c r="G312" t="n">
        <v>23.5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1206-2022</t>
        </is>
      </c>
      <c r="B313" s="1" t="n">
        <v>44572</v>
      </c>
      <c r="C313" s="1" t="n">
        <v>45340</v>
      </c>
      <c r="D313" t="inlineStr">
        <is>
          <t>NORRBOTTENS LÄN</t>
        </is>
      </c>
      <c r="E313" t="inlineStr">
        <is>
          <t>ÖVERTORNEÅ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3010-2022</t>
        </is>
      </c>
      <c r="B314" s="1" t="n">
        <v>44581</v>
      </c>
      <c r="C314" s="1" t="n">
        <v>45340</v>
      </c>
      <c r="D314" t="inlineStr">
        <is>
          <t>NORRBOTTENS LÄN</t>
        </is>
      </c>
      <c r="E314" t="inlineStr">
        <is>
          <t>ÖVERTORNEÅ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3416-2022</t>
        </is>
      </c>
      <c r="B315" s="1" t="n">
        <v>44585</v>
      </c>
      <c r="C315" s="1" t="n">
        <v>45340</v>
      </c>
      <c r="D315" t="inlineStr">
        <is>
          <t>NORRBOTTENS LÄN</t>
        </is>
      </c>
      <c r="E315" t="inlineStr">
        <is>
          <t>ÖVERTORNEÅ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3431-2022</t>
        </is>
      </c>
      <c r="B316" s="1" t="n">
        <v>44585</v>
      </c>
      <c r="C316" s="1" t="n">
        <v>45340</v>
      </c>
      <c r="D316" t="inlineStr">
        <is>
          <t>NORRBOTTENS LÄN</t>
        </is>
      </c>
      <c r="E316" t="inlineStr">
        <is>
          <t>ÖVERTORNEÅ</t>
        </is>
      </c>
      <c r="G316" t="n">
        <v>11.2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3389-2022</t>
        </is>
      </c>
      <c r="B317" s="1" t="n">
        <v>44585</v>
      </c>
      <c r="C317" s="1" t="n">
        <v>45340</v>
      </c>
      <c r="D317" t="inlineStr">
        <is>
          <t>NORRBOTTENS LÄN</t>
        </is>
      </c>
      <c r="E317" t="inlineStr">
        <is>
          <t>ÖVERTORNEÅ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4012-2022</t>
        </is>
      </c>
      <c r="B318" s="1" t="n">
        <v>44587</v>
      </c>
      <c r="C318" s="1" t="n">
        <v>45340</v>
      </c>
      <c r="D318" t="inlineStr">
        <is>
          <t>NORRBOTTENS LÄN</t>
        </is>
      </c>
      <c r="E318" t="inlineStr">
        <is>
          <t>ÖVERTORNEÅ</t>
        </is>
      </c>
      <c r="F318" t="inlineStr">
        <is>
          <t>Kommuner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4011-2022</t>
        </is>
      </c>
      <c r="B319" s="1" t="n">
        <v>44587</v>
      </c>
      <c r="C319" s="1" t="n">
        <v>45340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Kommuner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4512-2022</t>
        </is>
      </c>
      <c r="B320" s="1" t="n">
        <v>44589</v>
      </c>
      <c r="C320" s="1" t="n">
        <v>45340</v>
      </c>
      <c r="D320" t="inlineStr">
        <is>
          <t>NORRBOTTENS LÄN</t>
        </is>
      </c>
      <c r="E320" t="inlineStr">
        <is>
          <t>ÖVERTORNEÅ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4515-2022</t>
        </is>
      </c>
      <c r="B321" s="1" t="n">
        <v>44589</v>
      </c>
      <c r="C321" s="1" t="n">
        <v>45340</v>
      </c>
      <c r="D321" t="inlineStr">
        <is>
          <t>NORRBOTTENS LÄN</t>
        </is>
      </c>
      <c r="E321" t="inlineStr">
        <is>
          <t>ÖVERTORNEÅ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4514-2022</t>
        </is>
      </c>
      <c r="B322" s="1" t="n">
        <v>44589</v>
      </c>
      <c r="C322" s="1" t="n">
        <v>45340</v>
      </c>
      <c r="D322" t="inlineStr">
        <is>
          <t>NORRBOTTENS LÄN</t>
        </is>
      </c>
      <c r="E322" t="inlineStr">
        <is>
          <t>ÖVERTORNEÅ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4513-2022</t>
        </is>
      </c>
      <c r="B323" s="1" t="n">
        <v>44589</v>
      </c>
      <c r="C323" s="1" t="n">
        <v>45340</v>
      </c>
      <c r="D323" t="inlineStr">
        <is>
          <t>NORRBOTTENS LÄN</t>
        </is>
      </c>
      <c r="E323" t="inlineStr">
        <is>
          <t>ÖVERTORNEÅ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6593-2022</t>
        </is>
      </c>
      <c r="B324" s="1" t="n">
        <v>44601</v>
      </c>
      <c r="C324" s="1" t="n">
        <v>45340</v>
      </c>
      <c r="D324" t="inlineStr">
        <is>
          <t>NORRBOTTENS LÄN</t>
        </is>
      </c>
      <c r="E324" t="inlineStr">
        <is>
          <t>ÖVERTORNEÅ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11831-2022</t>
        </is>
      </c>
      <c r="B325" s="1" t="n">
        <v>44634</v>
      </c>
      <c r="C325" s="1" t="n">
        <v>45340</v>
      </c>
      <c r="D325" t="inlineStr">
        <is>
          <t>NORRBOTTENS LÄN</t>
        </is>
      </c>
      <c r="E325" t="inlineStr">
        <is>
          <t>ÖVERTORNEÅ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11830-2022</t>
        </is>
      </c>
      <c r="B326" s="1" t="n">
        <v>44634</v>
      </c>
      <c r="C326" s="1" t="n">
        <v>45340</v>
      </c>
      <c r="D326" t="inlineStr">
        <is>
          <t>NORRBOTTENS LÄN</t>
        </is>
      </c>
      <c r="E326" t="inlineStr">
        <is>
          <t>ÖVERTORNEÅ</t>
        </is>
      </c>
      <c r="G326" t="n">
        <v>7.1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12004-2022</t>
        </is>
      </c>
      <c r="B327" s="1" t="n">
        <v>44635</v>
      </c>
      <c r="C327" s="1" t="n">
        <v>45340</v>
      </c>
      <c r="D327" t="inlineStr">
        <is>
          <t>NORRBOTTENS LÄN</t>
        </is>
      </c>
      <c r="E327" t="inlineStr">
        <is>
          <t>ÖVERTORNEÅ</t>
        </is>
      </c>
      <c r="G327" t="n">
        <v>17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12005-2022</t>
        </is>
      </c>
      <c r="B328" s="1" t="n">
        <v>44635</v>
      </c>
      <c r="C328" s="1" t="n">
        <v>45340</v>
      </c>
      <c r="D328" t="inlineStr">
        <is>
          <t>NORRBOTTENS LÄN</t>
        </is>
      </c>
      <c r="E328" t="inlineStr">
        <is>
          <t>ÖVERTORNEÅ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15494-2022</t>
        </is>
      </c>
      <c r="B329" s="1" t="n">
        <v>44662</v>
      </c>
      <c r="C329" s="1" t="n">
        <v>45340</v>
      </c>
      <c r="D329" t="inlineStr">
        <is>
          <t>NORRBOTTENS LÄN</t>
        </is>
      </c>
      <c r="E329" t="inlineStr">
        <is>
          <t>ÖVERTORNEÅ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15495-2022</t>
        </is>
      </c>
      <c r="B330" s="1" t="n">
        <v>44662</v>
      </c>
      <c r="C330" s="1" t="n">
        <v>45340</v>
      </c>
      <c r="D330" t="inlineStr">
        <is>
          <t>NORRBOTTENS LÄN</t>
        </is>
      </c>
      <c r="E330" t="inlineStr">
        <is>
          <t>ÖVERTORNEÅ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15500-2022</t>
        </is>
      </c>
      <c r="B331" s="1" t="n">
        <v>44662</v>
      </c>
      <c r="C331" s="1" t="n">
        <v>45340</v>
      </c>
      <c r="D331" t="inlineStr">
        <is>
          <t>NORRBOTTENS LÄN</t>
        </is>
      </c>
      <c r="E331" t="inlineStr">
        <is>
          <t>ÖVERTORNEÅ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16471-2022</t>
        </is>
      </c>
      <c r="B332" s="1" t="n">
        <v>44671</v>
      </c>
      <c r="C332" s="1" t="n">
        <v>45340</v>
      </c>
      <c r="D332" t="inlineStr">
        <is>
          <t>NORRBOTTENS LÄN</t>
        </is>
      </c>
      <c r="E332" t="inlineStr">
        <is>
          <t>ÖVERTORNEÅ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16566-2022</t>
        </is>
      </c>
      <c r="B333" s="1" t="n">
        <v>44672</v>
      </c>
      <c r="C333" s="1" t="n">
        <v>45340</v>
      </c>
      <c r="D333" t="inlineStr">
        <is>
          <t>NORRBOTTENS LÄN</t>
        </is>
      </c>
      <c r="E333" t="inlineStr">
        <is>
          <t>ÖVERTORNEÅ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16561-2022</t>
        </is>
      </c>
      <c r="B334" s="1" t="n">
        <v>44672</v>
      </c>
      <c r="C334" s="1" t="n">
        <v>45340</v>
      </c>
      <c r="D334" t="inlineStr">
        <is>
          <t>NORRBOTTENS LÄN</t>
        </is>
      </c>
      <c r="E334" t="inlineStr">
        <is>
          <t>ÖVERTORNEÅ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17928-2022</t>
        </is>
      </c>
      <c r="B335" s="1" t="n">
        <v>44683</v>
      </c>
      <c r="C335" s="1" t="n">
        <v>45340</v>
      </c>
      <c r="D335" t="inlineStr">
        <is>
          <t>NORRBOTTENS LÄN</t>
        </is>
      </c>
      <c r="E335" t="inlineStr">
        <is>
          <t>ÖVERTORNEÅ</t>
        </is>
      </c>
      <c r="F335" t="inlineStr">
        <is>
          <t>Sveaskog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18698-2022</t>
        </is>
      </c>
      <c r="B336" s="1" t="n">
        <v>44687</v>
      </c>
      <c r="C336" s="1" t="n">
        <v>45340</v>
      </c>
      <c r="D336" t="inlineStr">
        <is>
          <t>NORRBOTTENS LÄN</t>
        </is>
      </c>
      <c r="E336" t="inlineStr">
        <is>
          <t>ÖVERTORNEÅ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18879-2022</t>
        </is>
      </c>
      <c r="B337" s="1" t="n">
        <v>44690</v>
      </c>
      <c r="C337" s="1" t="n">
        <v>45340</v>
      </c>
      <c r="D337" t="inlineStr">
        <is>
          <t>NORRBOTTENS LÄN</t>
        </is>
      </c>
      <c r="E337" t="inlineStr">
        <is>
          <t>ÖVERTORNEÅ</t>
        </is>
      </c>
      <c r="G337" t="n">
        <v>14.6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19247-2022</t>
        </is>
      </c>
      <c r="B338" s="1" t="n">
        <v>44692</v>
      </c>
      <c r="C338" s="1" t="n">
        <v>45340</v>
      </c>
      <c r="D338" t="inlineStr">
        <is>
          <t>NORRBOTTENS LÄN</t>
        </is>
      </c>
      <c r="E338" t="inlineStr">
        <is>
          <t>ÖVERTORNEÅ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19257-2022</t>
        </is>
      </c>
      <c r="B339" s="1" t="n">
        <v>44692</v>
      </c>
      <c r="C339" s="1" t="n">
        <v>45340</v>
      </c>
      <c r="D339" t="inlineStr">
        <is>
          <t>NORRBOTTENS LÄN</t>
        </is>
      </c>
      <c r="E339" t="inlineStr">
        <is>
          <t>ÖVERTORNEÅ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19358-2022</t>
        </is>
      </c>
      <c r="B340" s="1" t="n">
        <v>44692</v>
      </c>
      <c r="C340" s="1" t="n">
        <v>45340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Sveaskog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21262-2022</t>
        </is>
      </c>
      <c r="B341" s="1" t="n">
        <v>44705</v>
      </c>
      <c r="C341" s="1" t="n">
        <v>45340</v>
      </c>
      <c r="D341" t="inlineStr">
        <is>
          <t>NORRBOTTENS LÄN</t>
        </is>
      </c>
      <c r="E341" t="inlineStr">
        <is>
          <t>ÖVERTORNEÅ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22942-2022</t>
        </is>
      </c>
      <c r="B342" s="1" t="n">
        <v>44715</v>
      </c>
      <c r="C342" s="1" t="n">
        <v>45340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24765-2022</t>
        </is>
      </c>
      <c r="B343" s="1" t="n">
        <v>44728</v>
      </c>
      <c r="C343" s="1" t="n">
        <v>45340</v>
      </c>
      <c r="D343" t="inlineStr">
        <is>
          <t>NORRBOTTENS LÄN</t>
        </is>
      </c>
      <c r="E343" t="inlineStr">
        <is>
          <t>ÖVERTORNEÅ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24929-2022</t>
        </is>
      </c>
      <c r="B344" s="1" t="n">
        <v>44728</v>
      </c>
      <c r="C344" s="1" t="n">
        <v>45340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24924-2022</t>
        </is>
      </c>
      <c r="B345" s="1" t="n">
        <v>44728</v>
      </c>
      <c r="C345" s="1" t="n">
        <v>45340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25149-2022</t>
        </is>
      </c>
      <c r="B346" s="1" t="n">
        <v>44729</v>
      </c>
      <c r="C346" s="1" t="n">
        <v>45340</v>
      </c>
      <c r="D346" t="inlineStr">
        <is>
          <t>NORRBOTTENS LÄN</t>
        </is>
      </c>
      <c r="E346" t="inlineStr">
        <is>
          <t>ÖVERTORNEÅ</t>
        </is>
      </c>
      <c r="G346" t="n">
        <v>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25695-2022</t>
        </is>
      </c>
      <c r="B347" s="1" t="n">
        <v>44733</v>
      </c>
      <c r="C347" s="1" t="n">
        <v>45340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27300-2022</t>
        </is>
      </c>
      <c r="B348" s="1" t="n">
        <v>44742</v>
      </c>
      <c r="C348" s="1" t="n">
        <v>45340</v>
      </c>
      <c r="D348" t="inlineStr">
        <is>
          <t>NORRBOTTENS LÄN</t>
        </is>
      </c>
      <c r="E348" t="inlineStr">
        <is>
          <t>ÖVERTORNEÅ</t>
        </is>
      </c>
      <c r="F348" t="inlineStr">
        <is>
          <t>Sveaskog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28651-2022</t>
        </is>
      </c>
      <c r="B349" s="1" t="n">
        <v>44748</v>
      </c>
      <c r="C349" s="1" t="n">
        <v>45340</v>
      </c>
      <c r="D349" t="inlineStr">
        <is>
          <t>NORRBOTTENS LÄN</t>
        </is>
      </c>
      <c r="E349" t="inlineStr">
        <is>
          <t>ÖVERTORNEÅ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28658-2022</t>
        </is>
      </c>
      <c r="B350" s="1" t="n">
        <v>44748</v>
      </c>
      <c r="C350" s="1" t="n">
        <v>45340</v>
      </c>
      <c r="D350" t="inlineStr">
        <is>
          <t>NORRBOTTENS LÄN</t>
        </is>
      </c>
      <c r="E350" t="inlineStr">
        <is>
          <t>ÖVERTORNEÅ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28812-2022</t>
        </is>
      </c>
      <c r="B351" s="1" t="n">
        <v>44749</v>
      </c>
      <c r="C351" s="1" t="n">
        <v>45340</v>
      </c>
      <c r="D351" t="inlineStr">
        <is>
          <t>NORRBOTTENS LÄN</t>
        </is>
      </c>
      <c r="E351" t="inlineStr">
        <is>
          <t>ÖVERTORNEÅ</t>
        </is>
      </c>
      <c r="F351" t="inlineStr">
        <is>
          <t>Sveaskog</t>
        </is>
      </c>
      <c r="G351" t="n">
        <v>22.3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30114-2022</t>
        </is>
      </c>
      <c r="B352" s="1" t="n">
        <v>44757</v>
      </c>
      <c r="C352" s="1" t="n">
        <v>45340</v>
      </c>
      <c r="D352" t="inlineStr">
        <is>
          <t>NORRBOTTENS LÄN</t>
        </is>
      </c>
      <c r="E352" t="inlineStr">
        <is>
          <t>ÖVERTORNEÅ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31145-2022</t>
        </is>
      </c>
      <c r="B353" s="1" t="n">
        <v>44770</v>
      </c>
      <c r="C353" s="1" t="n">
        <v>45340</v>
      </c>
      <c r="D353" t="inlineStr">
        <is>
          <t>NORRBOTTENS LÄN</t>
        </is>
      </c>
      <c r="E353" t="inlineStr">
        <is>
          <t>ÖVERTORNEÅ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31774-2022</t>
        </is>
      </c>
      <c r="B354" s="1" t="n">
        <v>44776</v>
      </c>
      <c r="C354" s="1" t="n">
        <v>45340</v>
      </c>
      <c r="D354" t="inlineStr">
        <is>
          <t>NORRBOTTENS LÄN</t>
        </is>
      </c>
      <c r="E354" t="inlineStr">
        <is>
          <t>ÖVERTORNEÅ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32314-2022</t>
        </is>
      </c>
      <c r="B355" s="1" t="n">
        <v>44781</v>
      </c>
      <c r="C355" s="1" t="n">
        <v>45340</v>
      </c>
      <c r="D355" t="inlineStr">
        <is>
          <t>NORRBOTTENS LÄN</t>
        </is>
      </c>
      <c r="E355" t="inlineStr">
        <is>
          <t>ÖVERTORNEÅ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33094-2022</t>
        </is>
      </c>
      <c r="B356" s="1" t="n">
        <v>44785</v>
      </c>
      <c r="C356" s="1" t="n">
        <v>45340</v>
      </c>
      <c r="D356" t="inlineStr">
        <is>
          <t>NORRBOTTENS LÄN</t>
        </is>
      </c>
      <c r="E356" t="inlineStr">
        <is>
          <t>ÖVERTORNEÅ</t>
        </is>
      </c>
      <c r="F356" t="inlineStr">
        <is>
          <t>Sveaskog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33084-2022</t>
        </is>
      </c>
      <c r="B357" s="1" t="n">
        <v>44785</v>
      </c>
      <c r="C357" s="1" t="n">
        <v>45340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33092-2022</t>
        </is>
      </c>
      <c r="B358" s="1" t="n">
        <v>44785</v>
      </c>
      <c r="C358" s="1" t="n">
        <v>45340</v>
      </c>
      <c r="D358" t="inlineStr">
        <is>
          <t>NORRBOTTENS LÄN</t>
        </is>
      </c>
      <c r="E358" t="inlineStr">
        <is>
          <t>ÖVERTORNEÅ</t>
        </is>
      </c>
      <c r="F358" t="inlineStr">
        <is>
          <t>Sveaskog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33097-2022</t>
        </is>
      </c>
      <c r="B359" s="1" t="n">
        <v>44785</v>
      </c>
      <c r="C359" s="1" t="n">
        <v>45340</v>
      </c>
      <c r="D359" t="inlineStr">
        <is>
          <t>NORRBOTTENS LÄN</t>
        </is>
      </c>
      <c r="E359" t="inlineStr">
        <is>
          <t>ÖVERTORNEÅ</t>
        </is>
      </c>
      <c r="F359" t="inlineStr">
        <is>
          <t>Sveaskog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33415-2022</t>
        </is>
      </c>
      <c r="B360" s="1" t="n">
        <v>44788</v>
      </c>
      <c r="C360" s="1" t="n">
        <v>45340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33523-2022</t>
        </is>
      </c>
      <c r="B361" s="1" t="n">
        <v>44789</v>
      </c>
      <c r="C361" s="1" t="n">
        <v>45340</v>
      </c>
      <c r="D361" t="inlineStr">
        <is>
          <t>NORRBOTTENS LÄN</t>
        </is>
      </c>
      <c r="E361" t="inlineStr">
        <is>
          <t>ÖVERTORNEÅ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34875-2022</t>
        </is>
      </c>
      <c r="B362" s="1" t="n">
        <v>44796</v>
      </c>
      <c r="C362" s="1" t="n">
        <v>45340</v>
      </c>
      <c r="D362" t="inlineStr">
        <is>
          <t>NORRBOTTENS LÄN</t>
        </is>
      </c>
      <c r="E362" t="inlineStr">
        <is>
          <t>ÖVERTORNEÅ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35218-2022</t>
        </is>
      </c>
      <c r="B363" s="1" t="n">
        <v>44798</v>
      </c>
      <c r="C363" s="1" t="n">
        <v>45340</v>
      </c>
      <c r="D363" t="inlineStr">
        <is>
          <t>NORRBOTTENS LÄN</t>
        </is>
      </c>
      <c r="E363" t="inlineStr">
        <is>
          <t>ÖVERTORNEÅ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35220-2022</t>
        </is>
      </c>
      <c r="B364" s="1" t="n">
        <v>44798</v>
      </c>
      <c r="C364" s="1" t="n">
        <v>45340</v>
      </c>
      <c r="D364" t="inlineStr">
        <is>
          <t>NORRBOTTENS LÄN</t>
        </is>
      </c>
      <c r="E364" t="inlineStr">
        <is>
          <t>ÖVERTORNEÅ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35546-2022</t>
        </is>
      </c>
      <c r="B365" s="1" t="n">
        <v>44799</v>
      </c>
      <c r="C365" s="1" t="n">
        <v>45340</v>
      </c>
      <c r="D365" t="inlineStr">
        <is>
          <t>NORRBOTTENS LÄN</t>
        </is>
      </c>
      <c r="E365" t="inlineStr">
        <is>
          <t>ÖVERTORNEÅ</t>
        </is>
      </c>
      <c r="F365" t="inlineStr">
        <is>
          <t>Sveaskog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37706-2022</t>
        </is>
      </c>
      <c r="B366" s="1" t="n">
        <v>44810</v>
      </c>
      <c r="C366" s="1" t="n">
        <v>45340</v>
      </c>
      <c r="D366" t="inlineStr">
        <is>
          <t>NORRBOTTENS LÄN</t>
        </is>
      </c>
      <c r="E366" t="inlineStr">
        <is>
          <t>ÖVERTORNEÅ</t>
        </is>
      </c>
      <c r="F366" t="inlineStr">
        <is>
          <t>Sveaskog</t>
        </is>
      </c>
      <c r="G366" t="n">
        <v>10.3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37710-2022</t>
        </is>
      </c>
      <c r="B367" s="1" t="n">
        <v>44810</v>
      </c>
      <c r="C367" s="1" t="n">
        <v>45340</v>
      </c>
      <c r="D367" t="inlineStr">
        <is>
          <t>NORRBOTTENS LÄN</t>
        </is>
      </c>
      <c r="E367" t="inlineStr">
        <is>
          <t>ÖVERTORNEÅ</t>
        </is>
      </c>
      <c r="F367" t="inlineStr">
        <is>
          <t>Sveaskog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37837-2022</t>
        </is>
      </c>
      <c r="B368" s="1" t="n">
        <v>44810</v>
      </c>
      <c r="C368" s="1" t="n">
        <v>45340</v>
      </c>
      <c r="D368" t="inlineStr">
        <is>
          <t>NORRBOTTENS LÄN</t>
        </is>
      </c>
      <c r="E368" t="inlineStr">
        <is>
          <t>ÖVERTORNEÅ</t>
        </is>
      </c>
      <c r="F368" t="inlineStr">
        <is>
          <t>Sveaskog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38980-2022</t>
        </is>
      </c>
      <c r="B369" s="1" t="n">
        <v>44816</v>
      </c>
      <c r="C369" s="1" t="n">
        <v>45340</v>
      </c>
      <c r="D369" t="inlineStr">
        <is>
          <t>NORRBOTTENS LÄN</t>
        </is>
      </c>
      <c r="E369" t="inlineStr">
        <is>
          <t>ÖVERTORNEÅ</t>
        </is>
      </c>
      <c r="F369" t="inlineStr">
        <is>
          <t>Sveaskog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39969-2022</t>
        </is>
      </c>
      <c r="B370" s="1" t="n">
        <v>44820</v>
      </c>
      <c r="C370" s="1" t="n">
        <v>45340</v>
      </c>
      <c r="D370" t="inlineStr">
        <is>
          <t>NORRBOTTENS LÄN</t>
        </is>
      </c>
      <c r="E370" t="inlineStr">
        <is>
          <t>ÖVERTORNEÅ</t>
        </is>
      </c>
      <c r="F370" t="inlineStr">
        <is>
          <t>Sveaskog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42254-2022</t>
        </is>
      </c>
      <c r="B371" s="1" t="n">
        <v>44831</v>
      </c>
      <c r="C371" s="1" t="n">
        <v>45340</v>
      </c>
      <c r="D371" t="inlineStr">
        <is>
          <t>NORRBOTTENS LÄN</t>
        </is>
      </c>
      <c r="E371" t="inlineStr">
        <is>
          <t>ÖVERTORNEÅ</t>
        </is>
      </c>
      <c r="G371" t="n">
        <v>10.3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42604-2022</t>
        </is>
      </c>
      <c r="B372" s="1" t="n">
        <v>44831</v>
      </c>
      <c r="C372" s="1" t="n">
        <v>45340</v>
      </c>
      <c r="D372" t="inlineStr">
        <is>
          <t>NORRBOTTENS LÄN</t>
        </is>
      </c>
      <c r="E372" t="inlineStr">
        <is>
          <t>ÖVERTORNEÅ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42602-2022</t>
        </is>
      </c>
      <c r="B373" s="1" t="n">
        <v>44831</v>
      </c>
      <c r="C373" s="1" t="n">
        <v>45340</v>
      </c>
      <c r="D373" t="inlineStr">
        <is>
          <t>NORRBOTTENS LÄN</t>
        </is>
      </c>
      <c r="E373" t="inlineStr">
        <is>
          <t>ÖVERTORNEÅ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42607-2022</t>
        </is>
      </c>
      <c r="B374" s="1" t="n">
        <v>44831</v>
      </c>
      <c r="C374" s="1" t="n">
        <v>45340</v>
      </c>
      <c r="D374" t="inlineStr">
        <is>
          <t>NORRBOTTENS LÄN</t>
        </is>
      </c>
      <c r="E374" t="inlineStr">
        <is>
          <t>ÖVERTORNEÅ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42608-2022</t>
        </is>
      </c>
      <c r="B375" s="1" t="n">
        <v>44831</v>
      </c>
      <c r="C375" s="1" t="n">
        <v>45340</v>
      </c>
      <c r="D375" t="inlineStr">
        <is>
          <t>NORRBOTTENS LÄN</t>
        </is>
      </c>
      <c r="E375" t="inlineStr">
        <is>
          <t>ÖVERTORNEÅ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43003-2022</t>
        </is>
      </c>
      <c r="B376" s="1" t="n">
        <v>44833</v>
      </c>
      <c r="C376" s="1" t="n">
        <v>45340</v>
      </c>
      <c r="D376" t="inlineStr">
        <is>
          <t>NORRBOTTENS LÄN</t>
        </is>
      </c>
      <c r="E376" t="inlineStr">
        <is>
          <t>ÖVERTORNEÅ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43055-2022</t>
        </is>
      </c>
      <c r="B377" s="1" t="n">
        <v>44833</v>
      </c>
      <c r="C377" s="1" t="n">
        <v>45340</v>
      </c>
      <c r="D377" t="inlineStr">
        <is>
          <t>NORRBOTTENS LÄN</t>
        </is>
      </c>
      <c r="E377" t="inlineStr">
        <is>
          <t>ÖVERTORNEÅ</t>
        </is>
      </c>
      <c r="F377" t="inlineStr">
        <is>
          <t>Sveaskog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43294-2022</t>
        </is>
      </c>
      <c r="B378" s="1" t="n">
        <v>44833</v>
      </c>
      <c r="C378" s="1" t="n">
        <v>45340</v>
      </c>
      <c r="D378" t="inlineStr">
        <is>
          <t>NORRBOTTENS LÄN</t>
        </is>
      </c>
      <c r="E378" t="inlineStr">
        <is>
          <t>ÖVERTORNEÅ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43282-2022</t>
        </is>
      </c>
      <c r="B379" s="1" t="n">
        <v>44833</v>
      </c>
      <c r="C379" s="1" t="n">
        <v>45340</v>
      </c>
      <c r="D379" t="inlineStr">
        <is>
          <t>NORRBOTTENS LÄN</t>
        </is>
      </c>
      <c r="E379" t="inlineStr">
        <is>
          <t>ÖVERTORNEÅ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43482-2022</t>
        </is>
      </c>
      <c r="B380" s="1" t="n">
        <v>44837</v>
      </c>
      <c r="C380" s="1" t="n">
        <v>45340</v>
      </c>
      <c r="D380" t="inlineStr">
        <is>
          <t>NORRBOTTENS LÄN</t>
        </is>
      </c>
      <c r="E380" t="inlineStr">
        <is>
          <t>ÖVERTORNEÅ</t>
        </is>
      </c>
      <c r="F380" t="inlineStr">
        <is>
          <t>Sveaskog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44031-2022</t>
        </is>
      </c>
      <c r="B381" s="1" t="n">
        <v>44838</v>
      </c>
      <c r="C381" s="1" t="n">
        <v>45340</v>
      </c>
      <c r="D381" t="inlineStr">
        <is>
          <t>NORRBOTTENS LÄN</t>
        </is>
      </c>
      <c r="E381" t="inlineStr">
        <is>
          <t>ÖVERTORNEÅ</t>
        </is>
      </c>
      <c r="G381" t="n">
        <v>10.5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45178-2022</t>
        </is>
      </c>
      <c r="B382" s="1" t="n">
        <v>44844</v>
      </c>
      <c r="C382" s="1" t="n">
        <v>45340</v>
      </c>
      <c r="D382" t="inlineStr">
        <is>
          <t>NORRBOTTENS LÄN</t>
        </is>
      </c>
      <c r="E382" t="inlineStr">
        <is>
          <t>ÖVERTORNEÅ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48298-2022</t>
        </is>
      </c>
      <c r="B383" s="1" t="n">
        <v>44858</v>
      </c>
      <c r="C383" s="1" t="n">
        <v>45340</v>
      </c>
      <c r="D383" t="inlineStr">
        <is>
          <t>NORRBOTTENS LÄN</t>
        </is>
      </c>
      <c r="E383" t="inlineStr">
        <is>
          <t>ÖVERTORNEÅ</t>
        </is>
      </c>
      <c r="F383" t="inlineStr">
        <is>
          <t>Sveaskog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48891-2022</t>
        </is>
      </c>
      <c r="B384" s="1" t="n">
        <v>44860</v>
      </c>
      <c r="C384" s="1" t="n">
        <v>45340</v>
      </c>
      <c r="D384" t="inlineStr">
        <is>
          <t>NORRBOTTENS LÄN</t>
        </is>
      </c>
      <c r="E384" t="inlineStr">
        <is>
          <t>ÖVERTORNEÅ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49157-2022</t>
        </is>
      </c>
      <c r="B385" s="1" t="n">
        <v>44860</v>
      </c>
      <c r="C385" s="1" t="n">
        <v>45340</v>
      </c>
      <c r="D385" t="inlineStr">
        <is>
          <t>NORRBOTTENS LÄN</t>
        </is>
      </c>
      <c r="E385" t="inlineStr">
        <is>
          <t>ÖVERTORNEÅ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49886-2022</t>
        </is>
      </c>
      <c r="B386" s="1" t="n">
        <v>44864</v>
      </c>
      <c r="C386" s="1" t="n">
        <v>45340</v>
      </c>
      <c r="D386" t="inlineStr">
        <is>
          <t>NORRBOTTENS LÄN</t>
        </is>
      </c>
      <c r="E386" t="inlineStr">
        <is>
          <t>ÖVERTORNEÅ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52160-2022</t>
        </is>
      </c>
      <c r="B387" s="1" t="n">
        <v>44873</v>
      </c>
      <c r="C387" s="1" t="n">
        <v>45340</v>
      </c>
      <c r="D387" t="inlineStr">
        <is>
          <t>NORRBOTTENS LÄN</t>
        </is>
      </c>
      <c r="E387" t="inlineStr">
        <is>
          <t>ÖVERTORNEÅ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54084-2022</t>
        </is>
      </c>
      <c r="B388" s="1" t="n">
        <v>44881</v>
      </c>
      <c r="C388" s="1" t="n">
        <v>45340</v>
      </c>
      <c r="D388" t="inlineStr">
        <is>
          <t>NORRBOTTENS LÄN</t>
        </is>
      </c>
      <c r="E388" t="inlineStr">
        <is>
          <t>ÖVERTORNEÅ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55666-2022</t>
        </is>
      </c>
      <c r="B389" s="1" t="n">
        <v>44883</v>
      </c>
      <c r="C389" s="1" t="n">
        <v>45340</v>
      </c>
      <c r="D389" t="inlineStr">
        <is>
          <t>NORRBOTTENS LÄN</t>
        </is>
      </c>
      <c r="E389" t="inlineStr">
        <is>
          <t>ÖVERTORNEÅ</t>
        </is>
      </c>
      <c r="G389" t="n">
        <v>26.6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55802-2022</t>
        </is>
      </c>
      <c r="B390" s="1" t="n">
        <v>44888</v>
      </c>
      <c r="C390" s="1" t="n">
        <v>45340</v>
      </c>
      <c r="D390" t="inlineStr">
        <is>
          <t>NORRBOTTENS LÄN</t>
        </is>
      </c>
      <c r="E390" t="inlineStr">
        <is>
          <t>ÖVERTORNEÅ</t>
        </is>
      </c>
      <c r="F390" t="inlineStr">
        <is>
          <t>Sveaskog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55801-2022</t>
        </is>
      </c>
      <c r="B391" s="1" t="n">
        <v>44888</v>
      </c>
      <c r="C391" s="1" t="n">
        <v>45340</v>
      </c>
      <c r="D391" t="inlineStr">
        <is>
          <t>NORRBOTTENS LÄN</t>
        </is>
      </c>
      <c r="E391" t="inlineStr">
        <is>
          <t>ÖVERTORNEÅ</t>
        </is>
      </c>
      <c r="F391" t="inlineStr">
        <is>
          <t>Sveaskog</t>
        </is>
      </c>
      <c r="G391" t="n">
        <v>10.4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56369-2022</t>
        </is>
      </c>
      <c r="B392" s="1" t="n">
        <v>44890</v>
      </c>
      <c r="C392" s="1" t="n">
        <v>45340</v>
      </c>
      <c r="D392" t="inlineStr">
        <is>
          <t>NORRBOTTENS LÄN</t>
        </is>
      </c>
      <c r="E392" t="inlineStr">
        <is>
          <t>ÖVERTORNEÅ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56374-2022</t>
        </is>
      </c>
      <c r="B393" s="1" t="n">
        <v>44890</v>
      </c>
      <c r="C393" s="1" t="n">
        <v>45340</v>
      </c>
      <c r="D393" t="inlineStr">
        <is>
          <t>NORRBOTTENS LÄN</t>
        </is>
      </c>
      <c r="E393" t="inlineStr">
        <is>
          <t>ÖVERTORNEÅ</t>
        </is>
      </c>
      <c r="G393" t="n">
        <v>13.3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56370-2022</t>
        </is>
      </c>
      <c r="B394" s="1" t="n">
        <v>44890</v>
      </c>
      <c r="C394" s="1" t="n">
        <v>45340</v>
      </c>
      <c r="D394" t="inlineStr">
        <is>
          <t>NORRBOTTENS LÄN</t>
        </is>
      </c>
      <c r="E394" t="inlineStr">
        <is>
          <t>ÖVERTORNEÅ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56375-2022</t>
        </is>
      </c>
      <c r="B395" s="1" t="n">
        <v>44890</v>
      </c>
      <c r="C395" s="1" t="n">
        <v>45340</v>
      </c>
      <c r="D395" t="inlineStr">
        <is>
          <t>NORRBOTTENS LÄN</t>
        </is>
      </c>
      <c r="E395" t="inlineStr">
        <is>
          <t>ÖVERTORNEÅ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56373-2022</t>
        </is>
      </c>
      <c r="B396" s="1" t="n">
        <v>44890</v>
      </c>
      <c r="C396" s="1" t="n">
        <v>45340</v>
      </c>
      <c r="D396" t="inlineStr">
        <is>
          <t>NORRBOTTENS LÄN</t>
        </is>
      </c>
      <c r="E396" t="inlineStr">
        <is>
          <t>ÖVERTORNEÅ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56356-2022</t>
        </is>
      </c>
      <c r="B397" s="1" t="n">
        <v>44890</v>
      </c>
      <c r="C397" s="1" t="n">
        <v>45340</v>
      </c>
      <c r="D397" t="inlineStr">
        <is>
          <t>NORRBOTTENS LÄN</t>
        </is>
      </c>
      <c r="E397" t="inlineStr">
        <is>
          <t>ÖVERTORNEÅ</t>
        </is>
      </c>
      <c r="G397" t="n">
        <v>10.5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56371-2022</t>
        </is>
      </c>
      <c r="B398" s="1" t="n">
        <v>44890</v>
      </c>
      <c r="C398" s="1" t="n">
        <v>45340</v>
      </c>
      <c r="D398" t="inlineStr">
        <is>
          <t>NORRBOTTENS LÄN</t>
        </is>
      </c>
      <c r="E398" t="inlineStr">
        <is>
          <t>ÖVERTORNEÅ</t>
        </is>
      </c>
      <c r="G398" t="n">
        <v>7.3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58035-2022</t>
        </is>
      </c>
      <c r="B399" s="1" t="n">
        <v>44900</v>
      </c>
      <c r="C399" s="1" t="n">
        <v>45340</v>
      </c>
      <c r="D399" t="inlineStr">
        <is>
          <t>NORRBOTTENS LÄN</t>
        </is>
      </c>
      <c r="E399" t="inlineStr">
        <is>
          <t>ÖVERTORNEÅ</t>
        </is>
      </c>
      <c r="F399" t="inlineStr">
        <is>
          <t>Sveaskog</t>
        </is>
      </c>
      <c r="G399" t="n">
        <v>20.2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59965-2022</t>
        </is>
      </c>
      <c r="B400" s="1" t="n">
        <v>44901</v>
      </c>
      <c r="C400" s="1" t="n">
        <v>45340</v>
      </c>
      <c r="D400" t="inlineStr">
        <is>
          <t>NORRBOTTENS LÄN</t>
        </is>
      </c>
      <c r="E400" t="inlineStr">
        <is>
          <t>ÖVERTORNEÅ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58894-2022</t>
        </is>
      </c>
      <c r="B401" s="1" t="n">
        <v>44903</v>
      </c>
      <c r="C401" s="1" t="n">
        <v>45340</v>
      </c>
      <c r="D401" t="inlineStr">
        <is>
          <t>NORRBOTTENS LÄN</t>
        </is>
      </c>
      <c r="E401" t="inlineStr">
        <is>
          <t>ÖVERTORNEÅ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60537-2022</t>
        </is>
      </c>
      <c r="B402" s="1" t="n">
        <v>44904</v>
      </c>
      <c r="C402" s="1" t="n">
        <v>45340</v>
      </c>
      <c r="D402" t="inlineStr">
        <is>
          <t>NORRBOTTENS LÄN</t>
        </is>
      </c>
      <c r="E402" t="inlineStr">
        <is>
          <t>ÖVERTORNEÅ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59551-2022</t>
        </is>
      </c>
      <c r="B403" s="1" t="n">
        <v>44907</v>
      </c>
      <c r="C403" s="1" t="n">
        <v>45340</v>
      </c>
      <c r="D403" t="inlineStr">
        <is>
          <t>NORRBOTTENS LÄN</t>
        </is>
      </c>
      <c r="E403" t="inlineStr">
        <is>
          <t>ÖVERTORNEÅ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60385-2022</t>
        </is>
      </c>
      <c r="B404" s="1" t="n">
        <v>44910</v>
      </c>
      <c r="C404" s="1" t="n">
        <v>45340</v>
      </c>
      <c r="D404" t="inlineStr">
        <is>
          <t>NORRBOTTENS LÄN</t>
        </is>
      </c>
      <c r="E404" t="inlineStr">
        <is>
          <t>ÖVERTORNEÅ</t>
        </is>
      </c>
      <c r="G404" t="n">
        <v>17.2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60515-2022</t>
        </is>
      </c>
      <c r="B405" s="1" t="n">
        <v>44911</v>
      </c>
      <c r="C405" s="1" t="n">
        <v>45340</v>
      </c>
      <c r="D405" t="inlineStr">
        <is>
          <t>NORRBOTTENS LÄN</t>
        </is>
      </c>
      <c r="E405" t="inlineStr">
        <is>
          <t>ÖVERTORNEÅ</t>
        </is>
      </c>
      <c r="G405" t="n">
        <v>7.1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61040-2022</t>
        </is>
      </c>
      <c r="B406" s="1" t="n">
        <v>44914</v>
      </c>
      <c r="C406" s="1" t="n">
        <v>45340</v>
      </c>
      <c r="D406" t="inlineStr">
        <is>
          <t>NORRBOTTENS LÄN</t>
        </is>
      </c>
      <c r="E406" t="inlineStr">
        <is>
          <t>ÖVERTORNEÅ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61037-2022</t>
        </is>
      </c>
      <c r="B407" s="1" t="n">
        <v>44914</v>
      </c>
      <c r="C407" s="1" t="n">
        <v>45340</v>
      </c>
      <c r="D407" t="inlineStr">
        <is>
          <t>NORRBOTTENS LÄN</t>
        </is>
      </c>
      <c r="E407" t="inlineStr">
        <is>
          <t>ÖVERTORNEÅ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61039-2022</t>
        </is>
      </c>
      <c r="B408" s="1" t="n">
        <v>44914</v>
      </c>
      <c r="C408" s="1" t="n">
        <v>45340</v>
      </c>
      <c r="D408" t="inlineStr">
        <is>
          <t>NORRBOTTENS LÄN</t>
        </is>
      </c>
      <c r="E408" t="inlineStr">
        <is>
          <t>ÖVERTORNEÅ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62277-2022</t>
        </is>
      </c>
      <c r="B409" s="1" t="n">
        <v>44916</v>
      </c>
      <c r="C409" s="1" t="n">
        <v>45340</v>
      </c>
      <c r="D409" t="inlineStr">
        <is>
          <t>NORRBOTTENS LÄN</t>
        </is>
      </c>
      <c r="E409" t="inlineStr">
        <is>
          <t>ÖVERTORNEÅ</t>
        </is>
      </c>
      <c r="G409" t="n">
        <v>7.8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61782-2022</t>
        </is>
      </c>
      <c r="B410" s="1" t="n">
        <v>44917</v>
      </c>
      <c r="C410" s="1" t="n">
        <v>45340</v>
      </c>
      <c r="D410" t="inlineStr">
        <is>
          <t>NORRBOTTENS LÄN</t>
        </is>
      </c>
      <c r="E410" t="inlineStr">
        <is>
          <t>ÖVERTORNEÅ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62390-2022</t>
        </is>
      </c>
      <c r="B411" s="1" t="n">
        <v>44923</v>
      </c>
      <c r="C411" s="1" t="n">
        <v>45340</v>
      </c>
      <c r="D411" t="inlineStr">
        <is>
          <t>NORRBOTTENS LÄN</t>
        </is>
      </c>
      <c r="E411" t="inlineStr">
        <is>
          <t>ÖVERTORNEÅ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62608-2022</t>
        </is>
      </c>
      <c r="B412" s="1" t="n">
        <v>44925</v>
      </c>
      <c r="C412" s="1" t="n">
        <v>45340</v>
      </c>
      <c r="D412" t="inlineStr">
        <is>
          <t>NORRBOTTENS LÄN</t>
        </is>
      </c>
      <c r="E412" t="inlineStr">
        <is>
          <t>ÖVERTORNEÅ</t>
        </is>
      </c>
      <c r="G412" t="n">
        <v>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62668-2022</t>
        </is>
      </c>
      <c r="B413" s="1" t="n">
        <v>44925</v>
      </c>
      <c r="C413" s="1" t="n">
        <v>45340</v>
      </c>
      <c r="D413" t="inlineStr">
        <is>
          <t>NORRBOTTENS LÄN</t>
        </is>
      </c>
      <c r="E413" t="inlineStr">
        <is>
          <t>ÖVERTORNEÅ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62689-2022</t>
        </is>
      </c>
      <c r="B414" s="1" t="n">
        <v>44925</v>
      </c>
      <c r="C414" s="1" t="n">
        <v>45340</v>
      </c>
      <c r="D414" t="inlineStr">
        <is>
          <t>NORRBOTTENS LÄN</t>
        </is>
      </c>
      <c r="E414" t="inlineStr">
        <is>
          <t>ÖVERTORNEÅ</t>
        </is>
      </c>
      <c r="G414" t="n">
        <v>8.9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62671-2022</t>
        </is>
      </c>
      <c r="B415" s="1" t="n">
        <v>44925</v>
      </c>
      <c r="C415" s="1" t="n">
        <v>45340</v>
      </c>
      <c r="D415" t="inlineStr">
        <is>
          <t>NORRBOTTENS LÄN</t>
        </is>
      </c>
      <c r="E415" t="inlineStr">
        <is>
          <t>ÖVERTORNEÅ</t>
        </is>
      </c>
      <c r="G415" t="n">
        <v>8.1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152-2023</t>
        </is>
      </c>
      <c r="B416" s="1" t="n">
        <v>44928</v>
      </c>
      <c r="C416" s="1" t="n">
        <v>45340</v>
      </c>
      <c r="D416" t="inlineStr">
        <is>
          <t>NORRBOTTENS LÄN</t>
        </is>
      </c>
      <c r="E416" t="inlineStr">
        <is>
          <t>ÖVERTORNEÅ</t>
        </is>
      </c>
      <c r="G416" t="n">
        <v>5.5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276-2023</t>
        </is>
      </c>
      <c r="B417" s="1" t="n">
        <v>44928</v>
      </c>
      <c r="C417" s="1" t="n">
        <v>45340</v>
      </c>
      <c r="D417" t="inlineStr">
        <is>
          <t>NORRBOTTENS LÄN</t>
        </is>
      </c>
      <c r="E417" t="inlineStr">
        <is>
          <t>ÖVERTORNEÅ</t>
        </is>
      </c>
      <c r="G417" t="n">
        <v>7.3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275-2023</t>
        </is>
      </c>
      <c r="B418" s="1" t="n">
        <v>44928</v>
      </c>
      <c r="C418" s="1" t="n">
        <v>45340</v>
      </c>
      <c r="D418" t="inlineStr">
        <is>
          <t>NORRBOTTENS LÄN</t>
        </is>
      </c>
      <c r="E418" t="inlineStr">
        <is>
          <t>ÖVERTORNEÅ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587-2023</t>
        </is>
      </c>
      <c r="B419" s="1" t="n">
        <v>44930</v>
      </c>
      <c r="C419" s="1" t="n">
        <v>45340</v>
      </c>
      <c r="D419" t="inlineStr">
        <is>
          <t>NORRBOTTENS LÄN</t>
        </is>
      </c>
      <c r="E419" t="inlineStr">
        <is>
          <t>ÖVERTORNEÅ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597-2023</t>
        </is>
      </c>
      <c r="B420" s="1" t="n">
        <v>44930</v>
      </c>
      <c r="C420" s="1" t="n">
        <v>45340</v>
      </c>
      <c r="D420" t="inlineStr">
        <is>
          <t>NORRBOTTENS LÄN</t>
        </is>
      </c>
      <c r="E420" t="inlineStr">
        <is>
          <t>ÖVERTORNEÅ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1476-2023</t>
        </is>
      </c>
      <c r="B421" s="1" t="n">
        <v>44937</v>
      </c>
      <c r="C421" s="1" t="n">
        <v>45340</v>
      </c>
      <c r="D421" t="inlineStr">
        <is>
          <t>NORRBOTTENS LÄN</t>
        </is>
      </c>
      <c r="E421" t="inlineStr">
        <is>
          <t>ÖVERTORNEÅ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2961-2023</t>
        </is>
      </c>
      <c r="B422" s="1" t="n">
        <v>44945</v>
      </c>
      <c r="C422" s="1" t="n">
        <v>45340</v>
      </c>
      <c r="D422" t="inlineStr">
        <is>
          <t>NORRBOTTENS LÄN</t>
        </is>
      </c>
      <c r="E422" t="inlineStr">
        <is>
          <t>ÖVERTORNEÅ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3595-2023</t>
        </is>
      </c>
      <c r="B423" s="1" t="n">
        <v>44950</v>
      </c>
      <c r="C423" s="1" t="n">
        <v>45340</v>
      </c>
      <c r="D423" t="inlineStr">
        <is>
          <t>NORRBOTTENS LÄN</t>
        </is>
      </c>
      <c r="E423" t="inlineStr">
        <is>
          <t>ÖVERTORNEÅ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5381-2023</t>
        </is>
      </c>
      <c r="B424" s="1" t="n">
        <v>44959</v>
      </c>
      <c r="C424" s="1" t="n">
        <v>45340</v>
      </c>
      <c r="D424" t="inlineStr">
        <is>
          <t>NORRBOTTENS LÄN</t>
        </is>
      </c>
      <c r="E424" t="inlineStr">
        <is>
          <t>ÖVERTORNEÅ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8637-2023</t>
        </is>
      </c>
      <c r="B425" s="1" t="n">
        <v>44977</v>
      </c>
      <c r="C425" s="1" t="n">
        <v>45340</v>
      </c>
      <c r="D425" t="inlineStr">
        <is>
          <t>NORRBOTTENS LÄN</t>
        </is>
      </c>
      <c r="E425" t="inlineStr">
        <is>
          <t>ÖVERTORNEÅ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9389-2023</t>
        </is>
      </c>
      <c r="B426" s="1" t="n">
        <v>44981</v>
      </c>
      <c r="C426" s="1" t="n">
        <v>45340</v>
      </c>
      <c r="D426" t="inlineStr">
        <is>
          <t>NORRBOTTENS LÄN</t>
        </is>
      </c>
      <c r="E426" t="inlineStr">
        <is>
          <t>ÖVERTORNEÅ</t>
        </is>
      </c>
      <c r="F426" t="inlineStr">
        <is>
          <t>Sveaskog</t>
        </is>
      </c>
      <c r="G426" t="n">
        <v>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10529-2023</t>
        </is>
      </c>
      <c r="B427" s="1" t="n">
        <v>44987</v>
      </c>
      <c r="C427" s="1" t="n">
        <v>45340</v>
      </c>
      <c r="D427" t="inlineStr">
        <is>
          <t>NORRBOTTENS LÄN</t>
        </is>
      </c>
      <c r="E427" t="inlineStr">
        <is>
          <t>ÖVERTORNEÅ</t>
        </is>
      </c>
      <c r="G427" t="n">
        <v>12.5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10528-2023</t>
        </is>
      </c>
      <c r="B428" s="1" t="n">
        <v>44987</v>
      </c>
      <c r="C428" s="1" t="n">
        <v>45340</v>
      </c>
      <c r="D428" t="inlineStr">
        <is>
          <t>NORRBOTTENS LÄN</t>
        </is>
      </c>
      <c r="E428" t="inlineStr">
        <is>
          <t>ÖVERTORNEÅ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14281-2023</t>
        </is>
      </c>
      <c r="B429" s="1" t="n">
        <v>45010</v>
      </c>
      <c r="C429" s="1" t="n">
        <v>45340</v>
      </c>
      <c r="D429" t="inlineStr">
        <is>
          <t>NORRBOTTENS LÄN</t>
        </is>
      </c>
      <c r="E429" t="inlineStr">
        <is>
          <t>ÖVERTORNEÅ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14298-2023</t>
        </is>
      </c>
      <c r="B430" s="1" t="n">
        <v>45011</v>
      </c>
      <c r="C430" s="1" t="n">
        <v>45340</v>
      </c>
      <c r="D430" t="inlineStr">
        <is>
          <t>NORRBOTTENS LÄN</t>
        </is>
      </c>
      <c r="E430" t="inlineStr">
        <is>
          <t>ÖVERTORNEÅ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15201-2023</t>
        </is>
      </c>
      <c r="B431" s="1" t="n">
        <v>45017</v>
      </c>
      <c r="C431" s="1" t="n">
        <v>45340</v>
      </c>
      <c r="D431" t="inlineStr">
        <is>
          <t>NORRBOTTENS LÄN</t>
        </is>
      </c>
      <c r="E431" t="inlineStr">
        <is>
          <t>ÖVERTORNEÅ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15912-2023</t>
        </is>
      </c>
      <c r="B432" s="1" t="n">
        <v>45022</v>
      </c>
      <c r="C432" s="1" t="n">
        <v>45340</v>
      </c>
      <c r="D432" t="inlineStr">
        <is>
          <t>NORRBOTTENS LÄN</t>
        </is>
      </c>
      <c r="E432" t="inlineStr">
        <is>
          <t>ÖVERTORNEÅ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17490-2023</t>
        </is>
      </c>
      <c r="B433" s="1" t="n">
        <v>45036</v>
      </c>
      <c r="C433" s="1" t="n">
        <v>45340</v>
      </c>
      <c r="D433" t="inlineStr">
        <is>
          <t>NORRBOTTENS LÄN</t>
        </is>
      </c>
      <c r="E433" t="inlineStr">
        <is>
          <t>ÖVERTORNEÅ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17889-2023</t>
        </is>
      </c>
      <c r="B434" s="1" t="n">
        <v>45037</v>
      </c>
      <c r="C434" s="1" t="n">
        <v>45340</v>
      </c>
      <c r="D434" t="inlineStr">
        <is>
          <t>NORRBOTTENS LÄN</t>
        </is>
      </c>
      <c r="E434" t="inlineStr">
        <is>
          <t>ÖVERTORNEÅ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17896-2023</t>
        </is>
      </c>
      <c r="B435" s="1" t="n">
        <v>45039</v>
      </c>
      <c r="C435" s="1" t="n">
        <v>45340</v>
      </c>
      <c r="D435" t="inlineStr">
        <is>
          <t>NORRBOTTENS LÄN</t>
        </is>
      </c>
      <c r="E435" t="inlineStr">
        <is>
          <t>ÖVERTORNEÅ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18358-2023</t>
        </is>
      </c>
      <c r="B436" s="1" t="n">
        <v>45042</v>
      </c>
      <c r="C436" s="1" t="n">
        <v>45340</v>
      </c>
      <c r="D436" t="inlineStr">
        <is>
          <t>NORRBOTTENS LÄN</t>
        </is>
      </c>
      <c r="E436" t="inlineStr">
        <is>
          <t>ÖVERTORNEÅ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18359-2023</t>
        </is>
      </c>
      <c r="B437" s="1" t="n">
        <v>45041</v>
      </c>
      <c r="C437" s="1" t="n">
        <v>45340</v>
      </c>
      <c r="D437" t="inlineStr">
        <is>
          <t>NORRBOTTENS LÄN</t>
        </is>
      </c>
      <c r="E437" t="inlineStr">
        <is>
          <t>ÖVERTORNEÅ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19312-2023</t>
        </is>
      </c>
      <c r="B438" s="1" t="n">
        <v>45048</v>
      </c>
      <c r="C438" s="1" t="n">
        <v>45340</v>
      </c>
      <c r="D438" t="inlineStr">
        <is>
          <t>NORRBOTTENS LÄN</t>
        </is>
      </c>
      <c r="E438" t="inlineStr">
        <is>
          <t>ÖVERTORNEÅ</t>
        </is>
      </c>
      <c r="G438" t="n">
        <v>30.7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19569-2023</t>
        </is>
      </c>
      <c r="B439" s="1" t="n">
        <v>45049</v>
      </c>
      <c r="C439" s="1" t="n">
        <v>45340</v>
      </c>
      <c r="D439" t="inlineStr">
        <is>
          <t>NORRBOTTENS LÄN</t>
        </is>
      </c>
      <c r="E439" t="inlineStr">
        <is>
          <t>ÖVERTORNEÅ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19836-2023</t>
        </is>
      </c>
      <c r="B440" s="1" t="n">
        <v>45052</v>
      </c>
      <c r="C440" s="1" t="n">
        <v>45340</v>
      </c>
      <c r="D440" t="inlineStr">
        <is>
          <t>NORRBOTTENS LÄN</t>
        </is>
      </c>
      <c r="E440" t="inlineStr">
        <is>
          <t>ÖVERTORNEÅ</t>
        </is>
      </c>
      <c r="F440" t="inlineStr">
        <is>
          <t>Sveaskog</t>
        </is>
      </c>
      <c r="G440" t="n">
        <v>25.4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19873-2023</t>
        </is>
      </c>
      <c r="B441" s="1" t="n">
        <v>45054</v>
      </c>
      <c r="C441" s="1" t="n">
        <v>45340</v>
      </c>
      <c r="D441" t="inlineStr">
        <is>
          <t>NORRBOTTENS LÄN</t>
        </is>
      </c>
      <c r="E441" t="inlineStr">
        <is>
          <t>ÖVERTORNEÅ</t>
        </is>
      </c>
      <c r="F441" t="inlineStr">
        <is>
          <t>Sveaskog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20387-2023</t>
        </is>
      </c>
      <c r="B442" s="1" t="n">
        <v>45054</v>
      </c>
      <c r="C442" s="1" t="n">
        <v>45340</v>
      </c>
      <c r="D442" t="inlineStr">
        <is>
          <t>NORRBOTTENS LÄN</t>
        </is>
      </c>
      <c r="E442" t="inlineStr">
        <is>
          <t>ÖVERTORNEÅ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21938-2023</t>
        </is>
      </c>
      <c r="B443" s="1" t="n">
        <v>45068</v>
      </c>
      <c r="C443" s="1" t="n">
        <v>45340</v>
      </c>
      <c r="D443" t="inlineStr">
        <is>
          <t>NORRBOTTENS LÄN</t>
        </is>
      </c>
      <c r="E443" t="inlineStr">
        <is>
          <t>ÖVERTORNEÅ</t>
        </is>
      </c>
      <c r="F443" t="inlineStr">
        <is>
          <t>Sveaskog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22597-2023</t>
        </is>
      </c>
      <c r="B444" s="1" t="n">
        <v>45071</v>
      </c>
      <c r="C444" s="1" t="n">
        <v>45340</v>
      </c>
      <c r="D444" t="inlineStr">
        <is>
          <t>NORRBOTTENS LÄN</t>
        </is>
      </c>
      <c r="E444" t="inlineStr">
        <is>
          <t>ÖVERTORNEÅ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22595-2023</t>
        </is>
      </c>
      <c r="B445" s="1" t="n">
        <v>45071</v>
      </c>
      <c r="C445" s="1" t="n">
        <v>45340</v>
      </c>
      <c r="D445" t="inlineStr">
        <is>
          <t>NORRBOTTENS LÄN</t>
        </is>
      </c>
      <c r="E445" t="inlineStr">
        <is>
          <t>ÖVERTORNEÅ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25298-2023</t>
        </is>
      </c>
      <c r="B446" s="1" t="n">
        <v>45087</v>
      </c>
      <c r="C446" s="1" t="n">
        <v>45340</v>
      </c>
      <c r="D446" t="inlineStr">
        <is>
          <t>NORRBOTTENS LÄN</t>
        </is>
      </c>
      <c r="E446" t="inlineStr">
        <is>
          <t>ÖVERTORNEÅ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26556-2023</t>
        </is>
      </c>
      <c r="B447" s="1" t="n">
        <v>45092</v>
      </c>
      <c r="C447" s="1" t="n">
        <v>45340</v>
      </c>
      <c r="D447" t="inlineStr">
        <is>
          <t>NORRBOTTENS LÄN</t>
        </is>
      </c>
      <c r="E447" t="inlineStr">
        <is>
          <t>ÖVERTORNEÅ</t>
        </is>
      </c>
      <c r="F447" t="inlineStr">
        <is>
          <t>Sveaskog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28839-2023</t>
        </is>
      </c>
      <c r="B448" s="1" t="n">
        <v>45104</v>
      </c>
      <c r="C448" s="1" t="n">
        <v>45340</v>
      </c>
      <c r="D448" t="inlineStr">
        <is>
          <t>NORRBOTTENS LÄN</t>
        </is>
      </c>
      <c r="E448" t="inlineStr">
        <is>
          <t>ÖVERTORNEÅ</t>
        </is>
      </c>
      <c r="G448" t="n">
        <v>18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30647-2023</t>
        </is>
      </c>
      <c r="B449" s="1" t="n">
        <v>45112</v>
      </c>
      <c r="C449" s="1" t="n">
        <v>45340</v>
      </c>
      <c r="D449" t="inlineStr">
        <is>
          <t>NORRBOTTENS LÄN</t>
        </is>
      </c>
      <c r="E449" t="inlineStr">
        <is>
          <t>ÖVERTORNEÅ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30651-2023</t>
        </is>
      </c>
      <c r="B450" s="1" t="n">
        <v>45112</v>
      </c>
      <c r="C450" s="1" t="n">
        <v>45340</v>
      </c>
      <c r="D450" t="inlineStr">
        <is>
          <t>NORRBOTTENS LÄN</t>
        </is>
      </c>
      <c r="E450" t="inlineStr">
        <is>
          <t>ÖVERTORNEÅ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31699-2023</t>
        </is>
      </c>
      <c r="B451" s="1" t="n">
        <v>45117</v>
      </c>
      <c r="C451" s="1" t="n">
        <v>45340</v>
      </c>
      <c r="D451" t="inlineStr">
        <is>
          <t>NORRBOTTENS LÄN</t>
        </is>
      </c>
      <c r="E451" t="inlineStr">
        <is>
          <t>ÖVERTORNEÅ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33518-2023</t>
        </is>
      </c>
      <c r="B452" s="1" t="n">
        <v>45118</v>
      </c>
      <c r="C452" s="1" t="n">
        <v>45340</v>
      </c>
      <c r="D452" t="inlineStr">
        <is>
          <t>NORRBOTTENS LÄN</t>
        </is>
      </c>
      <c r="E452" t="inlineStr">
        <is>
          <t>ÖVERTORNEÅ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33523-2023</t>
        </is>
      </c>
      <c r="B453" s="1" t="n">
        <v>45118</v>
      </c>
      <c r="C453" s="1" t="n">
        <v>45340</v>
      </c>
      <c r="D453" t="inlineStr">
        <is>
          <t>NORRBOTTENS LÄN</t>
        </is>
      </c>
      <c r="E453" t="inlineStr">
        <is>
          <t>ÖVERTORNEÅ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33323-2023</t>
        </is>
      </c>
      <c r="B454" s="1" t="n">
        <v>45128</v>
      </c>
      <c r="C454" s="1" t="n">
        <v>45340</v>
      </c>
      <c r="D454" t="inlineStr">
        <is>
          <t>NORRBOTTENS LÄN</t>
        </is>
      </c>
      <c r="E454" t="inlineStr">
        <is>
          <t>ÖVERTORNEÅ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33322-2023</t>
        </is>
      </c>
      <c r="B455" s="1" t="n">
        <v>45128</v>
      </c>
      <c r="C455" s="1" t="n">
        <v>45340</v>
      </c>
      <c r="D455" t="inlineStr">
        <is>
          <t>NORRBOTTENS LÄN</t>
        </is>
      </c>
      <c r="E455" t="inlineStr">
        <is>
          <t>ÖVERTORNEÅ</t>
        </is>
      </c>
      <c r="G455" t="n">
        <v>8.5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33325-2023</t>
        </is>
      </c>
      <c r="B456" s="1" t="n">
        <v>45128</v>
      </c>
      <c r="C456" s="1" t="n">
        <v>45340</v>
      </c>
      <c r="D456" t="inlineStr">
        <is>
          <t>NORRBOTTENS LÄN</t>
        </is>
      </c>
      <c r="E456" t="inlineStr">
        <is>
          <t>ÖVERTORNEÅ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34276-2023</t>
        </is>
      </c>
      <c r="B457" s="1" t="n">
        <v>45128</v>
      </c>
      <c r="C457" s="1" t="n">
        <v>45340</v>
      </c>
      <c r="D457" t="inlineStr">
        <is>
          <t>NORRBOTTENS LÄN</t>
        </is>
      </c>
      <c r="E457" t="inlineStr">
        <is>
          <t>ÖVERTORNEÅ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33637-2023</t>
        </is>
      </c>
      <c r="B458" s="1" t="n">
        <v>45132</v>
      </c>
      <c r="C458" s="1" t="n">
        <v>45340</v>
      </c>
      <c r="D458" t="inlineStr">
        <is>
          <t>NORRBOTTENS LÄN</t>
        </is>
      </c>
      <c r="E458" t="inlineStr">
        <is>
          <t>ÖVERTORNEÅ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34144-2023</t>
        </is>
      </c>
      <c r="B459" s="1" t="n">
        <v>45136</v>
      </c>
      <c r="C459" s="1" t="n">
        <v>45340</v>
      </c>
      <c r="D459" t="inlineStr">
        <is>
          <t>NORRBOTTENS LÄN</t>
        </is>
      </c>
      <c r="E459" t="inlineStr">
        <is>
          <t>ÖVERTORNEÅ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34142-2023</t>
        </is>
      </c>
      <c r="B460" s="1" t="n">
        <v>45136</v>
      </c>
      <c r="C460" s="1" t="n">
        <v>45340</v>
      </c>
      <c r="D460" t="inlineStr">
        <is>
          <t>NORRBOTTENS LÄN</t>
        </is>
      </c>
      <c r="E460" t="inlineStr">
        <is>
          <t>ÖVERTORNEÅ</t>
        </is>
      </c>
      <c r="G460" t="n">
        <v>22.5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34143-2023</t>
        </is>
      </c>
      <c r="B461" s="1" t="n">
        <v>45136</v>
      </c>
      <c r="C461" s="1" t="n">
        <v>45340</v>
      </c>
      <c r="D461" t="inlineStr">
        <is>
          <t>NORRBOTTENS LÄN</t>
        </is>
      </c>
      <c r="E461" t="inlineStr">
        <is>
          <t>ÖVERTORNEÅ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34145-2023</t>
        </is>
      </c>
      <c r="B462" s="1" t="n">
        <v>45136</v>
      </c>
      <c r="C462" s="1" t="n">
        <v>45340</v>
      </c>
      <c r="D462" t="inlineStr">
        <is>
          <t>NORRBOTTENS LÄN</t>
        </is>
      </c>
      <c r="E462" t="inlineStr">
        <is>
          <t>ÖVERTORNEÅ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34154-2023</t>
        </is>
      </c>
      <c r="B463" s="1" t="n">
        <v>45137</v>
      </c>
      <c r="C463" s="1" t="n">
        <v>45340</v>
      </c>
      <c r="D463" t="inlineStr">
        <is>
          <t>NORRBOTTENS LÄN</t>
        </is>
      </c>
      <c r="E463" t="inlineStr">
        <is>
          <t>ÖVERTORNEÅ</t>
        </is>
      </c>
      <c r="G463" t="n">
        <v>37.1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34398-2023</t>
        </is>
      </c>
      <c r="B464" s="1" t="n">
        <v>45139</v>
      </c>
      <c r="C464" s="1" t="n">
        <v>45340</v>
      </c>
      <c r="D464" t="inlineStr">
        <is>
          <t>NORRBOTTENS LÄN</t>
        </is>
      </c>
      <c r="E464" t="inlineStr">
        <is>
          <t>ÖVERTORNEÅ</t>
        </is>
      </c>
      <c r="G464" t="n">
        <v>8.9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34403-2023</t>
        </is>
      </c>
      <c r="B465" s="1" t="n">
        <v>45139</v>
      </c>
      <c r="C465" s="1" t="n">
        <v>45340</v>
      </c>
      <c r="D465" t="inlineStr">
        <is>
          <t>NORRBOTTENS LÄN</t>
        </is>
      </c>
      <c r="E465" t="inlineStr">
        <is>
          <t>ÖVERTORNEÅ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34402-2023</t>
        </is>
      </c>
      <c r="B466" s="1" t="n">
        <v>45139</v>
      </c>
      <c r="C466" s="1" t="n">
        <v>45340</v>
      </c>
      <c r="D466" t="inlineStr">
        <is>
          <t>NORRBOTTENS LÄN</t>
        </is>
      </c>
      <c r="E466" t="inlineStr">
        <is>
          <t>ÖVERTORNEÅ</t>
        </is>
      </c>
      <c r="G466" t="n">
        <v>7.6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34753-2023</t>
        </is>
      </c>
      <c r="B467" s="1" t="n">
        <v>45139</v>
      </c>
      <c r="C467" s="1" t="n">
        <v>45340</v>
      </c>
      <c r="D467" t="inlineStr">
        <is>
          <t>NORRBOTTENS LÄN</t>
        </is>
      </c>
      <c r="E467" t="inlineStr">
        <is>
          <t>ÖVERTORNEÅ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34843-2023</t>
        </is>
      </c>
      <c r="B468" s="1" t="n">
        <v>45142</v>
      </c>
      <c r="C468" s="1" t="n">
        <v>45340</v>
      </c>
      <c r="D468" t="inlineStr">
        <is>
          <t>NORRBOTTENS LÄN</t>
        </is>
      </c>
      <c r="E468" t="inlineStr">
        <is>
          <t>ÖVERTORNEÅ</t>
        </is>
      </c>
      <c r="G468" t="n">
        <v>7.1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34993-2023</t>
        </is>
      </c>
      <c r="B469" s="1" t="n">
        <v>45143</v>
      </c>
      <c r="C469" s="1" t="n">
        <v>45340</v>
      </c>
      <c r="D469" t="inlineStr">
        <is>
          <t>NORRBOTTENS LÄN</t>
        </is>
      </c>
      <c r="E469" t="inlineStr">
        <is>
          <t>ÖVERTORNEÅ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34992-2023</t>
        </is>
      </c>
      <c r="B470" s="1" t="n">
        <v>45143</v>
      </c>
      <c r="C470" s="1" t="n">
        <v>45340</v>
      </c>
      <c r="D470" t="inlineStr">
        <is>
          <t>NORRBOTTENS LÄN</t>
        </is>
      </c>
      <c r="E470" t="inlineStr">
        <is>
          <t>ÖVERTORNEÅ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34994-2023</t>
        </is>
      </c>
      <c r="B471" s="1" t="n">
        <v>45143</v>
      </c>
      <c r="C471" s="1" t="n">
        <v>45340</v>
      </c>
      <c r="D471" t="inlineStr">
        <is>
          <t>NORRBOTTENS LÄN</t>
        </is>
      </c>
      <c r="E471" t="inlineStr">
        <is>
          <t>ÖVERTORNEÅ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35077-2023</t>
        </is>
      </c>
      <c r="B472" s="1" t="n">
        <v>45142</v>
      </c>
      <c r="C472" s="1" t="n">
        <v>45340</v>
      </c>
      <c r="D472" t="inlineStr">
        <is>
          <t>NORRBOTTENS LÄN</t>
        </is>
      </c>
      <c r="E472" t="inlineStr">
        <is>
          <t>ÖVERTORNEÅ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35866-2023</t>
        </is>
      </c>
      <c r="B473" s="1" t="n">
        <v>45148</v>
      </c>
      <c r="C473" s="1" t="n">
        <v>45340</v>
      </c>
      <c r="D473" t="inlineStr">
        <is>
          <t>NORRBOTTENS LÄN</t>
        </is>
      </c>
      <c r="E473" t="inlineStr">
        <is>
          <t>ÖVERTORNEÅ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35995-2023</t>
        </is>
      </c>
      <c r="B474" s="1" t="n">
        <v>45149</v>
      </c>
      <c r="C474" s="1" t="n">
        <v>45340</v>
      </c>
      <c r="D474" t="inlineStr">
        <is>
          <t>NORRBOTTENS LÄN</t>
        </is>
      </c>
      <c r="E474" t="inlineStr">
        <is>
          <t>ÖVERTORNEÅ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36057-2023</t>
        </is>
      </c>
      <c r="B475" s="1" t="n">
        <v>45149</v>
      </c>
      <c r="C475" s="1" t="n">
        <v>45340</v>
      </c>
      <c r="D475" t="inlineStr">
        <is>
          <t>NORRBOTTENS LÄN</t>
        </is>
      </c>
      <c r="E475" t="inlineStr">
        <is>
          <t>ÖVERTORNEÅ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36737-2023</t>
        </is>
      </c>
      <c r="B476" s="1" t="n">
        <v>45153</v>
      </c>
      <c r="C476" s="1" t="n">
        <v>45340</v>
      </c>
      <c r="D476" t="inlineStr">
        <is>
          <t>NORRBOTTENS LÄN</t>
        </is>
      </c>
      <c r="E476" t="inlineStr">
        <is>
          <t>ÖVERTORNEÅ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37971-2023</t>
        </is>
      </c>
      <c r="B477" s="1" t="n">
        <v>45160</v>
      </c>
      <c r="C477" s="1" t="n">
        <v>45340</v>
      </c>
      <c r="D477" t="inlineStr">
        <is>
          <t>NORRBOTTENS LÄN</t>
        </is>
      </c>
      <c r="E477" t="inlineStr">
        <is>
          <t>ÖVERTORNEÅ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38005-2023</t>
        </is>
      </c>
      <c r="B478" s="1" t="n">
        <v>45160</v>
      </c>
      <c r="C478" s="1" t="n">
        <v>45340</v>
      </c>
      <c r="D478" t="inlineStr">
        <is>
          <t>NORRBOTTENS LÄN</t>
        </is>
      </c>
      <c r="E478" t="inlineStr">
        <is>
          <t>ÖVERTORNEÅ</t>
        </is>
      </c>
      <c r="F478" t="inlineStr">
        <is>
          <t>Sveaskog</t>
        </is>
      </c>
      <c r="G478" t="n">
        <v>33.9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38137-2023</t>
        </is>
      </c>
      <c r="B479" s="1" t="n">
        <v>45161</v>
      </c>
      <c r="C479" s="1" t="n">
        <v>45340</v>
      </c>
      <c r="D479" t="inlineStr">
        <is>
          <t>NORRBOTTENS LÄN</t>
        </is>
      </c>
      <c r="E479" t="inlineStr">
        <is>
          <t>ÖVERTORNEÅ</t>
        </is>
      </c>
      <c r="F479" t="inlineStr">
        <is>
          <t>Sveaskog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38204-2023</t>
        </is>
      </c>
      <c r="B480" s="1" t="n">
        <v>45161</v>
      </c>
      <c r="C480" s="1" t="n">
        <v>45340</v>
      </c>
      <c r="D480" t="inlineStr">
        <is>
          <t>NORRBOTTENS LÄN</t>
        </is>
      </c>
      <c r="E480" t="inlineStr">
        <is>
          <t>ÖVERTORNEÅ</t>
        </is>
      </c>
      <c r="G480" t="n">
        <v>15.6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39775-2023</t>
        </is>
      </c>
      <c r="B481" s="1" t="n">
        <v>45167</v>
      </c>
      <c r="C481" s="1" t="n">
        <v>45340</v>
      </c>
      <c r="D481" t="inlineStr">
        <is>
          <t>NORRBOTTENS LÄN</t>
        </is>
      </c>
      <c r="E481" t="inlineStr">
        <is>
          <t>ÖVERTORNEÅ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44096-2023</t>
        </is>
      </c>
      <c r="B482" s="1" t="n">
        <v>45188</v>
      </c>
      <c r="C482" s="1" t="n">
        <v>45340</v>
      </c>
      <c r="D482" t="inlineStr">
        <is>
          <t>NORRBOTTENS LÄN</t>
        </is>
      </c>
      <c r="E482" t="inlineStr">
        <is>
          <t>ÖVERTORNEÅ</t>
        </is>
      </c>
      <c r="G482" t="n">
        <v>16.2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44079-2023</t>
        </is>
      </c>
      <c r="B483" s="1" t="n">
        <v>45188</v>
      </c>
      <c r="C483" s="1" t="n">
        <v>45340</v>
      </c>
      <c r="D483" t="inlineStr">
        <is>
          <t>NORRBOTTENS LÄN</t>
        </is>
      </c>
      <c r="E483" t="inlineStr">
        <is>
          <t>ÖVERTORNEÅ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46128-2023</t>
        </is>
      </c>
      <c r="B484" s="1" t="n">
        <v>45190</v>
      </c>
      <c r="C484" s="1" t="n">
        <v>45340</v>
      </c>
      <c r="D484" t="inlineStr">
        <is>
          <t>NORRBOTTENS LÄN</t>
        </is>
      </c>
      <c r="E484" t="inlineStr">
        <is>
          <t>ÖVERTORNEÅ</t>
        </is>
      </c>
      <c r="G484" t="n">
        <v>55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46651-2023</t>
        </is>
      </c>
      <c r="B485" s="1" t="n">
        <v>45194</v>
      </c>
      <c r="C485" s="1" t="n">
        <v>45340</v>
      </c>
      <c r="D485" t="inlineStr">
        <is>
          <t>NORRBOTTENS LÄN</t>
        </is>
      </c>
      <c r="E485" t="inlineStr">
        <is>
          <t>ÖVERTORNEÅ</t>
        </is>
      </c>
      <c r="G485" t="n">
        <v>10.1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46666-2023</t>
        </is>
      </c>
      <c r="B486" s="1" t="n">
        <v>45194</v>
      </c>
      <c r="C486" s="1" t="n">
        <v>45340</v>
      </c>
      <c r="D486" t="inlineStr">
        <is>
          <t>NORRBOTTENS LÄN</t>
        </is>
      </c>
      <c r="E486" t="inlineStr">
        <is>
          <t>ÖVERTORNEÅ</t>
        </is>
      </c>
      <c r="G486" t="n">
        <v>10.9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46644-2023</t>
        </is>
      </c>
      <c r="B487" s="1" t="n">
        <v>45194</v>
      </c>
      <c r="C487" s="1" t="n">
        <v>45340</v>
      </c>
      <c r="D487" t="inlineStr">
        <is>
          <t>NORRBOTTENS LÄN</t>
        </is>
      </c>
      <c r="E487" t="inlineStr">
        <is>
          <t>ÖVERTORNEÅ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46671-2023</t>
        </is>
      </c>
      <c r="B488" s="1" t="n">
        <v>45194</v>
      </c>
      <c r="C488" s="1" t="n">
        <v>45340</v>
      </c>
      <c r="D488" t="inlineStr">
        <is>
          <t>NORRBOTTENS LÄN</t>
        </is>
      </c>
      <c r="E488" t="inlineStr">
        <is>
          <t>ÖVERTORNEÅ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47082-2023</t>
        </is>
      </c>
      <c r="B489" s="1" t="n">
        <v>45201</v>
      </c>
      <c r="C489" s="1" t="n">
        <v>45340</v>
      </c>
      <c r="D489" t="inlineStr">
        <is>
          <t>NORRBOTTENS LÄN</t>
        </is>
      </c>
      <c r="E489" t="inlineStr">
        <is>
          <t>ÖVERTORNEÅ</t>
        </is>
      </c>
      <c r="G489" t="n">
        <v>9.800000000000001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47476-2023</t>
        </is>
      </c>
      <c r="B490" s="1" t="n">
        <v>45203</v>
      </c>
      <c r="C490" s="1" t="n">
        <v>45340</v>
      </c>
      <c r="D490" t="inlineStr">
        <is>
          <t>NORRBOTTENS LÄN</t>
        </is>
      </c>
      <c r="E490" t="inlineStr">
        <is>
          <t>ÖVERTORNEÅ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47475-2023</t>
        </is>
      </c>
      <c r="B491" s="1" t="n">
        <v>45202</v>
      </c>
      <c r="C491" s="1" t="n">
        <v>45340</v>
      </c>
      <c r="D491" t="inlineStr">
        <is>
          <t>NORRBOTTENS LÄN</t>
        </is>
      </c>
      <c r="E491" t="inlineStr">
        <is>
          <t>ÖVERTORNEÅ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49482-2023</t>
        </is>
      </c>
      <c r="B492" s="1" t="n">
        <v>45205</v>
      </c>
      <c r="C492" s="1" t="n">
        <v>45340</v>
      </c>
      <c r="D492" t="inlineStr">
        <is>
          <t>NORRBOTTENS LÄN</t>
        </is>
      </c>
      <c r="E492" t="inlineStr">
        <is>
          <t>ÖVERTORNEÅ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48758-2023</t>
        </is>
      </c>
      <c r="B493" s="1" t="n">
        <v>45209</v>
      </c>
      <c r="C493" s="1" t="n">
        <v>45340</v>
      </c>
      <c r="D493" t="inlineStr">
        <is>
          <t>NORRBOTTENS LÄN</t>
        </is>
      </c>
      <c r="E493" t="inlineStr">
        <is>
          <t>ÖVERTORNEÅ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48756-2023</t>
        </is>
      </c>
      <c r="B494" s="1" t="n">
        <v>45209</v>
      </c>
      <c r="C494" s="1" t="n">
        <v>45340</v>
      </c>
      <c r="D494" t="inlineStr">
        <is>
          <t>NORRBOTTENS LÄN</t>
        </is>
      </c>
      <c r="E494" t="inlineStr">
        <is>
          <t>ÖVERTORNEÅ</t>
        </is>
      </c>
      <c r="G494" t="n">
        <v>10.3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49223-2023</t>
        </is>
      </c>
      <c r="B495" s="1" t="n">
        <v>45210</v>
      </c>
      <c r="C495" s="1" t="n">
        <v>45340</v>
      </c>
      <c r="D495" t="inlineStr">
        <is>
          <t>NORRBOTTENS LÄN</t>
        </is>
      </c>
      <c r="E495" t="inlineStr">
        <is>
          <t>ÖVERTORNEÅ</t>
        </is>
      </c>
      <c r="F495" t="inlineStr">
        <is>
          <t>Sveaskog</t>
        </is>
      </c>
      <c r="G495" t="n">
        <v>33.7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50679-2023</t>
        </is>
      </c>
      <c r="B496" s="1" t="n">
        <v>45217</v>
      </c>
      <c r="C496" s="1" t="n">
        <v>45340</v>
      </c>
      <c r="D496" t="inlineStr">
        <is>
          <t>NORRBOTTENS LÄN</t>
        </is>
      </c>
      <c r="E496" t="inlineStr">
        <is>
          <t>ÖVERTORNEÅ</t>
        </is>
      </c>
      <c r="G496" t="n">
        <v>12.3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50673-2023</t>
        </is>
      </c>
      <c r="B497" s="1" t="n">
        <v>45217</v>
      </c>
      <c r="C497" s="1" t="n">
        <v>45340</v>
      </c>
      <c r="D497" t="inlineStr">
        <is>
          <t>NORRBOTTENS LÄN</t>
        </is>
      </c>
      <c r="E497" t="inlineStr">
        <is>
          <t>ÖVERTORNEÅ</t>
        </is>
      </c>
      <c r="G497" t="n">
        <v>7.3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50807-2023</t>
        </is>
      </c>
      <c r="B498" s="1" t="n">
        <v>45217</v>
      </c>
      <c r="C498" s="1" t="n">
        <v>45340</v>
      </c>
      <c r="D498" t="inlineStr">
        <is>
          <t>NORRBOTTENS LÄN</t>
        </is>
      </c>
      <c r="E498" t="inlineStr">
        <is>
          <t>ÖVERTORNEÅ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52274-2023</t>
        </is>
      </c>
      <c r="B499" s="1" t="n">
        <v>45217</v>
      </c>
      <c r="C499" s="1" t="n">
        <v>45340</v>
      </c>
      <c r="D499" t="inlineStr">
        <is>
          <t>NORRBOTTENS LÄN</t>
        </is>
      </c>
      <c r="E499" t="inlineStr">
        <is>
          <t>ÖVERTORNEÅ</t>
        </is>
      </c>
      <c r="G499" t="n">
        <v>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51682-2023</t>
        </is>
      </c>
      <c r="B500" s="1" t="n">
        <v>45222</v>
      </c>
      <c r="C500" s="1" t="n">
        <v>45340</v>
      </c>
      <c r="D500" t="inlineStr">
        <is>
          <t>NORRBOTTENS LÄN</t>
        </is>
      </c>
      <c r="E500" t="inlineStr">
        <is>
          <t>ÖVERTORNEÅ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53075-2023</t>
        </is>
      </c>
      <c r="B501" s="1" t="n">
        <v>45227</v>
      </c>
      <c r="C501" s="1" t="n">
        <v>45340</v>
      </c>
      <c r="D501" t="inlineStr">
        <is>
          <t>NORRBOTTENS LÄN</t>
        </is>
      </c>
      <c r="E501" t="inlineStr">
        <is>
          <t>ÖVERTORNEÅ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53077-2023</t>
        </is>
      </c>
      <c r="B502" s="1" t="n">
        <v>45227</v>
      </c>
      <c r="C502" s="1" t="n">
        <v>45340</v>
      </c>
      <c r="D502" t="inlineStr">
        <is>
          <t>NORRBOTTENS LÄN</t>
        </is>
      </c>
      <c r="E502" t="inlineStr">
        <is>
          <t>ÖVERTORNEÅ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55064-2023</t>
        </is>
      </c>
      <c r="B503" s="1" t="n">
        <v>45230</v>
      </c>
      <c r="C503" s="1" t="n">
        <v>45340</v>
      </c>
      <c r="D503" t="inlineStr">
        <is>
          <t>NORRBOTTENS LÄN</t>
        </is>
      </c>
      <c r="E503" t="inlineStr">
        <is>
          <t>ÖVERTORNEÅ</t>
        </is>
      </c>
      <c r="G503" t="n">
        <v>11.4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54029-2023</t>
        </is>
      </c>
      <c r="B504" s="1" t="n">
        <v>45231</v>
      </c>
      <c r="C504" s="1" t="n">
        <v>45340</v>
      </c>
      <c r="D504" t="inlineStr">
        <is>
          <t>NORRBOTTENS LÄN</t>
        </is>
      </c>
      <c r="E504" t="inlineStr">
        <is>
          <t>ÖVERTORNEÅ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54597-2023</t>
        </is>
      </c>
      <c r="B505" s="1" t="n">
        <v>45233</v>
      </c>
      <c r="C505" s="1" t="n">
        <v>45340</v>
      </c>
      <c r="D505" t="inlineStr">
        <is>
          <t>NORRBOTTENS LÄN</t>
        </is>
      </c>
      <c r="E505" t="inlineStr">
        <is>
          <t>ÖVERTORNEÅ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56845-2023</t>
        </is>
      </c>
      <c r="B506" s="1" t="n">
        <v>45244</v>
      </c>
      <c r="C506" s="1" t="n">
        <v>45340</v>
      </c>
      <c r="D506" t="inlineStr">
        <is>
          <t>NORRBOTTENS LÄN</t>
        </is>
      </c>
      <c r="E506" t="inlineStr">
        <is>
          <t>ÖVERTORNEÅ</t>
        </is>
      </c>
      <c r="G506" t="n">
        <v>6.2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61865-2023</t>
        </is>
      </c>
      <c r="B507" s="1" t="n">
        <v>45266</v>
      </c>
      <c r="C507" s="1" t="n">
        <v>45340</v>
      </c>
      <c r="D507" t="inlineStr">
        <is>
          <t>NORRBOTTENS LÄN</t>
        </is>
      </c>
      <c r="E507" t="inlineStr">
        <is>
          <t>ÖVERTORNEÅ</t>
        </is>
      </c>
      <c r="G507" t="n">
        <v>18.8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62291-2023</t>
        </is>
      </c>
      <c r="B508" s="1" t="n">
        <v>45266</v>
      </c>
      <c r="C508" s="1" t="n">
        <v>45340</v>
      </c>
      <c r="D508" t="inlineStr">
        <is>
          <t>NORRBOTTENS LÄN</t>
        </is>
      </c>
      <c r="E508" t="inlineStr">
        <is>
          <t>ÖVERTORNEÅ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62826-2023</t>
        </is>
      </c>
      <c r="B509" s="1" t="n">
        <v>45271</v>
      </c>
      <c r="C509" s="1" t="n">
        <v>45340</v>
      </c>
      <c r="D509" t="inlineStr">
        <is>
          <t>NORRBOTTENS LÄN</t>
        </is>
      </c>
      <c r="E509" t="inlineStr">
        <is>
          <t>ÖVERTORNEÅ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63056-2023</t>
        </is>
      </c>
      <c r="B510" s="1" t="n">
        <v>45272</v>
      </c>
      <c r="C510" s="1" t="n">
        <v>45340</v>
      </c>
      <c r="D510" t="inlineStr">
        <is>
          <t>NORRBOTTENS LÄN</t>
        </is>
      </c>
      <c r="E510" t="inlineStr">
        <is>
          <t>ÖVERTORNEÅ</t>
        </is>
      </c>
      <c r="G510" t="n">
        <v>11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63285-2023</t>
        </is>
      </c>
      <c r="B511" s="1" t="n">
        <v>45273</v>
      </c>
      <c r="C511" s="1" t="n">
        <v>45340</v>
      </c>
      <c r="D511" t="inlineStr">
        <is>
          <t>NORRBOTTENS LÄN</t>
        </is>
      </c>
      <c r="E511" t="inlineStr">
        <is>
          <t>ÖVERTORNEÅ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63475-2023</t>
        </is>
      </c>
      <c r="B512" s="1" t="n">
        <v>45274</v>
      </c>
      <c r="C512" s="1" t="n">
        <v>45340</v>
      </c>
      <c r="D512" t="inlineStr">
        <is>
          <t>NORRBOTTENS LÄN</t>
        </is>
      </c>
      <c r="E512" t="inlineStr">
        <is>
          <t>ÖVERTORNEÅ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63527-2023</t>
        </is>
      </c>
      <c r="B513" s="1" t="n">
        <v>45274</v>
      </c>
      <c r="C513" s="1" t="n">
        <v>45340</v>
      </c>
      <c r="D513" t="inlineStr">
        <is>
          <t>NORRBOTTENS LÄN</t>
        </is>
      </c>
      <c r="E513" t="inlineStr">
        <is>
          <t>ÖVERTORNEÅ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63526-2023</t>
        </is>
      </c>
      <c r="B514" s="1" t="n">
        <v>45274</v>
      </c>
      <c r="C514" s="1" t="n">
        <v>45340</v>
      </c>
      <c r="D514" t="inlineStr">
        <is>
          <t>NORRBOTTENS LÄN</t>
        </is>
      </c>
      <c r="E514" t="inlineStr">
        <is>
          <t>ÖVERTORNEÅ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63808-2023</t>
        </is>
      </c>
      <c r="B515" s="1" t="n">
        <v>45278</v>
      </c>
      <c r="C515" s="1" t="n">
        <v>45340</v>
      </c>
      <c r="D515" t="inlineStr">
        <is>
          <t>NORRBOTTENS LÄN</t>
        </is>
      </c>
      <c r="E515" t="inlineStr">
        <is>
          <t>ÖVERTORNEÅ</t>
        </is>
      </c>
      <c r="G515" t="n">
        <v>5.6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64021-2023</t>
        </is>
      </c>
      <c r="B516" s="1" t="n">
        <v>45278</v>
      </c>
      <c r="C516" s="1" t="n">
        <v>45340</v>
      </c>
      <c r="D516" t="inlineStr">
        <is>
          <t>NORRBOTTENS LÄN</t>
        </is>
      </c>
      <c r="E516" t="inlineStr">
        <is>
          <t>ÖVERTORNEÅ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64243-2023</t>
        </is>
      </c>
      <c r="B517" s="1" t="n">
        <v>45279</v>
      </c>
      <c r="C517" s="1" t="n">
        <v>45340</v>
      </c>
      <c r="D517" t="inlineStr">
        <is>
          <t>NORRBOTTENS LÄN</t>
        </is>
      </c>
      <c r="E517" t="inlineStr">
        <is>
          <t>ÖVERTORNEÅ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64241-2023</t>
        </is>
      </c>
      <c r="B518" s="1" t="n">
        <v>45279</v>
      </c>
      <c r="C518" s="1" t="n">
        <v>45340</v>
      </c>
      <c r="D518" t="inlineStr">
        <is>
          <t>NORRBOTTENS LÄN</t>
        </is>
      </c>
      <c r="E518" t="inlineStr">
        <is>
          <t>ÖVERTORNEÅ</t>
        </is>
      </c>
      <c r="G518" t="n">
        <v>8.1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64253-2023</t>
        </is>
      </c>
      <c r="B519" s="1" t="n">
        <v>45279</v>
      </c>
      <c r="C519" s="1" t="n">
        <v>45340</v>
      </c>
      <c r="D519" t="inlineStr">
        <is>
          <t>NORRBOTTENS LÄN</t>
        </is>
      </c>
      <c r="E519" t="inlineStr">
        <is>
          <t>ÖVERTORNEÅ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64252-2023</t>
        </is>
      </c>
      <c r="B520" s="1" t="n">
        <v>45279</v>
      </c>
      <c r="C520" s="1" t="n">
        <v>45340</v>
      </c>
      <c r="D520" t="inlineStr">
        <is>
          <t>NORRBOTTENS LÄN</t>
        </is>
      </c>
      <c r="E520" t="inlineStr">
        <is>
          <t>ÖVERTORNEÅ</t>
        </is>
      </c>
      <c r="G520" t="n">
        <v>8.1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64554-2023</t>
        </is>
      </c>
      <c r="B521" s="1" t="n">
        <v>45281</v>
      </c>
      <c r="C521" s="1" t="n">
        <v>45340</v>
      </c>
      <c r="D521" t="inlineStr">
        <is>
          <t>NORRBOTTENS LÄN</t>
        </is>
      </c>
      <c r="E521" t="inlineStr">
        <is>
          <t>ÖVERTORNEÅ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65184-2023</t>
        </is>
      </c>
      <c r="B522" s="1" t="n">
        <v>45288</v>
      </c>
      <c r="C522" s="1" t="n">
        <v>45340</v>
      </c>
      <c r="D522" t="inlineStr">
        <is>
          <t>NORRBOTTENS LÄN</t>
        </is>
      </c>
      <c r="E522" t="inlineStr">
        <is>
          <t>ÖVERTORNEÅ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65182-2023</t>
        </is>
      </c>
      <c r="B523" s="1" t="n">
        <v>45288</v>
      </c>
      <c r="C523" s="1" t="n">
        <v>45340</v>
      </c>
      <c r="D523" t="inlineStr">
        <is>
          <t>NORRBOTTENS LÄN</t>
        </is>
      </c>
      <c r="E523" t="inlineStr">
        <is>
          <t>ÖVERTORNEÅ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65183-2023</t>
        </is>
      </c>
      <c r="B524" s="1" t="n">
        <v>45288</v>
      </c>
      <c r="C524" s="1" t="n">
        <v>45340</v>
      </c>
      <c r="D524" t="inlineStr">
        <is>
          <t>NORRBOTTENS LÄN</t>
        </is>
      </c>
      <c r="E524" t="inlineStr">
        <is>
          <t>ÖVERTORNEÅ</t>
        </is>
      </c>
      <c r="G524" t="n">
        <v>8.300000000000001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65181-2023</t>
        </is>
      </c>
      <c r="B525" s="1" t="n">
        <v>45288</v>
      </c>
      <c r="C525" s="1" t="n">
        <v>45340</v>
      </c>
      <c r="D525" t="inlineStr">
        <is>
          <t>NORRBOTTENS LÄN</t>
        </is>
      </c>
      <c r="E525" t="inlineStr">
        <is>
          <t>ÖVERTORNEÅ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138-2024</t>
        </is>
      </c>
      <c r="B526" s="1" t="n">
        <v>45293</v>
      </c>
      <c r="C526" s="1" t="n">
        <v>45340</v>
      </c>
      <c r="D526" t="inlineStr">
        <is>
          <t>NORRBOTTENS LÄN</t>
        </is>
      </c>
      <c r="E526" t="inlineStr">
        <is>
          <t>ÖVERTORNEÅ</t>
        </is>
      </c>
      <c r="G526" t="n">
        <v>5.7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148-2024</t>
        </is>
      </c>
      <c r="B527" s="1" t="n">
        <v>45293</v>
      </c>
      <c r="C527" s="1" t="n">
        <v>45340</v>
      </c>
      <c r="D527" t="inlineStr">
        <is>
          <t>NORRBOTTENS LÄN</t>
        </is>
      </c>
      <c r="E527" t="inlineStr">
        <is>
          <t>ÖVERTORNEÅ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605-2024</t>
        </is>
      </c>
      <c r="B528" s="1" t="n">
        <v>45299</v>
      </c>
      <c r="C528" s="1" t="n">
        <v>45340</v>
      </c>
      <c r="D528" t="inlineStr">
        <is>
          <t>NORRBOTTENS LÄN</t>
        </is>
      </c>
      <c r="E528" t="inlineStr">
        <is>
          <t>ÖVERTORNEÅ</t>
        </is>
      </c>
      <c r="G528" t="n">
        <v>17.4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856-2024</t>
        </is>
      </c>
      <c r="B529" s="1" t="n">
        <v>45300</v>
      </c>
      <c r="C529" s="1" t="n">
        <v>45340</v>
      </c>
      <c r="D529" t="inlineStr">
        <is>
          <t>NORRBOTTENS LÄN</t>
        </is>
      </c>
      <c r="E529" t="inlineStr">
        <is>
          <t>ÖVERTORNEÅ</t>
        </is>
      </c>
      <c r="G529" t="n">
        <v>8.300000000000001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855-2024</t>
        </is>
      </c>
      <c r="B530" s="1" t="n">
        <v>45300</v>
      </c>
      <c r="C530" s="1" t="n">
        <v>45340</v>
      </c>
      <c r="D530" t="inlineStr">
        <is>
          <t>NORRBOTTENS LÄN</t>
        </is>
      </c>
      <c r="E530" t="inlineStr">
        <is>
          <t>ÖVERTORNEÅ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848-2024</t>
        </is>
      </c>
      <c r="B531" s="1" t="n">
        <v>45300</v>
      </c>
      <c r="C531" s="1" t="n">
        <v>45340</v>
      </c>
      <c r="D531" t="inlineStr">
        <is>
          <t>NORRBOTTENS LÄN</t>
        </is>
      </c>
      <c r="E531" t="inlineStr">
        <is>
          <t>ÖVERTORNEÅ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857-2024</t>
        </is>
      </c>
      <c r="B532" s="1" t="n">
        <v>45300</v>
      </c>
      <c r="C532" s="1" t="n">
        <v>45340</v>
      </c>
      <c r="D532" t="inlineStr">
        <is>
          <t>NORRBOTTENS LÄN</t>
        </is>
      </c>
      <c r="E532" t="inlineStr">
        <is>
          <t>ÖVERTORNEÅ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1640-2024</t>
        </is>
      </c>
      <c r="B533" s="1" t="n">
        <v>45306</v>
      </c>
      <c r="C533" s="1" t="n">
        <v>45340</v>
      </c>
      <c r="D533" t="inlineStr">
        <is>
          <t>NORRBOTTENS LÄN</t>
        </is>
      </c>
      <c r="E533" t="inlineStr">
        <is>
          <t>ÖVERTORNEÅ</t>
        </is>
      </c>
      <c r="G533" t="n">
        <v>7.4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1623-2024</t>
        </is>
      </c>
      <c r="B534" s="1" t="n">
        <v>45306</v>
      </c>
      <c r="C534" s="1" t="n">
        <v>45340</v>
      </c>
      <c r="D534" t="inlineStr">
        <is>
          <t>NORRBOTTENS LÄN</t>
        </is>
      </c>
      <c r="E534" t="inlineStr">
        <is>
          <t>ÖVERTORNEÅ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>
      <c r="A535" t="inlineStr">
        <is>
          <t>A 5030-2024</t>
        </is>
      </c>
      <c r="B535" s="1" t="n">
        <v>45329</v>
      </c>
      <c r="C535" s="1" t="n">
        <v>45340</v>
      </c>
      <c r="D535" t="inlineStr">
        <is>
          <t>NORRBOTTENS LÄN</t>
        </is>
      </c>
      <c r="E535" t="inlineStr">
        <is>
          <t>ÖVERTORNEÅ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2024-02-18T23:28:06Z</dcterms:created>
  <dcterms:modified xmlns:dcterms="http://purl.org/dc/terms/" xmlns:xsi="http://www.w3.org/2001/XMLSchema-instance" xsi:type="dcterms:W3CDTF">2024-02-18T23:28:07Z</dcterms:modified>
</cp:coreProperties>
</file>
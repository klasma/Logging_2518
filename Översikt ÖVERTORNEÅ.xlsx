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45838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45838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45838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45838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45838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45838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45838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45838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45838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45838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45838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45838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45838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45838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45838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45838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45838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45838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45838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45838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45838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45838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45838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45838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45838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45838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45838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45838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45838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45838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45838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45838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45838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45838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45838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45838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45838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45838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45838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45838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45838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45838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45838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45838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45838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45838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45838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45838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45838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45838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45838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45838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45838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45838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45838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45838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45838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45838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45838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45838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45838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45838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45838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45838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45838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45838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45838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45838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45838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45838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45838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45665-2022</t>
        </is>
      </c>
      <c r="B77" s="1" t="n">
        <v>44845</v>
      </c>
      <c r="C77" s="1" t="n">
        <v>45838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45665-2022 artfynd.xlsx", "A 45665-2022")</f>
        <v/>
      </c>
      <c r="T77">
        <f>HYPERLINK("https://klasma.github.io/Logging_2518/kartor/A 45665-2022 karta.png", "A 45665-2022")</f>
        <v/>
      </c>
      <c r="V77">
        <f>HYPERLINK("https://klasma.github.io/Logging_2518/klagomål/A 45665-2022 FSC-klagomål.docx", "A 45665-2022")</f>
        <v/>
      </c>
      <c r="W77">
        <f>HYPERLINK("https://klasma.github.io/Logging_2518/klagomålsmail/A 45665-2022 FSC-klagomål mail.docx", "A 45665-2022")</f>
        <v/>
      </c>
      <c r="X77">
        <f>HYPERLINK("https://klasma.github.io/Logging_2518/tillsyn/A 45665-2022 tillsynsbegäran.docx", "A 45665-2022")</f>
        <v/>
      </c>
      <c r="Y77">
        <f>HYPERLINK("https://klasma.github.io/Logging_2518/tillsynsmail/A 45665-2022 tillsynsbegäran mail.docx", "A 45665-2022")</f>
        <v/>
      </c>
    </row>
    <row r="78" ht="15" customHeight="1">
      <c r="A78" t="inlineStr">
        <is>
          <t>A 38349-2023</t>
        </is>
      </c>
      <c r="B78" s="1" t="n">
        <v>45161</v>
      </c>
      <c r="C78" s="1" t="n">
        <v>45838</v>
      </c>
      <c r="D78" t="inlineStr">
        <is>
          <t>NORRBOTTENS LÄN</t>
        </is>
      </c>
      <c r="E78" t="inlineStr">
        <is>
          <t>ÖVERTORNEÅ</t>
        </is>
      </c>
      <c r="G78" t="n">
        <v>12.1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38349-2023 artfynd.xlsx", "A 38349-2023")</f>
        <v/>
      </c>
      <c r="T78">
        <f>HYPERLINK("https://klasma.github.io/Logging_2518/kartor/A 38349-2023 karta.png", "A 38349-2023")</f>
        <v/>
      </c>
      <c r="V78">
        <f>HYPERLINK("https://klasma.github.io/Logging_2518/klagomål/A 38349-2023 FSC-klagomål.docx", "A 38349-2023")</f>
        <v/>
      </c>
      <c r="W78">
        <f>HYPERLINK("https://klasma.github.io/Logging_2518/klagomålsmail/A 38349-2023 FSC-klagomål mail.docx", "A 38349-2023")</f>
        <v/>
      </c>
      <c r="X78">
        <f>HYPERLINK("https://klasma.github.io/Logging_2518/tillsyn/A 38349-2023 tillsynsbegäran.docx", "A 38349-2023")</f>
        <v/>
      </c>
      <c r="Y78">
        <f>HYPERLINK("https://klasma.github.io/Logging_2518/tillsynsmail/A 38349-2023 tillsynsbegäran mail.docx", "A 38349-2023")</f>
        <v/>
      </c>
    </row>
    <row r="79" ht="15" customHeight="1">
      <c r="A79" t="inlineStr">
        <is>
          <t>A 46378-2023</t>
        </is>
      </c>
      <c r="B79" s="1" t="n">
        <v>45197</v>
      </c>
      <c r="C79" s="1" t="n">
        <v>45838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43.9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HYPERLINK("https://klasma.github.io/Logging_2518/artfynd/A 46378-2023 artfynd.xlsx", "A 46378-2023")</f>
        <v/>
      </c>
      <c r="T79">
        <f>HYPERLINK("https://klasma.github.io/Logging_2518/kartor/A 46378-2023 karta.png", "A 46378-2023")</f>
        <v/>
      </c>
      <c r="V79">
        <f>HYPERLINK("https://klasma.github.io/Logging_2518/klagomål/A 46378-2023 FSC-klagomål.docx", "A 46378-2023")</f>
        <v/>
      </c>
      <c r="W79">
        <f>HYPERLINK("https://klasma.github.io/Logging_2518/klagomålsmail/A 46378-2023 FSC-klagomål mail.docx", "A 46378-2023")</f>
        <v/>
      </c>
      <c r="X79">
        <f>HYPERLINK("https://klasma.github.io/Logging_2518/tillsyn/A 46378-2023 tillsynsbegäran.docx", "A 46378-2023")</f>
        <v/>
      </c>
      <c r="Y79">
        <f>HYPERLINK("https://klasma.github.io/Logging_2518/tillsynsmail/A 46378-2023 tillsynsbegäran mail.docx", "A 46378-2023")</f>
        <v/>
      </c>
      <c r="Z79">
        <f>HYPERLINK("https://klasma.github.io/Logging_2518/fåglar/A 46378-2023 prioriterade fågelarter.docx", "A 46378-2023")</f>
        <v/>
      </c>
    </row>
    <row r="80" ht="15" customHeight="1">
      <c r="A80" t="inlineStr">
        <is>
          <t>A 65183-2023</t>
        </is>
      </c>
      <c r="B80" s="1" t="n">
        <v>45288</v>
      </c>
      <c r="C80" s="1" t="n">
        <v>45838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65183-2023 artfynd.xlsx", "A 65183-2023")</f>
        <v/>
      </c>
      <c r="T80">
        <f>HYPERLINK("https://klasma.github.io/Logging_2518/kartor/A 65183-2023 karta.png", "A 65183-2023")</f>
        <v/>
      </c>
      <c r="V80">
        <f>HYPERLINK("https://klasma.github.io/Logging_2518/klagomål/A 65183-2023 FSC-klagomål.docx", "A 65183-2023")</f>
        <v/>
      </c>
      <c r="W80">
        <f>HYPERLINK("https://klasma.github.io/Logging_2518/klagomålsmail/A 65183-2023 FSC-klagomål mail.docx", "A 65183-2023")</f>
        <v/>
      </c>
      <c r="X80">
        <f>HYPERLINK("https://klasma.github.io/Logging_2518/tillsyn/A 65183-2023 tillsynsbegäran.docx", "A 65183-2023")</f>
        <v/>
      </c>
      <c r="Y80">
        <f>HYPERLINK("https://klasma.github.io/Logging_2518/tillsynsmail/A 65183-2023 tillsynsbegäran mail.docx", "A 65183-2023")</f>
        <v/>
      </c>
    </row>
    <row r="81" ht="15" customHeight="1">
      <c r="A81" t="inlineStr">
        <is>
          <t>A 856-2024</t>
        </is>
      </c>
      <c r="B81" s="1" t="n">
        <v>45300</v>
      </c>
      <c r="C81" s="1" t="n">
        <v>45838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856-2024 artfynd.xlsx", "A 856-2024")</f>
        <v/>
      </c>
      <c r="T81">
        <f>HYPERLINK("https://klasma.github.io/Logging_2518/kartor/A 856-2024 karta.png", "A 856-2024")</f>
        <v/>
      </c>
      <c r="V81">
        <f>HYPERLINK("https://klasma.github.io/Logging_2518/klagomål/A 856-2024 FSC-klagomål.docx", "A 856-2024")</f>
        <v/>
      </c>
      <c r="W81">
        <f>HYPERLINK("https://klasma.github.io/Logging_2518/klagomålsmail/A 856-2024 FSC-klagomål mail.docx", "A 856-2024")</f>
        <v/>
      </c>
      <c r="X81">
        <f>HYPERLINK("https://klasma.github.io/Logging_2518/tillsyn/A 856-2024 tillsynsbegäran.docx", "A 856-2024")</f>
        <v/>
      </c>
      <c r="Y81">
        <f>HYPERLINK("https://klasma.github.io/Logging_2518/tillsynsmail/A 856-2024 tillsynsbegäran mail.docx", "A 856-2024")</f>
        <v/>
      </c>
    </row>
    <row r="82" ht="15" customHeight="1">
      <c r="A82" t="inlineStr">
        <is>
          <t>A 16457-2024</t>
        </is>
      </c>
      <c r="B82" s="1" t="n">
        <v>45408</v>
      </c>
      <c r="C82" s="1" t="n">
        <v>45838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HYPERLINK("https://klasma.github.io/Logging_2518/artfynd/A 16457-2024 artfynd.xlsx", "A 16457-2024")</f>
        <v/>
      </c>
      <c r="T82">
        <f>HYPERLINK("https://klasma.github.io/Logging_2518/kartor/A 16457-2024 karta.png", "A 16457-2024")</f>
        <v/>
      </c>
      <c r="V82">
        <f>HYPERLINK("https://klasma.github.io/Logging_2518/klagomål/A 16457-2024 FSC-klagomål.docx", "A 16457-2024")</f>
        <v/>
      </c>
      <c r="W82">
        <f>HYPERLINK("https://klasma.github.io/Logging_2518/klagomålsmail/A 16457-2024 FSC-klagomål mail.docx", "A 16457-2024")</f>
        <v/>
      </c>
      <c r="X82">
        <f>HYPERLINK("https://klasma.github.io/Logging_2518/tillsyn/A 16457-2024 tillsynsbegäran.docx", "A 16457-2024")</f>
        <v/>
      </c>
      <c r="Y82">
        <f>HYPERLINK("https://klasma.github.io/Logging_2518/tillsynsmail/A 16457-2024 tillsynsbegäran mail.docx", "A 16457-2024")</f>
        <v/>
      </c>
      <c r="Z82">
        <f>HYPERLINK("https://klasma.github.io/Logging_2518/fåglar/A 16457-2024 prioriterade fågelarter.docx", "A 16457-2024")</f>
        <v/>
      </c>
    </row>
    <row r="83" ht="15" customHeight="1">
      <c r="A83" t="inlineStr">
        <is>
          <t>A 18671-2024</t>
        </is>
      </c>
      <c r="B83" s="1" t="n">
        <v>45426</v>
      </c>
      <c r="C83" s="1" t="n">
        <v>45838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 trolldruva</t>
        </is>
      </c>
      <c r="S83">
        <f>HYPERLINK("https://klasma.github.io/Logging_2518/artfynd/A 18671-2024 artfynd.xlsx", "A 18671-2024")</f>
        <v/>
      </c>
      <c r="T83">
        <f>HYPERLINK("https://klasma.github.io/Logging_2518/kartor/A 18671-2024 karta.png", "A 18671-2024")</f>
        <v/>
      </c>
      <c r="V83">
        <f>HYPERLINK("https://klasma.github.io/Logging_2518/klagomål/A 18671-2024 FSC-klagomål.docx", "A 18671-2024")</f>
        <v/>
      </c>
      <c r="W83">
        <f>HYPERLINK("https://klasma.github.io/Logging_2518/klagomålsmail/A 18671-2024 FSC-klagomål mail.docx", "A 18671-2024")</f>
        <v/>
      </c>
      <c r="X83">
        <f>HYPERLINK("https://klasma.github.io/Logging_2518/tillsyn/A 18671-2024 tillsynsbegäran.docx", "A 18671-2024")</f>
        <v/>
      </c>
      <c r="Y83">
        <f>HYPERLINK("https://klasma.github.io/Logging_2518/tillsynsmail/A 18671-2024 tillsynsbegäran mail.docx", "A 18671-2024")</f>
        <v/>
      </c>
    </row>
    <row r="84" ht="15" customHeight="1">
      <c r="A84" t="inlineStr">
        <is>
          <t>A 23056-2024</t>
        </is>
      </c>
      <c r="B84" s="1" t="n">
        <v>45449</v>
      </c>
      <c r="C84" s="1" t="n">
        <v>45838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HYPERLINK("https://klasma.github.io/Logging_2518/artfynd/A 23056-2024 artfynd.xlsx", "A 23056-2024")</f>
        <v/>
      </c>
      <c r="T84">
        <f>HYPERLINK("https://klasma.github.io/Logging_2518/kartor/A 23056-2024 karta.png", "A 23056-2024")</f>
        <v/>
      </c>
      <c r="V84">
        <f>HYPERLINK("https://klasma.github.io/Logging_2518/klagomål/A 23056-2024 FSC-klagomål.docx", "A 23056-2024")</f>
        <v/>
      </c>
      <c r="W84">
        <f>HYPERLINK("https://klasma.github.io/Logging_2518/klagomålsmail/A 23056-2024 FSC-klagomål mail.docx", "A 23056-2024")</f>
        <v/>
      </c>
      <c r="X84">
        <f>HYPERLINK("https://klasma.github.io/Logging_2518/tillsyn/A 23056-2024 tillsynsbegäran.docx", "A 23056-2024")</f>
        <v/>
      </c>
      <c r="Y84">
        <f>HYPERLINK("https://klasma.github.io/Logging_2518/tillsynsmail/A 23056-2024 tillsynsbegäran mail.docx", "A 23056-2024")</f>
        <v/>
      </c>
    </row>
    <row r="85" ht="15" customHeight="1">
      <c r="A85" t="inlineStr">
        <is>
          <t>A 38158-2024</t>
        </is>
      </c>
      <c r="B85" s="1" t="n">
        <v>45545</v>
      </c>
      <c r="C85" s="1" t="n">
        <v>45838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Lappticka</t>
        </is>
      </c>
      <c r="S85">
        <f>HYPERLINK("https://klasma.github.io/Logging_2518/artfynd/A 38158-2024 artfynd.xlsx", "A 38158-2024")</f>
        <v/>
      </c>
      <c r="T85">
        <f>HYPERLINK("https://klasma.github.io/Logging_2518/kartor/A 38158-2024 karta.png", "A 38158-2024")</f>
        <v/>
      </c>
      <c r="V85">
        <f>HYPERLINK("https://klasma.github.io/Logging_2518/klagomål/A 38158-2024 FSC-klagomål.docx", "A 38158-2024")</f>
        <v/>
      </c>
      <c r="W85">
        <f>HYPERLINK("https://klasma.github.io/Logging_2518/klagomålsmail/A 38158-2024 FSC-klagomål mail.docx", "A 38158-2024")</f>
        <v/>
      </c>
      <c r="X85">
        <f>HYPERLINK("https://klasma.github.io/Logging_2518/tillsyn/A 38158-2024 tillsynsbegäran.docx", "A 38158-2024")</f>
        <v/>
      </c>
      <c r="Y85">
        <f>HYPERLINK("https://klasma.github.io/Logging_2518/tillsynsmail/A 38158-2024 tillsynsbegäran mail.docx", "A 38158-2024")</f>
        <v/>
      </c>
    </row>
    <row r="86" ht="15" customHeight="1">
      <c r="A86" t="inlineStr">
        <is>
          <t>A 26760-2025</t>
        </is>
      </c>
      <c r="B86" s="1" t="n">
        <v>45810</v>
      </c>
      <c r="C86" s="1" t="n">
        <v>45838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HYPERLINK("https://klasma.github.io/Logging_252518/artfynd/A 26760-2025 artfynd.xlsx", "A 26760-2025")</f>
        <v/>
      </c>
      <c r="T86">
        <f>HYPERLINK("https://klasma.github.io/Logging_252518/kartor/A 26760-2025 karta.png", "A 26760-2025")</f>
        <v/>
      </c>
      <c r="V86">
        <f>HYPERLINK("https://klasma.github.io/Logging_252518/klagomål/A 26760-2025 FSC-klagomål.docx", "A 26760-2025")</f>
        <v/>
      </c>
      <c r="W86">
        <f>HYPERLINK("https://klasma.github.io/Logging_252518/klagomålsmail/A 26760-2025 FSC-klagomål mail.docx", "A 26760-2025")</f>
        <v/>
      </c>
      <c r="X86">
        <f>HYPERLINK("https://klasma.github.io/Logging_252518/tillsyn/A 26760-2025 tillsynsbegäran.docx", "A 26760-2025")</f>
        <v/>
      </c>
      <c r="Y86">
        <f>HYPERLINK("https://klasma.github.io/Logging_252518/tillsynsmail/A 26760-2025 tillsynsbegäran mail.docx", "A 26760-2025")</f>
        <v/>
      </c>
    </row>
    <row r="87" ht="15" customHeight="1">
      <c r="A87" t="inlineStr">
        <is>
          <t>A 30784-2025</t>
        </is>
      </c>
      <c r="B87" s="1" t="n">
        <v>45831</v>
      </c>
      <c r="C87" s="1" t="n">
        <v>45838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HYPERLINK("https://klasma.github.io/Logging_252518/artfynd/A 30784-2025 artfynd.xlsx", "A 30784-2025")</f>
        <v/>
      </c>
      <c r="T87">
        <f>HYPERLINK("https://klasma.github.io/Logging_252518/kartor/A 30784-2025 karta.png", "A 30784-2025")</f>
        <v/>
      </c>
      <c r="V87">
        <f>HYPERLINK("https://klasma.github.io/Logging_252518/klagomål/A 30784-2025 FSC-klagomål.docx", "A 30784-2025")</f>
        <v/>
      </c>
      <c r="W87">
        <f>HYPERLINK("https://klasma.github.io/Logging_252518/klagomålsmail/A 30784-2025 FSC-klagomål mail.docx", "A 30784-2025")</f>
        <v/>
      </c>
      <c r="X87">
        <f>HYPERLINK("https://klasma.github.io/Logging_252518/tillsyn/A 30784-2025 tillsynsbegäran.docx", "A 30784-2025")</f>
        <v/>
      </c>
      <c r="Y87">
        <f>HYPERLINK("https://klasma.github.io/Logging_252518/tillsynsmail/A 30784-2025 tillsynsbegäran mail.docx", "A 30784-2025")</f>
        <v/>
      </c>
    </row>
    <row r="88" ht="15" customHeight="1">
      <c r="A88" t="inlineStr">
        <is>
          <t>A 17983-2019</t>
        </is>
      </c>
      <c r="B88" s="1" t="n">
        <v>43557</v>
      </c>
      <c r="C88" s="1" t="n">
        <v>45838</v>
      </c>
      <c r="D88" t="inlineStr">
        <is>
          <t>NORRBOTTENS LÄN</t>
        </is>
      </c>
      <c r="E88" t="inlineStr">
        <is>
          <t>ÖVERTORNEÅ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18038-2019</t>
        </is>
      </c>
      <c r="B89" s="1" t="n">
        <v>43557</v>
      </c>
      <c r="C89" s="1" t="n">
        <v>45838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22294-2019</t>
        </is>
      </c>
      <c r="B90" s="1" t="n">
        <v>43585</v>
      </c>
      <c r="C90" s="1" t="n">
        <v>45838</v>
      </c>
      <c r="D90" t="inlineStr">
        <is>
          <t>NORRBOTTENS LÄN</t>
        </is>
      </c>
      <c r="E90" t="inlineStr">
        <is>
          <t>ÖVERTORNEÅ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22900-2019</t>
        </is>
      </c>
      <c r="B91" s="1" t="n">
        <v>43587</v>
      </c>
      <c r="C91" s="1" t="n">
        <v>45838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23449-2019</t>
        </is>
      </c>
      <c r="B92" s="1" t="n">
        <v>43593</v>
      </c>
      <c r="C92" s="1" t="n">
        <v>45838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24474-2019</t>
        </is>
      </c>
      <c r="B93" s="1" t="n">
        <v>43600</v>
      </c>
      <c r="C93" s="1" t="n">
        <v>45838</v>
      </c>
      <c r="D93" t="inlineStr">
        <is>
          <t>NORRBOTTENS LÄN</t>
        </is>
      </c>
      <c r="E93" t="inlineStr">
        <is>
          <t>ÖVERTORNEÅ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26101-2019</t>
        </is>
      </c>
      <c r="B94" s="1" t="n">
        <v>43605</v>
      </c>
      <c r="C94" s="1" t="n">
        <v>45838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25660-2019</t>
        </is>
      </c>
      <c r="B95" s="1" t="n">
        <v>43607</v>
      </c>
      <c r="C95" s="1" t="n">
        <v>45838</v>
      </c>
      <c r="D95" t="inlineStr">
        <is>
          <t>NORRBOTTENS LÄN</t>
        </is>
      </c>
      <c r="E95" t="inlineStr">
        <is>
          <t>ÖVERTORNEÅ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26865-2019</t>
        </is>
      </c>
      <c r="B96" s="1" t="n">
        <v>43608</v>
      </c>
      <c r="C96" s="1" t="n">
        <v>45838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26256-2019</t>
        </is>
      </c>
      <c r="B97" s="1" t="n">
        <v>43610</v>
      </c>
      <c r="C97" s="1" t="n">
        <v>45838</v>
      </c>
      <c r="D97" t="inlineStr">
        <is>
          <t>NORRBOTTENS LÄN</t>
        </is>
      </c>
      <c r="E97" t="inlineStr">
        <is>
          <t>ÖVERTORNEÅ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28674-2019</t>
        </is>
      </c>
      <c r="B98" s="1" t="n">
        <v>43614</v>
      </c>
      <c r="C98" s="1" t="n">
        <v>45838</v>
      </c>
      <c r="D98" t="inlineStr">
        <is>
          <t>NORRBOTTENS LÄN</t>
        </is>
      </c>
      <c r="E98" t="inlineStr">
        <is>
          <t>ÖVERTORNEÅ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29384-2019</t>
        </is>
      </c>
      <c r="B99" s="1" t="n">
        <v>43629</v>
      </c>
      <c r="C99" s="1" t="n">
        <v>45838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30106-2019</t>
        </is>
      </c>
      <c r="B100" s="1" t="n">
        <v>43634</v>
      </c>
      <c r="C100" s="1" t="n">
        <v>45838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32897-2019</t>
        </is>
      </c>
      <c r="B101" s="1" t="n">
        <v>43643</v>
      </c>
      <c r="C101" s="1" t="n">
        <v>45838</v>
      </c>
      <c r="D101" t="inlineStr">
        <is>
          <t>NORRBOTTENS LÄN</t>
        </is>
      </c>
      <c r="E101" t="inlineStr">
        <is>
          <t>ÖVERTORNEÅ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32894-2019</t>
        </is>
      </c>
      <c r="B102" s="1" t="n">
        <v>43643</v>
      </c>
      <c r="C102" s="1" t="n">
        <v>45838</v>
      </c>
      <c r="D102" t="inlineStr">
        <is>
          <t>NORRBOTTENS LÄN</t>
        </is>
      </c>
      <c r="E102" t="inlineStr">
        <is>
          <t>ÖVERTORNEÅ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34174-2019</t>
        </is>
      </c>
      <c r="B103" s="1" t="n">
        <v>43655</v>
      </c>
      <c r="C103" s="1" t="n">
        <v>45838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37160-2019</t>
        </is>
      </c>
      <c r="B104" s="1" t="n">
        <v>43658</v>
      </c>
      <c r="C104" s="1" t="n">
        <v>45838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37151-2019</t>
        </is>
      </c>
      <c r="B105" s="1" t="n">
        <v>43658</v>
      </c>
      <c r="C105" s="1" t="n">
        <v>45838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36114-2019</t>
        </is>
      </c>
      <c r="B106" s="1" t="n">
        <v>43658</v>
      </c>
      <c r="C106" s="1" t="n">
        <v>45838</v>
      </c>
      <c r="D106" t="inlineStr">
        <is>
          <t>NORRBOTTENS LÄN</t>
        </is>
      </c>
      <c r="E106" t="inlineStr">
        <is>
          <t>ÖVERTORNEÅ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37159-2019</t>
        </is>
      </c>
      <c r="B107" s="1" t="n">
        <v>43658</v>
      </c>
      <c r="C107" s="1" t="n">
        <v>45838</v>
      </c>
      <c r="D107" t="inlineStr">
        <is>
          <t>NORRBOTTENS LÄN</t>
        </is>
      </c>
      <c r="E107" t="inlineStr">
        <is>
          <t>ÖVERTORNEÅ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37148-2019</t>
        </is>
      </c>
      <c r="B108" s="1" t="n">
        <v>43658</v>
      </c>
      <c r="C108" s="1" t="n">
        <v>45838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37146-2019</t>
        </is>
      </c>
      <c r="B109" s="1" t="n">
        <v>43658</v>
      </c>
      <c r="C109" s="1" t="n">
        <v>45838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37155-2019</t>
        </is>
      </c>
      <c r="B110" s="1" t="n">
        <v>43658</v>
      </c>
      <c r="C110" s="1" t="n">
        <v>45838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37152-2019</t>
        </is>
      </c>
      <c r="B111" s="1" t="n">
        <v>43658</v>
      </c>
      <c r="C111" s="1" t="n">
        <v>45838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37219-2019</t>
        </is>
      </c>
      <c r="B112" s="1" t="n">
        <v>43677</v>
      </c>
      <c r="C112" s="1" t="n">
        <v>45838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39601-2019</t>
        </is>
      </c>
      <c r="B113" s="1" t="n">
        <v>43686</v>
      </c>
      <c r="C113" s="1" t="n">
        <v>45838</v>
      </c>
      <c r="D113" t="inlineStr">
        <is>
          <t>NORRBOTTENS LÄN</t>
        </is>
      </c>
      <c r="E113" t="inlineStr">
        <is>
          <t>ÖVERTORNEÅ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43089-2019</t>
        </is>
      </c>
      <c r="B114" s="1" t="n">
        <v>43686</v>
      </c>
      <c r="C114" s="1" t="n">
        <v>45838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39580-2019</t>
        </is>
      </c>
      <c r="B115" s="1" t="n">
        <v>43686</v>
      </c>
      <c r="C115" s="1" t="n">
        <v>45838</v>
      </c>
      <c r="D115" t="inlineStr">
        <is>
          <t>NORRBOTTENS LÄN</t>
        </is>
      </c>
      <c r="E115" t="inlineStr">
        <is>
          <t>ÖVERTORNEÅ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41003-2019</t>
        </is>
      </c>
      <c r="B116" s="1" t="n">
        <v>43697</v>
      </c>
      <c r="C116" s="1" t="n">
        <v>45838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41004-2019</t>
        </is>
      </c>
      <c r="B117" s="1" t="n">
        <v>43697</v>
      </c>
      <c r="C117" s="1" t="n">
        <v>45838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41974-2019</t>
        </is>
      </c>
      <c r="B118" s="1" t="n">
        <v>43700</v>
      </c>
      <c r="C118" s="1" t="n">
        <v>45838</v>
      </c>
      <c r="D118" t="inlineStr">
        <is>
          <t>NORRBOTTENS LÄN</t>
        </is>
      </c>
      <c r="E118" t="inlineStr">
        <is>
          <t>ÖVERTORNEÅ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41976-2019</t>
        </is>
      </c>
      <c r="B119" s="1" t="n">
        <v>43700</v>
      </c>
      <c r="C119" s="1" t="n">
        <v>45838</v>
      </c>
      <c r="D119" t="inlineStr">
        <is>
          <t>NORRBOTTENS LÄN</t>
        </is>
      </c>
      <c r="E119" t="inlineStr">
        <is>
          <t>ÖVERTORNEÅ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43812-2019</t>
        </is>
      </c>
      <c r="B120" s="1" t="n">
        <v>43707</v>
      </c>
      <c r="C120" s="1" t="n">
        <v>45838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48490-2019</t>
        </is>
      </c>
      <c r="B121" s="1" t="n">
        <v>43727</v>
      </c>
      <c r="C121" s="1" t="n">
        <v>45838</v>
      </c>
      <c r="D121" t="inlineStr">
        <is>
          <t>NORRBOTTENS LÄN</t>
        </is>
      </c>
      <c r="E121" t="inlineStr">
        <is>
          <t>ÖVERTORNEÅ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49279-2019</t>
        </is>
      </c>
      <c r="B122" s="1" t="n">
        <v>43728</v>
      </c>
      <c r="C122" s="1" t="n">
        <v>45838</v>
      </c>
      <c r="D122" t="inlineStr">
        <is>
          <t>NORRBOTTENS LÄN</t>
        </is>
      </c>
      <c r="E122" t="inlineStr">
        <is>
          <t>ÖVERTORNEÅ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49648-2019</t>
        </is>
      </c>
      <c r="B123" s="1" t="n">
        <v>43732</v>
      </c>
      <c r="C123" s="1" t="n">
        <v>45838</v>
      </c>
      <c r="D123" t="inlineStr">
        <is>
          <t>NORRBOTTENS LÄN</t>
        </is>
      </c>
      <c r="E123" t="inlineStr">
        <is>
          <t>ÖVERTORNEÅ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52989-2019</t>
        </is>
      </c>
      <c r="B124" s="1" t="n">
        <v>43740</v>
      </c>
      <c r="C124" s="1" t="n">
        <v>45838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2259-2020</t>
        </is>
      </c>
      <c r="B125" s="1" t="n">
        <v>43740</v>
      </c>
      <c r="C125" s="1" t="n">
        <v>45838</v>
      </c>
      <c r="D125" t="inlineStr">
        <is>
          <t>NORRBOTTENS LÄN</t>
        </is>
      </c>
      <c r="E125" t="inlineStr">
        <is>
          <t>ÖVERTORNEÅ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53054-2019</t>
        </is>
      </c>
      <c r="B126" s="1" t="n">
        <v>43740</v>
      </c>
      <c r="C126" s="1" t="n">
        <v>45838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53084-2019</t>
        </is>
      </c>
      <c r="B127" s="1" t="n">
        <v>43740</v>
      </c>
      <c r="C127" s="1" t="n">
        <v>45838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2269-2020</t>
        </is>
      </c>
      <c r="B128" s="1" t="n">
        <v>43740</v>
      </c>
      <c r="C128" s="1" t="n">
        <v>45838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51642-2019</t>
        </is>
      </c>
      <c r="B129" s="1" t="n">
        <v>43740</v>
      </c>
      <c r="C129" s="1" t="n">
        <v>45838</v>
      </c>
      <c r="D129" t="inlineStr">
        <is>
          <t>NORRBOTTENS LÄN</t>
        </is>
      </c>
      <c r="E129" t="inlineStr">
        <is>
          <t>ÖVERTORNEÅ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54210-2019</t>
        </is>
      </c>
      <c r="B130" s="1" t="n">
        <v>43745</v>
      </c>
      <c r="C130" s="1" t="n">
        <v>45838</v>
      </c>
      <c r="D130" t="inlineStr">
        <is>
          <t>NORRBOTTENS LÄN</t>
        </is>
      </c>
      <c r="E130" t="inlineStr">
        <is>
          <t>ÖVERTORNEÅ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53321-2019</t>
        </is>
      </c>
      <c r="B131" s="1" t="n">
        <v>43748</v>
      </c>
      <c r="C131" s="1" t="n">
        <v>45838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54078-2019</t>
        </is>
      </c>
      <c r="B132" s="1" t="n">
        <v>43752</v>
      </c>
      <c r="C132" s="1" t="n">
        <v>45838</v>
      </c>
      <c r="D132" t="inlineStr">
        <is>
          <t>NORRBOTTENS LÄN</t>
        </is>
      </c>
      <c r="E132" t="inlineStr">
        <is>
          <t>ÖVERTORNEÅ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55073-2019</t>
        </is>
      </c>
      <c r="B133" s="1" t="n">
        <v>43752</v>
      </c>
      <c r="C133" s="1" t="n">
        <v>45838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56365-2019</t>
        </is>
      </c>
      <c r="B134" s="1" t="n">
        <v>43762</v>
      </c>
      <c r="C134" s="1" t="n">
        <v>45838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60129-2019</t>
        </is>
      </c>
      <c r="B135" s="1" t="n">
        <v>43778</v>
      </c>
      <c r="C135" s="1" t="n">
        <v>45838</v>
      </c>
      <c r="D135" t="inlineStr">
        <is>
          <t>NORRBOTTENS LÄN</t>
        </is>
      </c>
      <c r="E135" t="inlineStr">
        <is>
          <t>ÖVERTORNEÅ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60891-2019</t>
        </is>
      </c>
      <c r="B136" s="1" t="n">
        <v>43781</v>
      </c>
      <c r="C136" s="1" t="n">
        <v>45838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62214-2019</t>
        </is>
      </c>
      <c r="B137" s="1" t="n">
        <v>43782</v>
      </c>
      <c r="C137" s="1" t="n">
        <v>45838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62183-2019</t>
        </is>
      </c>
      <c r="B138" s="1" t="n">
        <v>43787</v>
      </c>
      <c r="C138" s="1" t="n">
        <v>45838</v>
      </c>
      <c r="D138" t="inlineStr">
        <is>
          <t>NORRBOTTENS LÄN</t>
        </is>
      </c>
      <c r="E138" t="inlineStr">
        <is>
          <t>ÖVERTORNEÅ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62951-2019</t>
        </is>
      </c>
      <c r="B139" s="1" t="n">
        <v>43789</v>
      </c>
      <c r="C139" s="1" t="n">
        <v>45838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62960-2019</t>
        </is>
      </c>
      <c r="B140" s="1" t="n">
        <v>43790</v>
      </c>
      <c r="C140" s="1" t="n">
        <v>45838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64003-2019</t>
        </is>
      </c>
      <c r="B141" s="1" t="n">
        <v>43791</v>
      </c>
      <c r="C141" s="1" t="n">
        <v>45838</v>
      </c>
      <c r="D141" t="inlineStr">
        <is>
          <t>NORRBOTTENS LÄN</t>
        </is>
      </c>
      <c r="E141" t="inlineStr">
        <is>
          <t>ÖVERTORNEÅ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64010-2019</t>
        </is>
      </c>
      <c r="B142" s="1" t="n">
        <v>43791</v>
      </c>
      <c r="C142" s="1" t="n">
        <v>45838</v>
      </c>
      <c r="D142" t="inlineStr">
        <is>
          <t>NORRBOTTENS LÄN</t>
        </is>
      </c>
      <c r="E142" t="inlineStr">
        <is>
          <t>ÖVERTORNEÅ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64321-2019</t>
        </is>
      </c>
      <c r="B143" s="1" t="n">
        <v>43797</v>
      </c>
      <c r="C143" s="1" t="n">
        <v>45838</v>
      </c>
      <c r="D143" t="inlineStr">
        <is>
          <t>NORRBOTTENS LÄN</t>
        </is>
      </c>
      <c r="E143" t="inlineStr">
        <is>
          <t>ÖVERTORNEÅ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65062-2019</t>
        </is>
      </c>
      <c r="B144" s="1" t="n">
        <v>43801</v>
      </c>
      <c r="C144" s="1" t="n">
        <v>45838</v>
      </c>
      <c r="D144" t="inlineStr">
        <is>
          <t>NORRBOTTENS LÄN</t>
        </is>
      </c>
      <c r="E144" t="inlineStr">
        <is>
          <t>ÖVERTORNEÅ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65510-2019</t>
        </is>
      </c>
      <c r="B145" s="1" t="n">
        <v>43803</v>
      </c>
      <c r="C145" s="1" t="n">
        <v>45838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65500-2019</t>
        </is>
      </c>
      <c r="B146" s="1" t="n">
        <v>43803</v>
      </c>
      <c r="C146" s="1" t="n">
        <v>45838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65457-2019</t>
        </is>
      </c>
      <c r="B147" s="1" t="n">
        <v>43803</v>
      </c>
      <c r="C147" s="1" t="n">
        <v>45838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65498-2019</t>
        </is>
      </c>
      <c r="B148" s="1" t="n">
        <v>43803</v>
      </c>
      <c r="C148" s="1" t="n">
        <v>45838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66111-2019</t>
        </is>
      </c>
      <c r="B149" s="1" t="n">
        <v>43808</v>
      </c>
      <c r="C149" s="1" t="n">
        <v>45838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66542-2019</t>
        </is>
      </c>
      <c r="B150" s="1" t="n">
        <v>43809</v>
      </c>
      <c r="C150" s="1" t="n">
        <v>45838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66536-2019</t>
        </is>
      </c>
      <c r="B151" s="1" t="n">
        <v>43809</v>
      </c>
      <c r="C151" s="1" t="n">
        <v>45838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67864-2019</t>
        </is>
      </c>
      <c r="B152" s="1" t="n">
        <v>43810</v>
      </c>
      <c r="C152" s="1" t="n">
        <v>45838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67862-2019</t>
        </is>
      </c>
      <c r="B153" s="1" t="n">
        <v>43810</v>
      </c>
      <c r="C153" s="1" t="n">
        <v>45838</v>
      </c>
      <c r="D153" t="inlineStr">
        <is>
          <t>NORRBOTTENS LÄN</t>
        </is>
      </c>
      <c r="E153" t="inlineStr">
        <is>
          <t>ÖVERTORNEÅ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67858-2019</t>
        </is>
      </c>
      <c r="B154" s="1" t="n">
        <v>43810</v>
      </c>
      <c r="C154" s="1" t="n">
        <v>45838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68835-2019</t>
        </is>
      </c>
      <c r="B155" s="1" t="n">
        <v>43819</v>
      </c>
      <c r="C155" s="1" t="n">
        <v>45838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69085-2019</t>
        </is>
      </c>
      <c r="B156" s="1" t="n">
        <v>43829</v>
      </c>
      <c r="C156" s="1" t="n">
        <v>45838</v>
      </c>
      <c r="D156" t="inlineStr">
        <is>
          <t>NORRBOTTENS LÄN</t>
        </is>
      </c>
      <c r="E156" t="inlineStr">
        <is>
          <t>ÖVERTORNEÅ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4882-2020</t>
        </is>
      </c>
      <c r="B157" s="1" t="n">
        <v>43852</v>
      </c>
      <c r="C157" s="1" t="n">
        <v>45838</v>
      </c>
      <c r="D157" t="inlineStr">
        <is>
          <t>NORRBOTTENS LÄN</t>
        </is>
      </c>
      <c r="E157" t="inlineStr">
        <is>
          <t>ÖVERTORNEÅ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5276-2020</t>
        </is>
      </c>
      <c r="B158" s="1" t="n">
        <v>43857</v>
      </c>
      <c r="C158" s="1" t="n">
        <v>45838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5469-2020</t>
        </is>
      </c>
      <c r="B159" s="1" t="n">
        <v>43858</v>
      </c>
      <c r="C159" s="1" t="n">
        <v>45838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4725-2020</t>
        </is>
      </c>
      <c r="B160" s="1" t="n">
        <v>43858</v>
      </c>
      <c r="C160" s="1" t="n">
        <v>45838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5463-2020</t>
        </is>
      </c>
      <c r="B161" s="1" t="n">
        <v>43858</v>
      </c>
      <c r="C161" s="1" t="n">
        <v>45838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5784-2020</t>
        </is>
      </c>
      <c r="B162" s="1" t="n">
        <v>43864</v>
      </c>
      <c r="C162" s="1" t="n">
        <v>45838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5782-2020</t>
        </is>
      </c>
      <c r="B163" s="1" t="n">
        <v>43864</v>
      </c>
      <c r="C163" s="1" t="n">
        <v>45838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6132-2020</t>
        </is>
      </c>
      <c r="B164" s="1" t="n">
        <v>43864</v>
      </c>
      <c r="C164" s="1" t="n">
        <v>45838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6131-2020</t>
        </is>
      </c>
      <c r="B165" s="1" t="n">
        <v>43864</v>
      </c>
      <c r="C165" s="1" t="n">
        <v>45838</v>
      </c>
      <c r="D165" t="inlineStr">
        <is>
          <t>NORRBOTTENS LÄN</t>
        </is>
      </c>
      <c r="E165" t="inlineStr">
        <is>
          <t>ÖVERTORNEÅ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8041-2020</t>
        </is>
      </c>
      <c r="B166" s="1" t="n">
        <v>43873</v>
      </c>
      <c r="C166" s="1" t="n">
        <v>45838</v>
      </c>
      <c r="D166" t="inlineStr">
        <is>
          <t>NORRBOTTENS LÄN</t>
        </is>
      </c>
      <c r="E166" t="inlineStr">
        <is>
          <t>ÖVERTORNEÅ</t>
        </is>
      </c>
      <c r="G166" t="n">
        <v>27.6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13065-2020</t>
        </is>
      </c>
      <c r="B167" s="1" t="n">
        <v>43900</v>
      </c>
      <c r="C167" s="1" t="n">
        <v>45838</v>
      </c>
      <c r="D167" t="inlineStr">
        <is>
          <t>NORRBOTTENS LÄN</t>
        </is>
      </c>
      <c r="E167" t="inlineStr">
        <is>
          <t>ÖVERTORNEÅ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13059-2020</t>
        </is>
      </c>
      <c r="B168" s="1" t="n">
        <v>43900</v>
      </c>
      <c r="C168" s="1" t="n">
        <v>45838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19058-2020</t>
        </is>
      </c>
      <c r="B169" s="1" t="n">
        <v>43936</v>
      </c>
      <c r="C169" s="1" t="n">
        <v>45838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19978-2020</t>
        </is>
      </c>
      <c r="B170" s="1" t="n">
        <v>43943</v>
      </c>
      <c r="C170" s="1" t="n">
        <v>45838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19981-2020</t>
        </is>
      </c>
      <c r="B171" s="1" t="n">
        <v>43943</v>
      </c>
      <c r="C171" s="1" t="n">
        <v>45838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20418-2020</t>
        </is>
      </c>
      <c r="B172" s="1" t="n">
        <v>43945</v>
      </c>
      <c r="C172" s="1" t="n">
        <v>45838</v>
      </c>
      <c r="D172" t="inlineStr">
        <is>
          <t>NORRBOTTENS LÄN</t>
        </is>
      </c>
      <c r="E172" t="inlineStr">
        <is>
          <t>ÖVERTORNEÅ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26315-2020</t>
        </is>
      </c>
      <c r="B173" s="1" t="n">
        <v>43986</v>
      </c>
      <c r="C173" s="1" t="n">
        <v>45838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26312-2020</t>
        </is>
      </c>
      <c r="B174" s="1" t="n">
        <v>43986</v>
      </c>
      <c r="C174" s="1" t="n">
        <v>45838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45838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45838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45838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45838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45838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45838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45838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45838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45838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45838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45838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45838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45838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45838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45838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45838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45838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45838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45838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45838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45838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2544-2021</t>
        </is>
      </c>
      <c r="B196" s="1" t="n">
        <v>44214</v>
      </c>
      <c r="C196" s="1" t="n">
        <v>45838</v>
      </c>
      <c r="D196" t="inlineStr">
        <is>
          <t>NORRBOTTENS LÄN</t>
        </is>
      </c>
      <c r="E196" t="inlineStr">
        <is>
          <t>ÖVERTORNEÅ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2743-2021</t>
        </is>
      </c>
      <c r="B197" s="1" t="n">
        <v>44214</v>
      </c>
      <c r="C197" s="1" t="n">
        <v>45838</v>
      </c>
      <c r="D197" t="inlineStr">
        <is>
          <t>NORRBOTTENS LÄN</t>
        </is>
      </c>
      <c r="E197" t="inlineStr">
        <is>
          <t>ÖVERTORNEÅ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3775-2021</t>
        </is>
      </c>
      <c r="B198" s="1" t="n">
        <v>44217</v>
      </c>
      <c r="C198" s="1" t="n">
        <v>45838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4792-2021</t>
        </is>
      </c>
      <c r="B199" s="1" t="n">
        <v>44225</v>
      </c>
      <c r="C199" s="1" t="n">
        <v>45838</v>
      </c>
      <c r="D199" t="inlineStr">
        <is>
          <t>NORRBOTTENS LÄN</t>
        </is>
      </c>
      <c r="E199" t="inlineStr">
        <is>
          <t>ÖVERTORNEÅ</t>
        </is>
      </c>
      <c r="G199" t="n">
        <v>48.7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7472-2021</t>
        </is>
      </c>
      <c r="B200" s="1" t="n">
        <v>44238</v>
      </c>
      <c r="C200" s="1" t="n">
        <v>45838</v>
      </c>
      <c r="D200" t="inlineStr">
        <is>
          <t>NORRBOTTENS LÄN</t>
        </is>
      </c>
      <c r="E200" t="inlineStr">
        <is>
          <t>ÖVERTORNEÅ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7470-2021</t>
        </is>
      </c>
      <c r="B201" s="1" t="n">
        <v>44238</v>
      </c>
      <c r="C201" s="1" t="n">
        <v>45838</v>
      </c>
      <c r="D201" t="inlineStr">
        <is>
          <t>NORRBOTTENS LÄN</t>
        </is>
      </c>
      <c r="E201" t="inlineStr">
        <is>
          <t>ÖVERTORNEÅ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7469-2021</t>
        </is>
      </c>
      <c r="B202" s="1" t="n">
        <v>44238</v>
      </c>
      <c r="C202" s="1" t="n">
        <v>45838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8495-2021</t>
        </is>
      </c>
      <c r="B203" s="1" t="n">
        <v>44244</v>
      </c>
      <c r="C203" s="1" t="n">
        <v>45838</v>
      </c>
      <c r="D203" t="inlineStr">
        <is>
          <t>NORRBOTTENS LÄN</t>
        </is>
      </c>
      <c r="E203" t="inlineStr">
        <is>
          <t>ÖVERTORNEÅ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8511-2021</t>
        </is>
      </c>
      <c r="B204" s="1" t="n">
        <v>44244</v>
      </c>
      <c r="C204" s="1" t="n">
        <v>45838</v>
      </c>
      <c r="D204" t="inlineStr">
        <is>
          <t>NORRBOTTENS LÄN</t>
        </is>
      </c>
      <c r="E204" t="inlineStr">
        <is>
          <t>ÖVERTORNEÅ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8898-2021</t>
        </is>
      </c>
      <c r="B205" s="1" t="n">
        <v>44245</v>
      </c>
      <c r="C205" s="1" t="n">
        <v>45838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9838-2021</t>
        </is>
      </c>
      <c r="B206" s="1" t="n">
        <v>44252</v>
      </c>
      <c r="C206" s="1" t="n">
        <v>45838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9842-2021</t>
        </is>
      </c>
      <c r="B207" s="1" t="n">
        <v>44252</v>
      </c>
      <c r="C207" s="1" t="n">
        <v>45838</v>
      </c>
      <c r="D207" t="inlineStr">
        <is>
          <t>NORRBOTTENS LÄN</t>
        </is>
      </c>
      <c r="E207" t="inlineStr">
        <is>
          <t>ÖVERTORNEÅ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10188-2021</t>
        </is>
      </c>
      <c r="B208" s="1" t="n">
        <v>44256</v>
      </c>
      <c r="C208" s="1" t="n">
        <v>45838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10619-2021</t>
        </is>
      </c>
      <c r="B209" s="1" t="n">
        <v>44258</v>
      </c>
      <c r="C209" s="1" t="n">
        <v>45838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13576-2021</t>
        </is>
      </c>
      <c r="B210" s="1" t="n">
        <v>44273</v>
      </c>
      <c r="C210" s="1" t="n">
        <v>45838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13866-2021</t>
        </is>
      </c>
      <c r="B211" s="1" t="n">
        <v>44277</v>
      </c>
      <c r="C211" s="1" t="n">
        <v>45838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13864-2021</t>
        </is>
      </c>
      <c r="B212" s="1" t="n">
        <v>44277</v>
      </c>
      <c r="C212" s="1" t="n">
        <v>45838</v>
      </c>
      <c r="D212" t="inlineStr">
        <is>
          <t>NORRBOTTENS LÄN</t>
        </is>
      </c>
      <c r="E212" t="inlineStr">
        <is>
          <t>ÖVERTORNEÅ</t>
        </is>
      </c>
      <c r="G212" t="n">
        <v>48.3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13861-2021</t>
        </is>
      </c>
      <c r="B213" s="1" t="n">
        <v>44277</v>
      </c>
      <c r="C213" s="1" t="n">
        <v>45838</v>
      </c>
      <c r="D213" t="inlineStr">
        <is>
          <t>NORRBOTTENS LÄN</t>
        </is>
      </c>
      <c r="E213" t="inlineStr">
        <is>
          <t>ÖVERTORNEÅ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13870-2021</t>
        </is>
      </c>
      <c r="B214" s="1" t="n">
        <v>44277</v>
      </c>
      <c r="C214" s="1" t="n">
        <v>45838</v>
      </c>
      <c r="D214" t="inlineStr">
        <is>
          <t>NORRBOTTENS LÄN</t>
        </is>
      </c>
      <c r="E214" t="inlineStr">
        <is>
          <t>ÖVERTORNEÅ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13859-2021</t>
        </is>
      </c>
      <c r="B215" s="1" t="n">
        <v>44277</v>
      </c>
      <c r="C215" s="1" t="n">
        <v>45838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13877-2021</t>
        </is>
      </c>
      <c r="B216" s="1" t="n">
        <v>44277</v>
      </c>
      <c r="C216" s="1" t="n">
        <v>45838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15238-2021</t>
        </is>
      </c>
      <c r="B217" s="1" t="n">
        <v>44284</v>
      </c>
      <c r="C217" s="1" t="n">
        <v>45838</v>
      </c>
      <c r="D217" t="inlineStr">
        <is>
          <t>NORRBOTTENS LÄN</t>
        </is>
      </c>
      <c r="E217" t="inlineStr">
        <is>
          <t>ÖVERTORNEÅ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15240-2021</t>
        </is>
      </c>
      <c r="B218" s="1" t="n">
        <v>44284</v>
      </c>
      <c r="C218" s="1" t="n">
        <v>45838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15239-2021</t>
        </is>
      </c>
      <c r="B219" s="1" t="n">
        <v>44284</v>
      </c>
      <c r="C219" s="1" t="n">
        <v>45838</v>
      </c>
      <c r="D219" t="inlineStr">
        <is>
          <t>NORRBOTTENS LÄN</t>
        </is>
      </c>
      <c r="E219" t="inlineStr">
        <is>
          <t>ÖVERTORNEÅ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15246-2021</t>
        </is>
      </c>
      <c r="B220" s="1" t="n">
        <v>44284</v>
      </c>
      <c r="C220" s="1" t="n">
        <v>45838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16111-2021</t>
        </is>
      </c>
      <c r="B221" s="1" t="n">
        <v>44291</v>
      </c>
      <c r="C221" s="1" t="n">
        <v>45838</v>
      </c>
      <c r="D221" t="inlineStr">
        <is>
          <t>NORRBOTTENS LÄN</t>
        </is>
      </c>
      <c r="E221" t="inlineStr">
        <is>
          <t>ÖVERTORNEÅ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45838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18449-2021</t>
        </is>
      </c>
      <c r="B223" s="1" t="n">
        <v>44305</v>
      </c>
      <c r="C223" s="1" t="n">
        <v>45838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18575-2021</t>
        </is>
      </c>
      <c r="B224" s="1" t="n">
        <v>44305</v>
      </c>
      <c r="C224" s="1" t="n">
        <v>45838</v>
      </c>
      <c r="D224" t="inlineStr">
        <is>
          <t>NORRBOTTENS LÄN</t>
        </is>
      </c>
      <c r="E224" t="inlineStr">
        <is>
          <t>ÖVERTORNEÅ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18566-2021</t>
        </is>
      </c>
      <c r="B225" s="1" t="n">
        <v>44305</v>
      </c>
      <c r="C225" s="1" t="n">
        <v>45838</v>
      </c>
      <c r="D225" t="inlineStr">
        <is>
          <t>NORRBOTTENS LÄN</t>
        </is>
      </c>
      <c r="E225" t="inlineStr">
        <is>
          <t>ÖVERTORNEÅ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18578-2021</t>
        </is>
      </c>
      <c r="B226" s="1" t="n">
        <v>44305</v>
      </c>
      <c r="C226" s="1" t="n">
        <v>45838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19401-2021</t>
        </is>
      </c>
      <c r="B227" s="1" t="n">
        <v>44310</v>
      </c>
      <c r="C227" s="1" t="n">
        <v>45838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19845-2021</t>
        </is>
      </c>
      <c r="B228" s="1" t="n">
        <v>44312</v>
      </c>
      <c r="C228" s="1" t="n">
        <v>45838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22726-2021</t>
        </is>
      </c>
      <c r="B229" s="1" t="n">
        <v>44327</v>
      </c>
      <c r="C229" s="1" t="n">
        <v>45838</v>
      </c>
      <c r="D229" t="inlineStr">
        <is>
          <t>NORRBOTTENS LÄN</t>
        </is>
      </c>
      <c r="E229" t="inlineStr">
        <is>
          <t>ÖVERTORNEÅ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24416-2021</t>
        </is>
      </c>
      <c r="B230" s="1" t="n">
        <v>44337</v>
      </c>
      <c r="C230" s="1" t="n">
        <v>45838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45838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29945-2021</t>
        </is>
      </c>
      <c r="B232" s="1" t="n">
        <v>44363</v>
      </c>
      <c r="C232" s="1" t="n">
        <v>45838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30688-2021</t>
        </is>
      </c>
      <c r="B233" s="1" t="n">
        <v>44365</v>
      </c>
      <c r="C233" s="1" t="n">
        <v>45838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45838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31007-2021</t>
        </is>
      </c>
      <c r="B235" s="1" t="n">
        <v>44366</v>
      </c>
      <c r="C235" s="1" t="n">
        <v>45838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31444-2021</t>
        </is>
      </c>
      <c r="B236" s="1" t="n">
        <v>44369</v>
      </c>
      <c r="C236" s="1" t="n">
        <v>45838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32902-2021</t>
        </is>
      </c>
      <c r="B237" s="1" t="n">
        <v>44376</v>
      </c>
      <c r="C237" s="1" t="n">
        <v>45838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36202-2021</t>
        </is>
      </c>
      <c r="B238" s="1" t="n">
        <v>44389</v>
      </c>
      <c r="C238" s="1" t="n">
        <v>45838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37607-2021</t>
        </is>
      </c>
      <c r="B239" s="1" t="n">
        <v>44399</v>
      </c>
      <c r="C239" s="1" t="n">
        <v>45838</v>
      </c>
      <c r="D239" t="inlineStr">
        <is>
          <t>NORRBOTTENS LÄN</t>
        </is>
      </c>
      <c r="E239" t="inlineStr">
        <is>
          <t>ÖVERTORNEÅ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37846-2021</t>
        </is>
      </c>
      <c r="B240" s="1" t="n">
        <v>44403</v>
      </c>
      <c r="C240" s="1" t="n">
        <v>45838</v>
      </c>
      <c r="D240" t="inlineStr">
        <is>
          <t>NORRBOTTENS LÄN</t>
        </is>
      </c>
      <c r="E240" t="inlineStr">
        <is>
          <t>ÖVERTORNEÅ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38002-2021</t>
        </is>
      </c>
      <c r="B241" s="1" t="n">
        <v>44404</v>
      </c>
      <c r="C241" s="1" t="n">
        <v>45838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38152-2021</t>
        </is>
      </c>
      <c r="B242" s="1" t="n">
        <v>44405</v>
      </c>
      <c r="C242" s="1" t="n">
        <v>45838</v>
      </c>
      <c r="D242" t="inlineStr">
        <is>
          <t>NORRBOTTENS LÄN</t>
        </is>
      </c>
      <c r="E242" t="inlineStr">
        <is>
          <t>ÖVERTORNEÅ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38156-2021</t>
        </is>
      </c>
      <c r="B243" s="1" t="n">
        <v>44405</v>
      </c>
      <c r="C243" s="1" t="n">
        <v>45838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38696-2021</t>
        </is>
      </c>
      <c r="B244" s="1" t="n">
        <v>44406</v>
      </c>
      <c r="C244" s="1" t="n">
        <v>45838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38500-2021</t>
        </is>
      </c>
      <c r="B245" s="1" t="n">
        <v>44406</v>
      </c>
      <c r="C245" s="1" t="n">
        <v>45838</v>
      </c>
      <c r="D245" t="inlineStr">
        <is>
          <t>NORRBOTTENS LÄN</t>
        </is>
      </c>
      <c r="E245" t="inlineStr">
        <is>
          <t>ÖVERTORNEÅ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39893-2021</t>
        </is>
      </c>
      <c r="B246" s="1" t="n">
        <v>44417</v>
      </c>
      <c r="C246" s="1" t="n">
        <v>45838</v>
      </c>
      <c r="D246" t="inlineStr">
        <is>
          <t>NORRBOTTENS LÄN</t>
        </is>
      </c>
      <c r="E246" t="inlineStr">
        <is>
          <t>ÖVERTORNEÅ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41137-2021</t>
        </is>
      </c>
      <c r="B247" s="1" t="n">
        <v>44423</v>
      </c>
      <c r="C247" s="1" t="n">
        <v>45838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41197-2021</t>
        </is>
      </c>
      <c r="B248" s="1" t="n">
        <v>44424</v>
      </c>
      <c r="C248" s="1" t="n">
        <v>45838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42172-2021</t>
        </is>
      </c>
      <c r="B249" s="1" t="n">
        <v>44426</v>
      </c>
      <c r="C249" s="1" t="n">
        <v>45838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43407-2021</t>
        </is>
      </c>
      <c r="B250" s="1" t="n">
        <v>44432</v>
      </c>
      <c r="C250" s="1" t="n">
        <v>45838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44433</v>
      </c>
      <c r="C251" s="1" t="n">
        <v>45838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44278-2021</t>
        </is>
      </c>
      <c r="B252" s="1" t="n">
        <v>44433</v>
      </c>
      <c r="C252" s="1" t="n">
        <v>45838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45566-2021</t>
        </is>
      </c>
      <c r="B253" s="1" t="n">
        <v>44440</v>
      </c>
      <c r="C253" s="1" t="n">
        <v>45838</v>
      </c>
      <c r="D253" t="inlineStr">
        <is>
          <t>NORRBOTTENS LÄN</t>
        </is>
      </c>
      <c r="E253" t="inlineStr">
        <is>
          <t>ÖVERTORNEÅ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46022-2021</t>
        </is>
      </c>
      <c r="B254" s="1" t="n">
        <v>44442</v>
      </c>
      <c r="C254" s="1" t="n">
        <v>45838</v>
      </c>
      <c r="D254" t="inlineStr">
        <is>
          <t>NORRBOTTENS LÄN</t>
        </is>
      </c>
      <c r="E254" t="inlineStr">
        <is>
          <t>ÖVERTORNEÅ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46031-2021</t>
        </is>
      </c>
      <c r="B255" s="1" t="n">
        <v>44441</v>
      </c>
      <c r="C255" s="1" t="n">
        <v>45838</v>
      </c>
      <c r="D255" t="inlineStr">
        <is>
          <t>NORRBOTTENS LÄN</t>
        </is>
      </c>
      <c r="E255" t="inlineStr">
        <is>
          <t>ÖVERTORNEÅ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46026-2021</t>
        </is>
      </c>
      <c r="B256" s="1" t="n">
        <v>44442</v>
      </c>
      <c r="C256" s="1" t="n">
        <v>45838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46035-2021</t>
        </is>
      </c>
      <c r="B257" s="1" t="n">
        <v>44441</v>
      </c>
      <c r="C257" s="1" t="n">
        <v>45838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46024-2021</t>
        </is>
      </c>
      <c r="B258" s="1" t="n">
        <v>44441</v>
      </c>
      <c r="C258" s="1" t="n">
        <v>45838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46032-2021</t>
        </is>
      </c>
      <c r="B259" s="1" t="n">
        <v>44441</v>
      </c>
      <c r="C259" s="1" t="n">
        <v>45838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46027-2021</t>
        </is>
      </c>
      <c r="B260" s="1" t="n">
        <v>44442</v>
      </c>
      <c r="C260" s="1" t="n">
        <v>45838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45838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46973-2021</t>
        </is>
      </c>
      <c r="B262" s="1" t="n">
        <v>44446</v>
      </c>
      <c r="C262" s="1" t="n">
        <v>45838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48792-2021</t>
        </is>
      </c>
      <c r="B263" s="1" t="n">
        <v>44452</v>
      </c>
      <c r="C263" s="1" t="n">
        <v>45838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45838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48780-2021</t>
        </is>
      </c>
      <c r="B265" s="1" t="n">
        <v>44452</v>
      </c>
      <c r="C265" s="1" t="n">
        <v>45838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48746-2021</t>
        </is>
      </c>
      <c r="B266" s="1" t="n">
        <v>44452</v>
      </c>
      <c r="C266" s="1" t="n">
        <v>45838</v>
      </c>
      <c r="D266" t="inlineStr">
        <is>
          <t>NORRBOTTENS LÄN</t>
        </is>
      </c>
      <c r="E266" t="inlineStr">
        <is>
          <t>ÖVERTORNEÅ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52288-2021</t>
        </is>
      </c>
      <c r="B267" s="1" t="n">
        <v>44463</v>
      </c>
      <c r="C267" s="1" t="n">
        <v>45838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57636-2021</t>
        </is>
      </c>
      <c r="B268" s="1" t="n">
        <v>44484</v>
      </c>
      <c r="C268" s="1" t="n">
        <v>45838</v>
      </c>
      <c r="D268" t="inlineStr">
        <is>
          <t>NORRBOTTENS LÄN</t>
        </is>
      </c>
      <c r="E268" t="inlineStr">
        <is>
          <t>ÖVERTORNEÅ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57849-2021</t>
        </is>
      </c>
      <c r="B269" s="1" t="n">
        <v>44484</v>
      </c>
      <c r="C269" s="1" t="n">
        <v>45838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58185-2021</t>
        </is>
      </c>
      <c r="B270" s="1" t="n">
        <v>44487</v>
      </c>
      <c r="C270" s="1" t="n">
        <v>45838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58304-2021</t>
        </is>
      </c>
      <c r="B271" s="1" t="n">
        <v>44488</v>
      </c>
      <c r="C271" s="1" t="n">
        <v>45838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58691-2021</t>
        </is>
      </c>
      <c r="B272" s="1" t="n">
        <v>44489</v>
      </c>
      <c r="C272" s="1" t="n">
        <v>45838</v>
      </c>
      <c r="D272" t="inlineStr">
        <is>
          <t>NORRBOTTENS LÄN</t>
        </is>
      </c>
      <c r="E272" t="inlineStr">
        <is>
          <t>ÖVERTORNEÅ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60133-2021</t>
        </is>
      </c>
      <c r="B273" s="1" t="n">
        <v>44494</v>
      </c>
      <c r="C273" s="1" t="n">
        <v>45838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60948-2021</t>
        </is>
      </c>
      <c r="B274" s="1" t="n">
        <v>44497</v>
      </c>
      <c r="C274" s="1" t="n">
        <v>45838</v>
      </c>
      <c r="D274" t="inlineStr">
        <is>
          <t>NORRBOTTENS LÄN</t>
        </is>
      </c>
      <c r="E274" t="inlineStr">
        <is>
          <t>ÖVERTORNEÅ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45838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62856-2021</t>
        </is>
      </c>
      <c r="B276" s="1" t="n">
        <v>44504</v>
      </c>
      <c r="C276" s="1" t="n">
        <v>45838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63347-2021</t>
        </is>
      </c>
      <c r="B277" s="1" t="n">
        <v>44508</v>
      </c>
      <c r="C277" s="1" t="n">
        <v>45838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63351-2021</t>
        </is>
      </c>
      <c r="B278" s="1" t="n">
        <v>44508</v>
      </c>
      <c r="C278" s="1" t="n">
        <v>45838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63735-2021</t>
        </is>
      </c>
      <c r="B279" s="1" t="n">
        <v>44508</v>
      </c>
      <c r="C279" s="1" t="n">
        <v>45838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63738-2021</t>
        </is>
      </c>
      <c r="B280" s="1" t="n">
        <v>44508</v>
      </c>
      <c r="C280" s="1" t="n">
        <v>45838</v>
      </c>
      <c r="D280" t="inlineStr">
        <is>
          <t>NORRBOTTENS LÄN</t>
        </is>
      </c>
      <c r="E280" t="inlineStr">
        <is>
          <t>ÖVERTORNEÅ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65110-2021</t>
        </is>
      </c>
      <c r="B281" s="1" t="n">
        <v>44515</v>
      </c>
      <c r="C281" s="1" t="n">
        <v>45838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66737-2021</t>
        </is>
      </c>
      <c r="B282" s="1" t="n">
        <v>44520</v>
      </c>
      <c r="C282" s="1" t="n">
        <v>45838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66775-2021</t>
        </is>
      </c>
      <c r="B283" s="1" t="n">
        <v>44522</v>
      </c>
      <c r="C283" s="1" t="n">
        <v>45838</v>
      </c>
      <c r="D283" t="inlineStr">
        <is>
          <t>NORRBOTTENS LÄN</t>
        </is>
      </c>
      <c r="E283" t="inlineStr">
        <is>
          <t>ÖVERTORNEÅ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68764-2021</t>
        </is>
      </c>
      <c r="B284" s="1" t="n">
        <v>44529</v>
      </c>
      <c r="C284" s="1" t="n">
        <v>45838</v>
      </c>
      <c r="D284" t="inlineStr">
        <is>
          <t>NORRBOTTENS LÄN</t>
        </is>
      </c>
      <c r="E284" t="inlineStr">
        <is>
          <t>ÖVERTORNEÅ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69402-2021</t>
        </is>
      </c>
      <c r="B285" s="1" t="n">
        <v>44531</v>
      </c>
      <c r="C285" s="1" t="n">
        <v>45838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69898-2021</t>
        </is>
      </c>
      <c r="B286" s="1" t="n">
        <v>44532</v>
      </c>
      <c r="C286" s="1" t="n">
        <v>45838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70415-2021</t>
        </is>
      </c>
      <c r="B287" s="1" t="n">
        <v>44536</v>
      </c>
      <c r="C287" s="1" t="n">
        <v>45838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70413-2021</t>
        </is>
      </c>
      <c r="B288" s="1" t="n">
        <v>44536</v>
      </c>
      <c r="C288" s="1" t="n">
        <v>45838</v>
      </c>
      <c r="D288" t="inlineStr">
        <is>
          <t>NORRBOTTENS LÄN</t>
        </is>
      </c>
      <c r="E288" t="inlineStr">
        <is>
          <t>ÖVERTORNEÅ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70617-2021</t>
        </is>
      </c>
      <c r="B289" s="1" t="n">
        <v>44537</v>
      </c>
      <c r="C289" s="1" t="n">
        <v>45838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Kyrkan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71381-2021</t>
        </is>
      </c>
      <c r="B290" s="1" t="n">
        <v>44538</v>
      </c>
      <c r="C290" s="1" t="n">
        <v>45838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72442-2021</t>
        </is>
      </c>
      <c r="B291" s="1" t="n">
        <v>44544</v>
      </c>
      <c r="C291" s="1" t="n">
        <v>45838</v>
      </c>
      <c r="D291" t="inlineStr">
        <is>
          <t>NORRBOTTENS LÄN</t>
        </is>
      </c>
      <c r="E291" t="inlineStr">
        <is>
          <t>ÖVERTORNEÅ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72299-2021</t>
        </is>
      </c>
      <c r="B292" s="1" t="n">
        <v>44545</v>
      </c>
      <c r="C292" s="1" t="n">
        <v>45838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73605-2021</t>
        </is>
      </c>
      <c r="B293" s="1" t="n">
        <v>44551</v>
      </c>
      <c r="C293" s="1" t="n">
        <v>45838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73603-2021</t>
        </is>
      </c>
      <c r="B294" s="1" t="n">
        <v>44551</v>
      </c>
      <c r="C294" s="1" t="n">
        <v>45838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74231-2021</t>
        </is>
      </c>
      <c r="B295" s="1" t="n">
        <v>44553</v>
      </c>
      <c r="C295" s="1" t="n">
        <v>45838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74228-2021</t>
        </is>
      </c>
      <c r="B296" s="1" t="n">
        <v>44553</v>
      </c>
      <c r="C296" s="1" t="n">
        <v>45838</v>
      </c>
      <c r="D296" t="inlineStr">
        <is>
          <t>NORRBOTTENS LÄN</t>
        </is>
      </c>
      <c r="E296" t="inlineStr">
        <is>
          <t>ÖVERTORNEÅ</t>
        </is>
      </c>
      <c r="G296" t="n">
        <v>27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74232-2021</t>
        </is>
      </c>
      <c r="B297" s="1" t="n">
        <v>44553</v>
      </c>
      <c r="C297" s="1" t="n">
        <v>45838</v>
      </c>
      <c r="D297" t="inlineStr">
        <is>
          <t>NORRBOTTENS LÄN</t>
        </is>
      </c>
      <c r="E297" t="inlineStr">
        <is>
          <t>ÖVERTORNEÅ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74235-2021</t>
        </is>
      </c>
      <c r="B298" s="1" t="n">
        <v>44553</v>
      </c>
      <c r="C298" s="1" t="n">
        <v>45838</v>
      </c>
      <c r="D298" t="inlineStr">
        <is>
          <t>NORRBOTTENS LÄN</t>
        </is>
      </c>
      <c r="E298" t="inlineStr">
        <is>
          <t>ÖVERTORNEÅ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74057-2021</t>
        </is>
      </c>
      <c r="B299" s="1" t="n">
        <v>44557</v>
      </c>
      <c r="C299" s="1" t="n">
        <v>45838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74158-2021</t>
        </is>
      </c>
      <c r="B300" s="1" t="n">
        <v>44557</v>
      </c>
      <c r="C300" s="1" t="n">
        <v>45838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74163-2021</t>
        </is>
      </c>
      <c r="B301" s="1" t="n">
        <v>44557</v>
      </c>
      <c r="C301" s="1" t="n">
        <v>45838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313-2022</t>
        </is>
      </c>
      <c r="B302" s="1" t="n">
        <v>44564</v>
      </c>
      <c r="C302" s="1" t="n">
        <v>45838</v>
      </c>
      <c r="D302" t="inlineStr">
        <is>
          <t>NORRBOTTENS LÄN</t>
        </is>
      </c>
      <c r="E302" t="inlineStr">
        <is>
          <t>ÖVERTORNEÅ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1091-2022</t>
        </is>
      </c>
      <c r="B303" s="1" t="n">
        <v>44571</v>
      </c>
      <c r="C303" s="1" t="n">
        <v>45838</v>
      </c>
      <c r="D303" t="inlineStr">
        <is>
          <t>NORRBOTTENS LÄN</t>
        </is>
      </c>
      <c r="E303" t="inlineStr">
        <is>
          <t>ÖVERTORNEÅ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1092-2022</t>
        </is>
      </c>
      <c r="B304" s="1" t="n">
        <v>44571</v>
      </c>
      <c r="C304" s="1" t="n">
        <v>45838</v>
      </c>
      <c r="D304" t="inlineStr">
        <is>
          <t>NORRBOTTENS LÄN</t>
        </is>
      </c>
      <c r="E304" t="inlineStr">
        <is>
          <t>ÖVERTORNEÅ</t>
        </is>
      </c>
      <c r="G304" t="n">
        <v>23.5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1206-2022</t>
        </is>
      </c>
      <c r="B305" s="1" t="n">
        <v>44572</v>
      </c>
      <c r="C305" s="1" t="n">
        <v>45838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3010-2022</t>
        </is>
      </c>
      <c r="B306" s="1" t="n">
        <v>44581</v>
      </c>
      <c r="C306" s="1" t="n">
        <v>45838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3416-2022</t>
        </is>
      </c>
      <c r="B307" s="1" t="n">
        <v>44585</v>
      </c>
      <c r="C307" s="1" t="n">
        <v>45838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3431-2022</t>
        </is>
      </c>
      <c r="B308" s="1" t="n">
        <v>44585</v>
      </c>
      <c r="C308" s="1" t="n">
        <v>45838</v>
      </c>
      <c r="D308" t="inlineStr">
        <is>
          <t>NORRBOTTENS LÄN</t>
        </is>
      </c>
      <c r="E308" t="inlineStr">
        <is>
          <t>ÖVERTORNEÅ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3389-2022</t>
        </is>
      </c>
      <c r="B309" s="1" t="n">
        <v>44585</v>
      </c>
      <c r="C309" s="1" t="n">
        <v>45838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4012-2022</t>
        </is>
      </c>
      <c r="B310" s="1" t="n">
        <v>44587</v>
      </c>
      <c r="C310" s="1" t="n">
        <v>45838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4011-2022</t>
        </is>
      </c>
      <c r="B311" s="1" t="n">
        <v>44587</v>
      </c>
      <c r="C311" s="1" t="n">
        <v>45838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</v>
      </c>
      <c r="C312" s="1" t="n">
        <v>45838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4515-2022</t>
        </is>
      </c>
      <c r="B313" s="1" t="n">
        <v>44589</v>
      </c>
      <c r="C313" s="1" t="n">
        <v>45838</v>
      </c>
      <c r="D313" t="inlineStr">
        <is>
          <t>NORRBOTTENS LÄN</t>
        </is>
      </c>
      <c r="E313" t="inlineStr">
        <is>
          <t>ÖVERTORNEÅ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4514-2022</t>
        </is>
      </c>
      <c r="B314" s="1" t="n">
        <v>44589</v>
      </c>
      <c r="C314" s="1" t="n">
        <v>45838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4513-2022</t>
        </is>
      </c>
      <c r="B315" s="1" t="n">
        <v>44589</v>
      </c>
      <c r="C315" s="1" t="n">
        <v>45838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6593-2022</t>
        </is>
      </c>
      <c r="B316" s="1" t="n">
        <v>44601</v>
      </c>
      <c r="C316" s="1" t="n">
        <v>45838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11831-2022</t>
        </is>
      </c>
      <c r="B317" s="1" t="n">
        <v>44634</v>
      </c>
      <c r="C317" s="1" t="n">
        <v>45838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11830-2022</t>
        </is>
      </c>
      <c r="B318" s="1" t="n">
        <v>44634</v>
      </c>
      <c r="C318" s="1" t="n">
        <v>45838</v>
      </c>
      <c r="D318" t="inlineStr">
        <is>
          <t>NORRBOTTENS LÄN</t>
        </is>
      </c>
      <c r="E318" t="inlineStr">
        <is>
          <t>ÖVERTORNEÅ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12005-2022</t>
        </is>
      </c>
      <c r="B319" s="1" t="n">
        <v>44635</v>
      </c>
      <c r="C319" s="1" t="n">
        <v>45838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15500-2022</t>
        </is>
      </c>
      <c r="B320" s="1" t="n">
        <v>44662</v>
      </c>
      <c r="C320" s="1" t="n">
        <v>45838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16471-2022</t>
        </is>
      </c>
      <c r="B321" s="1" t="n">
        <v>44671</v>
      </c>
      <c r="C321" s="1" t="n">
        <v>45838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16566-2022</t>
        </is>
      </c>
      <c r="B322" s="1" t="n">
        <v>44672</v>
      </c>
      <c r="C322" s="1" t="n">
        <v>45838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16561-2022</t>
        </is>
      </c>
      <c r="B323" s="1" t="n">
        <v>44672</v>
      </c>
      <c r="C323" s="1" t="n">
        <v>45838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17928-2022</t>
        </is>
      </c>
      <c r="B324" s="1" t="n">
        <v>44683</v>
      </c>
      <c r="C324" s="1" t="n">
        <v>45838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18698-2022</t>
        </is>
      </c>
      <c r="B325" s="1" t="n">
        <v>44687</v>
      </c>
      <c r="C325" s="1" t="n">
        <v>45838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18879-2022</t>
        </is>
      </c>
      <c r="B326" s="1" t="n">
        <v>44690</v>
      </c>
      <c r="C326" s="1" t="n">
        <v>45838</v>
      </c>
      <c r="D326" t="inlineStr">
        <is>
          <t>NORRBOTTENS LÄN</t>
        </is>
      </c>
      <c r="E326" t="inlineStr">
        <is>
          <t>ÖVERTORNEÅ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19247-2022</t>
        </is>
      </c>
      <c r="B327" s="1" t="n">
        <v>44692</v>
      </c>
      <c r="C327" s="1" t="n">
        <v>45838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19257-2022</t>
        </is>
      </c>
      <c r="B328" s="1" t="n">
        <v>44692</v>
      </c>
      <c r="C328" s="1" t="n">
        <v>45838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19358-2022</t>
        </is>
      </c>
      <c r="B329" s="1" t="n">
        <v>44692</v>
      </c>
      <c r="C329" s="1" t="n">
        <v>45838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21262-2022</t>
        </is>
      </c>
      <c r="B330" s="1" t="n">
        <v>44705</v>
      </c>
      <c r="C330" s="1" t="n">
        <v>45838</v>
      </c>
      <c r="D330" t="inlineStr">
        <is>
          <t>NORRBOTTENS LÄN</t>
        </is>
      </c>
      <c r="E330" t="inlineStr">
        <is>
          <t>ÖVERTORNEÅ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22942-2022</t>
        </is>
      </c>
      <c r="B331" s="1" t="n">
        <v>44715</v>
      </c>
      <c r="C331" s="1" t="n">
        <v>45838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24765-2022</t>
        </is>
      </c>
      <c r="B332" s="1" t="n">
        <v>44728</v>
      </c>
      <c r="C332" s="1" t="n">
        <v>45838</v>
      </c>
      <c r="D332" t="inlineStr">
        <is>
          <t>NORRBOTTENS LÄN</t>
        </is>
      </c>
      <c r="E332" t="inlineStr">
        <is>
          <t>ÖVERTORNEÅ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24929-2022</t>
        </is>
      </c>
      <c r="B333" s="1" t="n">
        <v>44728</v>
      </c>
      <c r="C333" s="1" t="n">
        <v>45838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24924-2022</t>
        </is>
      </c>
      <c r="B334" s="1" t="n">
        <v>44728</v>
      </c>
      <c r="C334" s="1" t="n">
        <v>45838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45838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25695-2022</t>
        </is>
      </c>
      <c r="B336" s="1" t="n">
        <v>44733</v>
      </c>
      <c r="C336" s="1" t="n">
        <v>45838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27300-2022</t>
        </is>
      </c>
      <c r="B337" s="1" t="n">
        <v>44742</v>
      </c>
      <c r="C337" s="1" t="n">
        <v>45838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28651-2022</t>
        </is>
      </c>
      <c r="B338" s="1" t="n">
        <v>44748</v>
      </c>
      <c r="C338" s="1" t="n">
        <v>45838</v>
      </c>
      <c r="D338" t="inlineStr">
        <is>
          <t>NORRBOTTENS LÄN</t>
        </is>
      </c>
      <c r="E338" t="inlineStr">
        <is>
          <t>ÖVERTORNEÅ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28658-2022</t>
        </is>
      </c>
      <c r="B339" s="1" t="n">
        <v>44748</v>
      </c>
      <c r="C339" s="1" t="n">
        <v>45838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28812-2022</t>
        </is>
      </c>
      <c r="B340" s="1" t="n">
        <v>44749</v>
      </c>
      <c r="C340" s="1" t="n">
        <v>45838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30114-2022</t>
        </is>
      </c>
      <c r="B341" s="1" t="n">
        <v>44757</v>
      </c>
      <c r="C341" s="1" t="n">
        <v>45838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31145-2022</t>
        </is>
      </c>
      <c r="B342" s="1" t="n">
        <v>44770</v>
      </c>
      <c r="C342" s="1" t="n">
        <v>45838</v>
      </c>
      <c r="D342" t="inlineStr">
        <is>
          <t>NORRBOTTENS LÄN</t>
        </is>
      </c>
      <c r="E342" t="inlineStr">
        <is>
          <t>ÖVERTORNEÅ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31774-2022</t>
        </is>
      </c>
      <c r="B343" s="1" t="n">
        <v>44776</v>
      </c>
      <c r="C343" s="1" t="n">
        <v>45838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32314-2022</t>
        </is>
      </c>
      <c r="B344" s="1" t="n">
        <v>44781</v>
      </c>
      <c r="C344" s="1" t="n">
        <v>45838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33094-2022</t>
        </is>
      </c>
      <c r="B345" s="1" t="n">
        <v>44785</v>
      </c>
      <c r="C345" s="1" t="n">
        <v>45838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33084-2022</t>
        </is>
      </c>
      <c r="B346" s="1" t="n">
        <v>44785</v>
      </c>
      <c r="C346" s="1" t="n">
        <v>45838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33092-2022</t>
        </is>
      </c>
      <c r="B347" s="1" t="n">
        <v>44785</v>
      </c>
      <c r="C347" s="1" t="n">
        <v>45838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33097-2022</t>
        </is>
      </c>
      <c r="B348" s="1" t="n">
        <v>44785</v>
      </c>
      <c r="C348" s="1" t="n">
        <v>45838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33415-2022</t>
        </is>
      </c>
      <c r="B349" s="1" t="n">
        <v>44788</v>
      </c>
      <c r="C349" s="1" t="n">
        <v>45838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33523-2022</t>
        </is>
      </c>
      <c r="B350" s="1" t="n">
        <v>44789</v>
      </c>
      <c r="C350" s="1" t="n">
        <v>45838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34875-2022</t>
        </is>
      </c>
      <c r="B351" s="1" t="n">
        <v>44796</v>
      </c>
      <c r="C351" s="1" t="n">
        <v>45838</v>
      </c>
      <c r="D351" t="inlineStr">
        <is>
          <t>NORRBOTTENS LÄN</t>
        </is>
      </c>
      <c r="E351" t="inlineStr">
        <is>
          <t>ÖVERTORNEÅ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35218-2022</t>
        </is>
      </c>
      <c r="B352" s="1" t="n">
        <v>44798</v>
      </c>
      <c r="C352" s="1" t="n">
        <v>45838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44798</v>
      </c>
      <c r="C353" s="1" t="n">
        <v>45838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35546-2022</t>
        </is>
      </c>
      <c r="B354" s="1" t="n">
        <v>44799</v>
      </c>
      <c r="C354" s="1" t="n">
        <v>45838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37706-2022</t>
        </is>
      </c>
      <c r="B355" s="1" t="n">
        <v>44810</v>
      </c>
      <c r="C355" s="1" t="n">
        <v>45838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37710-2022</t>
        </is>
      </c>
      <c r="B356" s="1" t="n">
        <v>44810</v>
      </c>
      <c r="C356" s="1" t="n">
        <v>45838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37837-2022</t>
        </is>
      </c>
      <c r="B357" s="1" t="n">
        <v>44810</v>
      </c>
      <c r="C357" s="1" t="n">
        <v>45838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38980-2022</t>
        </is>
      </c>
      <c r="B358" s="1" t="n">
        <v>44816</v>
      </c>
      <c r="C358" s="1" t="n">
        <v>45838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39969-2022</t>
        </is>
      </c>
      <c r="B359" s="1" t="n">
        <v>44820</v>
      </c>
      <c r="C359" s="1" t="n">
        <v>45838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42254-2022</t>
        </is>
      </c>
      <c r="B360" s="1" t="n">
        <v>44831</v>
      </c>
      <c r="C360" s="1" t="n">
        <v>45838</v>
      </c>
      <c r="D360" t="inlineStr">
        <is>
          <t>NORRBOTTENS LÄN</t>
        </is>
      </c>
      <c r="E360" t="inlineStr">
        <is>
          <t>ÖVERTORNEÅ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42604-2022</t>
        </is>
      </c>
      <c r="B361" s="1" t="n">
        <v>44831</v>
      </c>
      <c r="C361" s="1" t="n">
        <v>45838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42602-2022</t>
        </is>
      </c>
      <c r="B362" s="1" t="n">
        <v>44831</v>
      </c>
      <c r="C362" s="1" t="n">
        <v>45838</v>
      </c>
      <c r="D362" t="inlineStr">
        <is>
          <t>NORRBOTTENS LÄN</t>
        </is>
      </c>
      <c r="E362" t="inlineStr">
        <is>
          <t>ÖVERTORNEÅ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42607-2022</t>
        </is>
      </c>
      <c r="B363" s="1" t="n">
        <v>44831</v>
      </c>
      <c r="C363" s="1" t="n">
        <v>45838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42608-2022</t>
        </is>
      </c>
      <c r="B364" s="1" t="n">
        <v>44831</v>
      </c>
      <c r="C364" s="1" t="n">
        <v>45838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43003-2022</t>
        </is>
      </c>
      <c r="B365" s="1" t="n">
        <v>44833</v>
      </c>
      <c r="C365" s="1" t="n">
        <v>45838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43055-2022</t>
        </is>
      </c>
      <c r="B366" s="1" t="n">
        <v>44833</v>
      </c>
      <c r="C366" s="1" t="n">
        <v>45838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45838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45838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45838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45838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45838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45838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45838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45838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45838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45838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45838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45838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45838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45838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45838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45838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45838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45838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45838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45838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45838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45838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45838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45838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45838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45838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45838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45838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45838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45838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45838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45838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45838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45838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45838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45838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45838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45838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45838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45838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45838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45838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45838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45838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45838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45838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45838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45838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45838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45838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45838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45838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45838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45838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45838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45838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45838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45838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45838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45838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45838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45838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45838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45838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45838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45838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45838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45838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45838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45838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45838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45838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45838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45838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45838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45838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45838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45838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45838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45838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45838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45838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45838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45838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45838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45838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45838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45838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45838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45838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45838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45838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45838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45838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45838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45838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45838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45838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45838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45838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45838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45838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45838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45838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45838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45838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45838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45838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45838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45838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45838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45838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45838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45838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45838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45838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45838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45838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45838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45838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45838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45838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45838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45838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45838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45838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45838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45838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45838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45838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45838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45838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45838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45838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45838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45838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45838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45838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45838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45838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45838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45838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45838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45838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45838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45838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45838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45838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45838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45838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45838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45838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45838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45838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45838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45838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45838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45838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45838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45838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45838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45838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45838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45838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45838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45838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45838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45838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45838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45838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45838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45838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45838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45838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45838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45838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45838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45838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45838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45838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45838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45838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45838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45838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45838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45838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45838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45838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45838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45838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45838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45838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45838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45838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45838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45838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45838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45838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45838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45838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45838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45838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45838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45838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45838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45838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45838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45838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45838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45838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45838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45838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45838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45838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45838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45838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45838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45838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45838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45838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45838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45838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45838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45838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45838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45838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45838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45838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45838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45838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45838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45838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45838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45838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45838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45838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45838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45838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45838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45838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45838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45838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45838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45838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45838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45838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45838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45838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45838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45838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45838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45838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45838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45838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45838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45838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45838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45838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45838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45838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45838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45838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45838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45838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45838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45838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45838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45838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45838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45838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45838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45838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45838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45838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45838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45838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45838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45838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45838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45838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45838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45838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45838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45838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45838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45838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45838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45838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45838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45838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45838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45838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45838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45838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45838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45838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45838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45838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45838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45838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45838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45838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45838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45838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45838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45838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45838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45838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45838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45838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45838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45838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45838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45838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45838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45838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45838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45838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45838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45838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45838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45838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45838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45838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45838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45838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45838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45838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45838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45838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45838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45838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45838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45838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45838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45838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45838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45838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45838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45838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45838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45838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45838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45838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45838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45838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45838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45838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45838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45838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45838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45838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45838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45838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45838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45838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45838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45838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45838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45838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45838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45838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45838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45838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45838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45838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45838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45838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45838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45838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45838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45838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45838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45838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45838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45838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45838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45838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45838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45838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45838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45838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45838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45838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45838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45838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45838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45838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45838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45838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45838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45838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45838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45838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45838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45838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45838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45838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45838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45838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45838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32156-2025</t>
        </is>
      </c>
      <c r="B768" s="1" t="n">
        <v>45835</v>
      </c>
      <c r="C768" s="1" t="n">
        <v>45838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2025-06-30T19:26:54Z</dcterms:created>
  <dcterms:modified xmlns:dcterms="http://purl.org/dc/terms/" xmlns:xsi="http://www.w3.org/2001/XMLSchema-instance" xsi:type="dcterms:W3CDTF">2025-06-30T19:26:55Z</dcterms:modified>
</cp:coreProperties>
</file>
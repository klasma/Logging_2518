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46217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46217</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46217</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46217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46217</v>
      </c>
      <c r="F6" t="inlineStr">
        <is>
          <t>NORRBOTTENS LÄN</t>
        </is>
      </c>
      <c r="G6" t="inlineStr">
        <is>
          <t>ÖVERTORNEÅ</t>
        </is>
      </c>
      <c r="I6" t="n">
        <v>7.8</v>
      </c>
      <c r="J6" t="n">
        <v>3</v>
      </c>
      <c r="K6" t="n">
        <v>4</v>
      </c>
      <c r="L6" t="n">
        <v>5</v>
      </c>
      <c r="M6" t="n">
        <v>2</v>
      </c>
      <c r="N6" t="n">
        <v>0</v>
      </c>
      <c r="O6" t="n">
        <v>0</v>
      </c>
      <c r="P6" t="n">
        <v>0</v>
      </c>
      <c r="Q6" t="n">
        <v>7</v>
      </c>
      <c r="R6" t="n">
        <v>2</v>
      </c>
      <c r="S6" t="n">
        <v>12</v>
      </c>
      <c r="T6" t="n">
        <v>37</v>
      </c>
      <c r="U6" s="2" t="inlineStr">
        <is>
          <t>Garnlav
Knärot
Lunglav
Rosenticka
Tretåig hackspett
Ullticka
Violmussling
Stor aspticka
Stuplav
Trådticka
Vedticka
Spillkråka</t>
        </is>
      </c>
      <c r="V6">
        <f>HYPERLINK("https://klasma.github.io/Logging_2518/artfynd/A 47048-2024 artfynd.xlsx", "A 47048-2024")</f>
        <v/>
      </c>
      <c r="W6">
        <f>HYPERLINK("https://klasma.github.io/Logging_2518/kartor/A 47048-2024 karta.png", "A 47048-2024")</f>
        <v/>
      </c>
      <c r="X6">
        <f>HYPERLINK("https://klasma.github.io/Logging_2518/knärot/A 47048-2024 karta knärot.png", "A 47048-2024")</f>
        <v/>
      </c>
      <c r="Y6">
        <f>HYPERLINK("https://klasma.github.io/Logging_2518/klagomål/A 47048-2024 FSC-klagomål.docx", "A 47048-2024")</f>
        <v/>
      </c>
      <c r="Z6">
        <f>HYPERLINK("https://klasma.github.io/Logging_2518/klagomålsmail/A 47048-2024 FSC-klagomål mail.docx", "A 47048-2024")</f>
        <v/>
      </c>
      <c r="AA6">
        <f>HYPERLINK("https://klasma.github.io/Logging_2518/tillsyn/A 47048-2024 tillsynsbegäran.docx", "A 47048-2024")</f>
        <v/>
      </c>
      <c r="AB6">
        <f>HYPERLINK("https://klasma.github.io/Logging_2518/tillsynsmail/A 47048-2024 tillsynsbegäran mail.docx", "A 47048-2024")</f>
        <v/>
      </c>
      <c r="AC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46217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s="2" t="inlineStr">
        <is>
          <t>Garnlav
Gräddticka
Knärot
Gammelgransskål
Lunglav
Tretåig hackspett
Lappranunkel
Spindelblomster
Stuplav
Järpe
Spillkråka
Svartvit flugsnappare</t>
        </is>
      </c>
      <c r="V7">
        <f>HYPERLINK("https://klasma.github.io/Logging_2518/artfynd/A 21993-2025 artfynd.xlsx", "A 21993-2025")</f>
        <v/>
      </c>
      <c r="W7">
        <f>HYPERLINK("https://klasma.github.io/Logging_2518/kartor/A 21993-2025 karta.png", "A 21993-2025")</f>
        <v/>
      </c>
      <c r="X7">
        <f>HYPERLINK("https://klasma.github.io/Logging_2518/knärot/A 21993-2025 karta knärot.png", "A 21993-2025")</f>
        <v/>
      </c>
      <c r="Y7">
        <f>HYPERLINK("https://klasma.github.io/Logging_2518/klagomål/A 21993-2025 FSC-klagomål.docx", "A 21993-2025")</f>
        <v/>
      </c>
      <c r="Z7">
        <f>HYPERLINK("https://klasma.github.io/Logging_2518/klagomålsmail/A 21993-2025 FSC-klagomål mail.docx", "A 21993-2025")</f>
        <v/>
      </c>
      <c r="AA7">
        <f>HYPERLINK("https://klasma.github.io/Logging_2518/tillsyn/A 21993-2025 tillsynsbegäran.docx", "A 21993-2025")</f>
        <v/>
      </c>
      <c r="AB7">
        <f>HYPERLINK("https://klasma.github.io/Logging_2518/tillsynsmail/A 21993-2025 tillsynsbegäran mail.docx", "A 21993-2025")</f>
        <v/>
      </c>
      <c r="AC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46217</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46217</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46217</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s="2" t="inlineStr">
        <is>
          <t>Garnlav
Gräddporing
Knärot
Dropptaggsvamp
Kolflarnlav
Mörk kolflarnlav
Orange taggsvamp
Äggvaxskivling
Spillkråka</t>
        </is>
      </c>
      <c r="V10">
        <f>HYPERLINK("https://klasma.github.io/Logging_2518/artfynd/A 65184-2023 artfynd.xlsx", "A 65184-2023")</f>
        <v/>
      </c>
      <c r="W10">
        <f>HYPERLINK("https://klasma.github.io/Logging_2518/kartor/A 65184-2023 karta.png", "A 65184-2023")</f>
        <v/>
      </c>
      <c r="X10">
        <f>HYPERLINK("https://klasma.github.io/Logging_2518/knärot/A 65184-2023 karta knärot.png", "A 65184-2023")</f>
        <v/>
      </c>
      <c r="Y10">
        <f>HYPERLINK("https://klasma.github.io/Logging_2518/klagomål/A 65184-2023 FSC-klagomål.docx", "A 65184-2023")</f>
        <v/>
      </c>
      <c r="Z10">
        <f>HYPERLINK("https://klasma.github.io/Logging_2518/klagomålsmail/A 65184-2023 FSC-klagomål mail.docx", "A 65184-2023")</f>
        <v/>
      </c>
      <c r="AA10">
        <f>HYPERLINK("https://klasma.github.io/Logging_2518/tillsyn/A 65184-2023 tillsynsbegäran.docx", "A 65184-2023")</f>
        <v/>
      </c>
      <c r="AB10">
        <f>HYPERLINK("https://klasma.github.io/Logging_2518/tillsynsmail/A 65184-2023 tillsynsbegäran mail.docx", "A 65184-2023")</f>
        <v/>
      </c>
      <c r="AC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46217</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Y11">
        <f>HYPERLINK("https://klasma.github.io/Logging_2518/klagomål/A 9923-2025 FSC-klagomål.docx", "A 9923-2025")</f>
        <v/>
      </c>
      <c r="Z11">
        <f>HYPERLINK("https://klasma.github.io/Logging_2518/klagomålsmail/A 9923-2025 FSC-klagomål mail.docx", "A 9923-2025")</f>
        <v/>
      </c>
      <c r="AA11">
        <f>HYPERLINK("https://klasma.github.io/Logging_2518/tillsyn/A 9923-2025 tillsynsbegäran.docx", "A 9923-2025")</f>
        <v/>
      </c>
      <c r="AB11">
        <f>HYPERLINK("https://klasma.github.io/Logging_2518/tillsynsmail/A 9923-2025 tillsynsbegäran mail.docx", "A 9923-2025")</f>
        <v/>
      </c>
      <c r="AC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46217</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s="2" t="inlineStr">
        <is>
          <t>Garnlav
Knärot
Gammelgransskål
Ullticka
Norrlandslav
Skinnlav
Stuplav
Vedticka
Spillkråka</t>
        </is>
      </c>
      <c r="V12">
        <f>HYPERLINK("https://klasma.github.io/Logging_2518/artfynd/A 34146-2023 artfynd.xlsx", "A 34146-2023")</f>
        <v/>
      </c>
      <c r="W12">
        <f>HYPERLINK("https://klasma.github.io/Logging_2518/kartor/A 34146-2023 karta.png", "A 34146-2023")</f>
        <v/>
      </c>
      <c r="X12">
        <f>HYPERLINK("https://klasma.github.io/Logging_2518/knärot/A 34146-2023 karta knärot.png", "A 34146-2023")</f>
        <v/>
      </c>
      <c r="Y12">
        <f>HYPERLINK("https://klasma.github.io/Logging_2518/klagomål/A 34146-2023 FSC-klagomål.docx", "A 34146-2023")</f>
        <v/>
      </c>
      <c r="Z12">
        <f>HYPERLINK("https://klasma.github.io/Logging_2518/klagomålsmail/A 34146-2023 FSC-klagomål mail.docx", "A 34146-2023")</f>
        <v/>
      </c>
      <c r="AA12">
        <f>HYPERLINK("https://klasma.github.io/Logging_2518/tillsyn/A 34146-2023 tillsynsbegäran.docx", "A 34146-2023")</f>
        <v/>
      </c>
      <c r="AB12">
        <f>HYPERLINK("https://klasma.github.io/Logging_2518/tillsynsmail/A 34146-2023 tillsynsbegäran mail.docx", "A 34146-2023")</f>
        <v/>
      </c>
      <c r="AC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46217</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46217</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46217</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s="2" t="inlineStr">
        <is>
          <t>Garnlav
Gammelgransskål
Skogshare
Talltita
Järpe
Spillkråka
Utter</t>
        </is>
      </c>
      <c r="V15">
        <f>HYPERLINK("https://klasma.github.io/Logging_2518/artfynd/A 49764-2025 artfynd.xlsx", "A 49764-2025")</f>
        <v/>
      </c>
      <c r="W15">
        <f>HYPERLINK("https://klasma.github.io/Logging_2518/kartor/A 49764-2025 karta.png", "A 49764-2025")</f>
        <v/>
      </c>
      <c r="Y15">
        <f>HYPERLINK("https://klasma.github.io/Logging_2518/klagomål/A 49764-2025 FSC-klagomål.docx", "A 49764-2025")</f>
        <v/>
      </c>
      <c r="Z15">
        <f>HYPERLINK("https://klasma.github.io/Logging_2518/klagomålsmail/A 49764-2025 FSC-klagomål mail.docx", "A 49764-2025")</f>
        <v/>
      </c>
      <c r="AA15">
        <f>HYPERLINK("https://klasma.github.io/Logging_2518/tillsyn/A 49764-2025 tillsynsbegäran.docx", "A 49764-2025")</f>
        <v/>
      </c>
      <c r="AB15">
        <f>HYPERLINK("https://klasma.github.io/Logging_2518/tillsynsmail/A 49764-2025 tillsynsbegäran mail.docx", "A 49764-2025")</f>
        <v/>
      </c>
      <c r="AC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46217</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s="2" t="inlineStr">
        <is>
          <t>Garnlav
Gammelgransskål
Knottrig blåslav
Lappranunkel
Stuplav
Huggorm
Fläcknycklar</t>
        </is>
      </c>
      <c r="V16">
        <f>HYPERLINK("https://klasma.github.io/Logging_2518/artfynd/A 31074-2026 artfynd.xlsx", "A 31074-2026")</f>
        <v/>
      </c>
      <c r="W16">
        <f>HYPERLINK("https://klasma.github.io/Logging_2518/kartor/A 31074-2026 karta.png", "A 31074-2026")</f>
        <v/>
      </c>
      <c r="Y16">
        <f>HYPERLINK("https://klasma.github.io/Logging_2518/klagomål/A 31074-2026 FSC-klagomål.docx", "A 31074-2026")</f>
        <v/>
      </c>
      <c r="Z16">
        <f>HYPERLINK("https://klasma.github.io/Logging_2518/klagomålsmail/A 31074-2026 FSC-klagomål mail.docx", "A 31074-2026")</f>
        <v/>
      </c>
      <c r="AA16">
        <f>HYPERLINK("https://klasma.github.io/Logging_2518/tillsyn/A 31074-2026 tillsynsbegäran.docx", "A 31074-2026")</f>
        <v/>
      </c>
      <c r="AB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46217</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s="2" t="inlineStr">
        <is>
          <t>Vitplätt
Norrlandslav
Plattlummer
Skinnlav
Stor aspticka
Vedticka
Spillkråka</t>
        </is>
      </c>
      <c r="V17">
        <f>HYPERLINK("https://klasma.github.io/Logging_2518/artfynd/A 33324-2023 artfynd.xlsx", "A 33324-2023")</f>
        <v/>
      </c>
      <c r="W17">
        <f>HYPERLINK("https://klasma.github.io/Logging_2518/kartor/A 33324-2023 karta.png", "A 33324-2023")</f>
        <v/>
      </c>
      <c r="Y17">
        <f>HYPERLINK("https://klasma.github.io/Logging_2518/klagomål/A 33324-2023 FSC-klagomål.docx", "A 33324-2023")</f>
        <v/>
      </c>
      <c r="Z17">
        <f>HYPERLINK("https://klasma.github.io/Logging_2518/klagomålsmail/A 33324-2023 FSC-klagomål mail.docx", "A 33324-2023")</f>
        <v/>
      </c>
      <c r="AA17">
        <f>HYPERLINK("https://klasma.github.io/Logging_2518/tillsyn/A 33324-2023 tillsynsbegäran.docx", "A 33324-2023")</f>
        <v/>
      </c>
      <c r="AB17">
        <f>HYPERLINK("https://klasma.github.io/Logging_2518/tillsynsmail/A 33324-2023 tillsynsbegäran mail.docx", "A 33324-2023")</f>
        <v/>
      </c>
      <c r="AC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46217</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s="2" t="inlineStr">
        <is>
          <t>Garnlav
Doftskinn
Gammelgransskål
Ullticka
Violmussling
Stor aspticka
Stuplav</t>
        </is>
      </c>
      <c r="V18">
        <f>HYPERLINK("https://klasma.github.io/Logging_2518/artfynd/A 27058-2023 artfynd.xlsx", "A 27058-2023")</f>
        <v/>
      </c>
      <c r="W18">
        <f>HYPERLINK("https://klasma.github.io/Logging_2518/kartor/A 27058-2023 karta.png", "A 27058-2023")</f>
        <v/>
      </c>
      <c r="Y18">
        <f>HYPERLINK("https://klasma.github.io/Logging_2518/klagomål/A 27058-2023 FSC-klagomål.docx", "A 27058-2023")</f>
        <v/>
      </c>
      <c r="Z18">
        <f>HYPERLINK("https://klasma.github.io/Logging_2518/klagomålsmail/A 27058-2023 FSC-klagomål mail.docx", "A 27058-2023")</f>
        <v/>
      </c>
      <c r="AA18">
        <f>HYPERLINK("https://klasma.github.io/Logging_2518/tillsyn/A 27058-2023 tillsynsbegäran.docx", "A 27058-2023")</f>
        <v/>
      </c>
      <c r="AB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46217</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s="2" t="inlineStr">
        <is>
          <t>Garnlav
Kandelabersvamp
Barkticka
Norrlandslav
Spillkråka
Revlummer</t>
        </is>
      </c>
      <c r="V19">
        <f>HYPERLINK("https://klasma.github.io/Logging_2518/artfynd/A 54504-2022 artfynd.xlsx", "A 54504-2022")</f>
        <v/>
      </c>
      <c r="W19">
        <f>HYPERLINK("https://klasma.github.io/Logging_2518/kartor/A 54504-2022 karta.png", "A 54504-2022")</f>
        <v/>
      </c>
      <c r="Y19">
        <f>HYPERLINK("https://klasma.github.io/Logging_2518/klagomål/A 54504-2022 FSC-klagomål.docx", "A 54504-2022")</f>
        <v/>
      </c>
      <c r="Z19">
        <f>HYPERLINK("https://klasma.github.io/Logging_2518/klagomålsmail/A 54504-2022 FSC-klagomål mail.docx", "A 54504-2022")</f>
        <v/>
      </c>
      <c r="AA19">
        <f>HYPERLINK("https://klasma.github.io/Logging_2518/tillsyn/A 54504-2022 tillsynsbegäran.docx", "A 54504-2022")</f>
        <v/>
      </c>
      <c r="AB19">
        <f>HYPERLINK("https://klasma.github.io/Logging_2518/tillsynsmail/A 54504-2022 tillsynsbegäran mail.docx", "A 54504-2022")</f>
        <v/>
      </c>
      <c r="AC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46217</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s="2" t="inlineStr">
        <is>
          <t>Garnlav
Luddfingersvamp
Tretåig hackspett
Ullticka
Skinnlav
Spillkråka</t>
        </is>
      </c>
      <c r="V20">
        <f>HYPERLINK("https://klasma.github.io/Logging_2518/artfynd/A 13244-2026 artfynd.xlsx", "A 13244-2026")</f>
        <v/>
      </c>
      <c r="W20">
        <f>HYPERLINK("https://klasma.github.io/Logging_2518/kartor/A 13244-2026 karta.png", "A 13244-2026")</f>
        <v/>
      </c>
      <c r="Y20">
        <f>HYPERLINK("https://klasma.github.io/Logging_2518/klagomål/A 13244-2026 FSC-klagomål.docx", "A 13244-2026")</f>
        <v/>
      </c>
      <c r="Z20">
        <f>HYPERLINK("https://klasma.github.io/Logging_2518/klagomålsmail/A 13244-2026 FSC-klagomål mail.docx", "A 13244-2026")</f>
        <v/>
      </c>
      <c r="AA20">
        <f>HYPERLINK("https://klasma.github.io/Logging_2518/tillsyn/A 13244-2026 tillsynsbegäran.docx", "A 13244-2026")</f>
        <v/>
      </c>
      <c r="AB20">
        <f>HYPERLINK("https://klasma.github.io/Logging_2518/tillsynsmail/A 13244-2026 tillsynsbegäran mail.docx", "A 13244-2026")</f>
        <v/>
      </c>
      <c r="AC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46217</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46217</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s="2" t="inlineStr">
        <is>
          <t>Garnlav
Lunglav
Tallticka
Spillkråka</t>
        </is>
      </c>
      <c r="V22">
        <f>HYPERLINK("https://klasma.github.io/Logging_2518/artfynd/A 15202-2023 artfynd.xlsx", "A 15202-2023")</f>
        <v/>
      </c>
      <c r="W22">
        <f>HYPERLINK("https://klasma.github.io/Logging_2518/kartor/A 15202-2023 karta.png", "A 15202-2023")</f>
        <v/>
      </c>
      <c r="Y22">
        <f>HYPERLINK("https://klasma.github.io/Logging_2518/klagomål/A 15202-2023 FSC-klagomål.docx", "A 15202-2023")</f>
        <v/>
      </c>
      <c r="Z22">
        <f>HYPERLINK("https://klasma.github.io/Logging_2518/klagomålsmail/A 15202-2023 FSC-klagomål mail.docx", "A 15202-2023")</f>
        <v/>
      </c>
      <c r="AA22">
        <f>HYPERLINK("https://klasma.github.io/Logging_2518/tillsyn/A 15202-2023 tillsynsbegäran.docx", "A 15202-2023")</f>
        <v/>
      </c>
      <c r="AB22">
        <f>HYPERLINK("https://klasma.github.io/Logging_2518/tillsynsmail/A 15202-2023 tillsynsbegäran mail.docx", "A 15202-2023")</f>
        <v/>
      </c>
      <c r="AC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46217</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s="2" t="inlineStr">
        <is>
          <t>Garnlav
Koralltaggsvamp
Lunglav
Fläcknycklar</t>
        </is>
      </c>
      <c r="V23">
        <f>HYPERLINK("https://klasma.github.io/Logging_2518/artfynd/A 31280-2025 artfynd.xlsx", "A 31280-2025")</f>
        <v/>
      </c>
      <c r="W23">
        <f>HYPERLINK("https://klasma.github.io/Logging_2518/kartor/A 31280-2025 karta.png", "A 31280-2025")</f>
        <v/>
      </c>
      <c r="Y23">
        <f>HYPERLINK("https://klasma.github.io/Logging_2518/klagomål/A 31280-2025 FSC-klagomål.docx", "A 31280-2025")</f>
        <v/>
      </c>
      <c r="Z23">
        <f>HYPERLINK("https://klasma.github.io/Logging_2518/klagomålsmail/A 31280-2025 FSC-klagomål mail.docx", "A 31280-2025")</f>
        <v/>
      </c>
      <c r="AA23">
        <f>HYPERLINK("https://klasma.github.io/Logging_2518/tillsyn/A 31280-2025 tillsynsbegäran.docx", "A 31280-2025")</f>
        <v/>
      </c>
      <c r="AB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46217</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46217</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46217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46217</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s="2" t="inlineStr">
        <is>
          <t>Garnlav
Spindelblomster
Spillkråka</t>
        </is>
      </c>
      <c r="V27">
        <f>HYPERLINK("https://klasma.github.io/Logging_2518/artfynd/A 58447-2025 artfynd.xlsx", "A 58447-2025")</f>
        <v/>
      </c>
      <c r="W27">
        <f>HYPERLINK("https://klasma.github.io/Logging_2518/kartor/A 58447-2025 karta.png", "A 58447-2025")</f>
        <v/>
      </c>
      <c r="Y27">
        <f>HYPERLINK("https://klasma.github.io/Logging_2518/klagomål/A 58447-2025 FSC-klagomål.docx", "A 58447-2025")</f>
        <v/>
      </c>
      <c r="Z27">
        <f>HYPERLINK("https://klasma.github.io/Logging_2518/klagomålsmail/A 58447-2025 FSC-klagomål mail.docx", "A 58447-2025")</f>
        <v/>
      </c>
      <c r="AA27">
        <f>HYPERLINK("https://klasma.github.io/Logging_2518/tillsyn/A 58447-2025 tillsynsbegäran.docx", "A 58447-2025")</f>
        <v/>
      </c>
      <c r="AB27">
        <f>HYPERLINK("https://klasma.github.io/Logging_2518/tillsynsmail/A 58447-2025 tillsynsbegäran mail.docx", "A 58447-2025")</f>
        <v/>
      </c>
      <c r="AC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46217</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s="2" t="inlineStr">
        <is>
          <t>Lunglav
Rosenticka
Ullticka</t>
        </is>
      </c>
      <c r="V28">
        <f>HYPERLINK("https://klasma.github.io/Logging_2518/artfynd/A 30049-2026 artfynd.xlsx", "A 30049-2026")</f>
        <v/>
      </c>
      <c r="W28">
        <f>HYPERLINK("https://klasma.github.io/Logging_2518/kartor/A 30049-2026 karta.png", "A 30049-2026")</f>
        <v/>
      </c>
      <c r="Y28">
        <f>HYPERLINK("https://klasma.github.io/Logging_2518/klagomål/A 30049-2026 FSC-klagomål.docx", "A 30049-2026")</f>
        <v/>
      </c>
      <c r="Z28">
        <f>HYPERLINK("https://klasma.github.io/Logging_2518/klagomålsmail/A 30049-2026 FSC-klagomål mail.docx", "A 30049-2026")</f>
        <v/>
      </c>
      <c r="AA28">
        <f>HYPERLINK("https://klasma.github.io/Logging_2518/tillsyn/A 30049-2026 tillsynsbegäran.docx", "A 30049-2026")</f>
        <v/>
      </c>
      <c r="AB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46217</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Y29">
        <f>HYPERLINK("https://klasma.github.io/Logging_2518/klagomål/A 19133-2023 FSC-klagomål.docx", "A 19133-2023")</f>
        <v/>
      </c>
      <c r="Z29">
        <f>HYPERLINK("https://klasma.github.io/Logging_2518/klagomålsmail/A 19133-2023 FSC-klagomål mail.docx", "A 19133-2023")</f>
        <v/>
      </c>
      <c r="AA29">
        <f>HYPERLINK("https://klasma.github.io/Logging_2518/tillsyn/A 19133-2023 tillsynsbegäran.docx", "A 19133-2023")</f>
        <v/>
      </c>
      <c r="AB29">
        <f>HYPERLINK("https://klasma.github.io/Logging_2518/tillsynsmail/A 19133-2023 tillsynsbegäran mail.docx", "A 19133-2023")</f>
        <v/>
      </c>
      <c r="AC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46217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46217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46217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46217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46217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s="2" t="inlineStr">
        <is>
          <t>Stor aspticka</t>
        </is>
      </c>
      <c r="V34">
        <f>HYPERLINK("https://klasma.github.io/Logging_2518/artfynd/A 34186-2022 artfynd.xlsx", "A 34186-2022")</f>
        <v/>
      </c>
      <c r="W34">
        <f>HYPERLINK("https://klasma.github.io/Logging_2518/kartor/A 34186-2022 karta.png", "A 34186-2022")</f>
        <v/>
      </c>
      <c r="Y34">
        <f>HYPERLINK("https://klasma.github.io/Logging_2518/klagomål/A 34186-2022 FSC-klagomål.docx", "A 34186-2022")</f>
        <v/>
      </c>
      <c r="Z34">
        <f>HYPERLINK("https://klasma.github.io/Logging_2518/klagomålsmail/A 34186-2022 FSC-klagomål mail.docx", "A 34186-2022")</f>
        <v/>
      </c>
      <c r="AA34">
        <f>HYPERLINK("https://klasma.github.io/Logging_2518/tillsyn/A 34186-2022 tillsynsbegäran.docx", "A 34186-2022")</f>
        <v/>
      </c>
      <c r="AB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46217</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s="2" t="inlineStr">
        <is>
          <t>Garnlav</t>
        </is>
      </c>
      <c r="V35">
        <f>HYPERLINK("https://klasma.github.io/Logging_2518/artfynd/A 18489-2024 artfynd.xlsx", "A 18489-2024")</f>
        <v/>
      </c>
      <c r="W35">
        <f>HYPERLINK("https://klasma.github.io/Logging_2518/kartor/A 18489-2024 karta.png", "A 18489-2024")</f>
        <v/>
      </c>
      <c r="Y35">
        <f>HYPERLINK("https://klasma.github.io/Logging_2518/klagomål/A 18489-2024 FSC-klagomål.docx", "A 18489-2024")</f>
        <v/>
      </c>
      <c r="Z35">
        <f>HYPERLINK("https://klasma.github.io/Logging_2518/klagomålsmail/A 18489-2024 FSC-klagomål mail.docx", "A 18489-2024")</f>
        <v/>
      </c>
      <c r="AA35">
        <f>HYPERLINK("https://klasma.github.io/Logging_2518/tillsyn/A 18489-2024 tillsynsbegäran.docx", "A 18489-2024")</f>
        <v/>
      </c>
      <c r="AB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46217</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s="2" t="inlineStr">
        <is>
          <t>Silverblåvinge</t>
        </is>
      </c>
      <c r="V36">
        <f>HYPERLINK("https://klasma.github.io/Logging_2518/artfynd/A 4767-2026 artfynd.xlsx", "A 4767-2026")</f>
        <v/>
      </c>
      <c r="W36">
        <f>HYPERLINK("https://klasma.github.io/Logging_2518/kartor/A 4767-2026 karta.png", "A 4767-2026")</f>
        <v/>
      </c>
      <c r="Y36">
        <f>HYPERLINK("https://klasma.github.io/Logging_2518/klagomål/A 4767-2026 FSC-klagomål.docx", "A 4767-2026")</f>
        <v/>
      </c>
      <c r="Z36">
        <f>HYPERLINK("https://klasma.github.io/Logging_2518/klagomålsmail/A 4767-2026 FSC-klagomål mail.docx", "A 4767-2026")</f>
        <v/>
      </c>
      <c r="AA36">
        <f>HYPERLINK("https://klasma.github.io/Logging_2518/tillsyn/A 4767-2026 tillsynsbegäran.docx", "A 4767-2026")</f>
        <v/>
      </c>
      <c r="AB36">
        <f>HYPERLINK("https://klasma.github.io/Logging_2518/tillsynsmail/A 4767-2026 tillsynsbegäran mail.docx", "A 4767-2026")</f>
        <v/>
      </c>
    </row>
    <row r="37" ht="15" customHeight="1">
      <c r="A37" t="inlineStr">
        <is>
          <t>A 4012-2022</t>
        </is>
      </c>
      <c r="B37" t="inlineStr">
        <is>
          <t>avverkningsanmälan</t>
        </is>
      </c>
      <c r="C37" t="inlineStr">
        <is>
          <t>Avverkning för annat ändamål</t>
        </is>
      </c>
      <c r="D37" s="1" t="n">
        <v>44587</v>
      </c>
      <c r="E37" s="1" t="n">
        <v>46217</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s="2" t="inlineStr">
        <is>
          <t>Busksångare</t>
        </is>
      </c>
      <c r="V37">
        <f>HYPERLINK("https://klasma.github.io/Logging_2518/artfynd/A 4012-2022 artfynd.xlsx", "A 4012-2022")</f>
        <v/>
      </c>
      <c r="W37">
        <f>HYPERLINK("https://klasma.github.io/Logging_2518/kartor/A 4012-2022 karta.png", "A 4012-2022")</f>
        <v/>
      </c>
      <c r="Y37">
        <f>HYPERLINK("https://klasma.github.io/Logging_2518/klagomål/A 4012-2022 FSC-klagomål.docx", "A 4012-2022")</f>
        <v/>
      </c>
      <c r="Z37">
        <f>HYPERLINK("https://klasma.github.io/Logging_2518/klagomålsmail/A 4012-2022 FSC-klagomål mail.docx", "A 4012-2022")</f>
        <v/>
      </c>
      <c r="AA37">
        <f>HYPERLINK("https://klasma.github.io/Logging_2518/tillsyn/A 4012-2022 tillsynsbegäran.docx", "A 4012-2022")</f>
        <v/>
      </c>
      <c r="AB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46217</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s="2" t="inlineStr">
        <is>
          <t>Kungsörn</t>
        </is>
      </c>
      <c r="V38">
        <f>HYPERLINK("https://klasma.github.io/Logging_2518/artfynd/A 46378-2023 artfynd.xlsx", "A 46378-2023")</f>
        <v/>
      </c>
      <c r="W38">
        <f>HYPERLINK("https://klasma.github.io/Logging_2518/kartor/A 46378-2023 karta.png", "A 46378-2023")</f>
        <v/>
      </c>
      <c r="Y38">
        <f>HYPERLINK("https://klasma.github.io/Logging_2518/klagomål/A 46378-2023 FSC-klagomål.docx", "A 46378-2023")</f>
        <v/>
      </c>
      <c r="Z38">
        <f>HYPERLINK("https://klasma.github.io/Logging_2518/klagomålsmail/A 46378-2023 FSC-klagomål mail.docx", "A 46378-2023")</f>
        <v/>
      </c>
      <c r="AA38">
        <f>HYPERLINK("https://klasma.github.io/Logging_2518/tillsyn/A 46378-2023 tillsynsbegäran.docx", "A 46378-2023")</f>
        <v/>
      </c>
      <c r="AB38">
        <f>HYPERLINK("https://klasma.github.io/Logging_2518/tillsynsmail/A 46378-2023 tillsynsbegäran mail.docx", "A 46378-2023")</f>
        <v/>
      </c>
      <c r="AC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46217</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s="2" t="inlineStr">
        <is>
          <t>Doftskinn</t>
        </is>
      </c>
      <c r="V39">
        <f>HYPERLINK("https://klasma.github.io/Logging_2518/artfynd/A 24802-2026 artfynd.xlsx", "A 24802-2026")</f>
        <v/>
      </c>
      <c r="W39">
        <f>HYPERLINK("https://klasma.github.io/Logging_2518/kartor/A 24802-2026 karta.png", "A 24802-2026")</f>
        <v/>
      </c>
      <c r="Y39">
        <f>HYPERLINK("https://klasma.github.io/Logging_2518/klagomål/A 24802-2026 FSC-klagomål.docx", "A 24802-2026")</f>
        <v/>
      </c>
      <c r="Z39">
        <f>HYPERLINK("https://klasma.github.io/Logging_2518/klagomålsmail/A 24802-2026 FSC-klagomål mail.docx", "A 24802-2026")</f>
        <v/>
      </c>
      <c r="AA39">
        <f>HYPERLINK("https://klasma.github.io/Logging_2518/tillsyn/A 24802-2026 tillsynsbegäran.docx", "A 24802-2026")</f>
        <v/>
      </c>
      <c r="AB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46217</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s="2" t="inlineStr">
        <is>
          <t>Klotstarr</t>
        </is>
      </c>
      <c r="V40">
        <f>HYPERLINK("https://klasma.github.io/Logging_2518/artfynd/A 30651-2023 artfynd.xlsx", "A 30651-2023")</f>
        <v/>
      </c>
      <c r="W40">
        <f>HYPERLINK("https://klasma.github.io/Logging_2518/kartor/A 30651-2023 karta.png", "A 30651-2023")</f>
        <v/>
      </c>
      <c r="Y40">
        <f>HYPERLINK("https://klasma.github.io/Logging_2518/klagomål/A 30651-2023 FSC-klagomål.docx", "A 30651-2023")</f>
        <v/>
      </c>
      <c r="Z40">
        <f>HYPERLINK("https://klasma.github.io/Logging_2518/klagomålsmail/A 30651-2023 FSC-klagomål mail.docx", "A 30651-2023")</f>
        <v/>
      </c>
      <c r="AA40">
        <f>HYPERLINK("https://klasma.github.io/Logging_2518/tillsyn/A 30651-2023 tillsynsbegäran.docx", "A 30651-2023")</f>
        <v/>
      </c>
      <c r="AB40">
        <f>HYPERLINK("https://klasma.github.io/Logging_2518/tillsynsmail/A 30651-2023 tillsynsbegäran mail.docx", "A 30651-2023")</f>
        <v/>
      </c>
    </row>
    <row r="41" ht="15" customHeight="1">
      <c r="A41" t="inlineStr">
        <is>
          <t>A 26502-2025</t>
        </is>
      </c>
      <c r="B41" t="inlineStr">
        <is>
          <t>avverkningsanmälan</t>
        </is>
      </c>
      <c r="C41" t="inlineStr">
        <is>
          <t>Föryngringsavverkning</t>
        </is>
      </c>
      <c r="D41" s="1" t="n">
        <v>45807</v>
      </c>
      <c r="E41" s="1" t="n">
        <v>46217</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s="2" t="inlineStr">
        <is>
          <t>Gammelgransskål</t>
        </is>
      </c>
      <c r="V41">
        <f>HYPERLINK("https://klasma.github.io/Logging_2518/artfynd/A 26502-2025 artfynd.xlsx", "A 26502-2025")</f>
        <v/>
      </c>
      <c r="W41">
        <f>HYPERLINK("https://klasma.github.io/Logging_2518/kartor/A 26502-2025 karta.png", "A 26502-2025")</f>
        <v/>
      </c>
      <c r="Y41">
        <f>HYPERLINK("https://klasma.github.io/Logging_2518/klagomål/A 26502-2025 FSC-klagomål.docx", "A 26502-2025")</f>
        <v/>
      </c>
      <c r="Z41">
        <f>HYPERLINK("https://klasma.github.io/Logging_2518/klagomålsmail/A 26502-2025 FSC-klagomål mail.docx", "A 26502-2025")</f>
        <v/>
      </c>
      <c r="AA41">
        <f>HYPERLINK("https://klasma.github.io/Logging_2518/tillsyn/A 26502-2025 tillsynsbegäran.docx", "A 26502-2025")</f>
        <v/>
      </c>
      <c r="AB41">
        <f>HYPERLINK("https://klasma.github.io/Logging_2518/tillsynsmail/A 26502-2025 tillsynsbegäran mail.docx", "A 26502-2025")</f>
        <v/>
      </c>
    </row>
    <row r="42" ht="15" customHeight="1">
      <c r="A42" t="inlineStr">
        <is>
          <t>A 30784-2025</t>
        </is>
      </c>
      <c r="B42" t="inlineStr">
        <is>
          <t>avverkningsanmälan</t>
        </is>
      </c>
      <c r="C42" t="inlineStr">
        <is>
          <t>Föryngringsavverkning</t>
        </is>
      </c>
      <c r="D42" s="1" t="n">
        <v>45831</v>
      </c>
      <c r="E42" s="1" t="n">
        <v>46217</v>
      </c>
      <c r="F42" t="inlineStr">
        <is>
          <t>NORRBOTTENS LÄN</t>
        </is>
      </c>
      <c r="G42" t="inlineStr">
        <is>
          <t>ÖVERTORNEÅ</t>
        </is>
      </c>
      <c r="H42" t="inlineStr">
        <is>
          <t>Sveaskog</t>
        </is>
      </c>
      <c r="I42" t="n">
        <v>12.4</v>
      </c>
      <c r="J42" t="n">
        <v>1</v>
      </c>
      <c r="K42" t="n">
        <v>0</v>
      </c>
      <c r="L42" t="n">
        <v>0</v>
      </c>
      <c r="M42" t="n">
        <v>0</v>
      </c>
      <c r="N42" t="n">
        <v>0</v>
      </c>
      <c r="O42" t="n">
        <v>0</v>
      </c>
      <c r="P42" t="n">
        <v>0</v>
      </c>
      <c r="Q42" t="n">
        <v>0</v>
      </c>
      <c r="R42" t="n">
        <v>0</v>
      </c>
      <c r="S42" t="n">
        <v>1</v>
      </c>
      <c r="T42" t="n">
        <v>2</v>
      </c>
      <c r="U42" s="2" t="inlineStr">
        <is>
          <t>Fläcknycklar</t>
        </is>
      </c>
      <c r="V42">
        <f>HYPERLINK("https://klasma.github.io/Logging_2518/artfynd/A 30784-2025 artfynd.xlsx", "A 30784-2025")</f>
        <v/>
      </c>
      <c r="W42">
        <f>HYPERLINK("https://klasma.github.io/Logging_2518/kartor/A 30784-2025 karta.png", "A 30784-2025")</f>
        <v/>
      </c>
      <c r="Y42">
        <f>HYPERLINK("https://klasma.github.io/Logging_2518/klagomål/A 30784-2025 FSC-klagomål.docx", "A 30784-2025")</f>
        <v/>
      </c>
      <c r="Z42">
        <f>HYPERLINK("https://klasma.github.io/Logging_2518/klagomålsmail/A 30784-2025 FSC-klagomål mail.docx", "A 30784-2025")</f>
        <v/>
      </c>
      <c r="AA42">
        <f>HYPERLINK("https://klasma.github.io/Logging_2518/tillsyn/A 30784-2025 tillsynsbegäran.docx", "A 30784-2025")</f>
        <v/>
      </c>
      <c r="AB42">
        <f>HYPERLINK("https://klasma.github.io/Logging_2518/tillsynsmail/A 30784-2025 tillsynsbegäran mail.docx", "A 30784-2025")</f>
        <v/>
      </c>
    </row>
    <row r="43" ht="15" customHeight="1">
      <c r="A43" t="inlineStr">
        <is>
          <t>A 34325-2025</t>
        </is>
      </c>
      <c r="B43" t="inlineStr">
        <is>
          <t>avverkningsanmälan</t>
        </is>
      </c>
      <c r="C43" t="inlineStr">
        <is>
          <t>Föryngringsavverkning</t>
        </is>
      </c>
      <c r="D43" s="1" t="n">
        <v>45846</v>
      </c>
      <c r="E43" s="1" t="n">
        <v>46217</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s="2" t="inlineStr">
        <is>
          <t>Fläcknycklar</t>
        </is>
      </c>
      <c r="V43">
        <f>HYPERLINK("https://klasma.github.io/Logging_2518/artfynd/A 34325-2025 artfynd.xlsx", "A 34325-2025")</f>
        <v/>
      </c>
      <c r="W43">
        <f>HYPERLINK("https://klasma.github.io/Logging_2518/kartor/A 34325-2025 karta.png", "A 34325-2025")</f>
        <v/>
      </c>
      <c r="Y43">
        <f>HYPERLINK("https://klasma.github.io/Logging_2518/klagomål/A 34325-2025 FSC-klagomål.docx", "A 34325-2025")</f>
        <v/>
      </c>
      <c r="Z43">
        <f>HYPERLINK("https://klasma.github.io/Logging_2518/klagomålsmail/A 34325-2025 FSC-klagomål mail.docx", "A 34325-2025")</f>
        <v/>
      </c>
      <c r="AA43">
        <f>HYPERLINK("https://klasma.github.io/Logging_2518/tillsyn/A 34325-2025 tillsynsbegäran.docx", "A 34325-2025")</f>
        <v/>
      </c>
      <c r="AB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46217</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62856-2021</t>
        </is>
      </c>
      <c r="B45" t="inlineStr">
        <is>
          <t>avverkningsanmälan</t>
        </is>
      </c>
      <c r="C45" t="inlineStr">
        <is>
          <t>Föryngringsavverkning</t>
        </is>
      </c>
      <c r="D45" s="1" t="n">
        <v>44504</v>
      </c>
      <c r="E45" s="1" t="n">
        <v>46217</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43294-2022</t>
        </is>
      </c>
      <c r="B46" t="inlineStr">
        <is>
          <t>avverkningsanmälan</t>
        </is>
      </c>
      <c r="C46" t="inlineStr">
        <is>
          <t>Föryngringsavverkning</t>
        </is>
      </c>
      <c r="D46" s="1" t="n">
        <v>44833</v>
      </c>
      <c r="E46" s="1" t="n">
        <v>46217</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46217</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46217</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46217</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46217</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46217</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46217</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46217</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46217</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46217</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46217</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46217</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46217</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46217</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46217</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46217</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46217</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46217</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46217</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46217</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46217</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46217</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46217</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46217</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46217</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46217</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46217</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15500-2022</t>
        </is>
      </c>
      <c r="B73" t="inlineStr">
        <is>
          <t>avverkningsanmälan</t>
        </is>
      </c>
      <c r="C73" t="inlineStr">
        <is>
          <t>Föryngringsavverkning</t>
        </is>
      </c>
      <c r="D73" s="1" t="n">
        <v>44662</v>
      </c>
      <c r="E73" s="1" t="n">
        <v>46217</v>
      </c>
      <c r="F73" t="inlineStr">
        <is>
          <t>NORRBOTTENS LÄN</t>
        </is>
      </c>
      <c r="G73" t="inlineStr">
        <is>
          <t>ÖVERTORNEÅ</t>
        </is>
      </c>
      <c r="I73" t="n">
        <v>3</v>
      </c>
      <c r="J73" t="n">
        <v>0</v>
      </c>
      <c r="K73" t="n">
        <v>0</v>
      </c>
      <c r="L73" t="n">
        <v>0</v>
      </c>
      <c r="M73" t="n">
        <v>0</v>
      </c>
      <c r="N73" t="n">
        <v>0</v>
      </c>
      <c r="O73" t="n">
        <v>0</v>
      </c>
      <c r="P73" t="n">
        <v>0</v>
      </c>
      <c r="Q73" t="n">
        <v>0</v>
      </c>
      <c r="R73" t="n">
        <v>0</v>
      </c>
      <c r="S73" t="n">
        <v>0</v>
      </c>
      <c r="T73" t="n">
        <v>0</v>
      </c>
      <c r="U73" s="2" t="inlineStr"/>
    </row>
    <row r="74" ht="15" customHeight="1">
      <c r="A74" t="inlineStr">
        <is>
          <t>A 16561-2022</t>
        </is>
      </c>
      <c r="B74" t="inlineStr">
        <is>
          <t>avverkningsanmälan</t>
        </is>
      </c>
      <c r="C74" t="inlineStr">
        <is>
          <t>Avverkning för annat ändamål</t>
        </is>
      </c>
      <c r="D74" s="1" t="n">
        <v>44672</v>
      </c>
      <c r="E74" s="1" t="n">
        <v>46217</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46217</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1092-2022</t>
        </is>
      </c>
      <c r="B76" t="inlineStr">
        <is>
          <t>avverkningsanmälan</t>
        </is>
      </c>
      <c r="C76" t="inlineStr">
        <is>
          <t>Föryngringsavverkning</t>
        </is>
      </c>
      <c r="D76" s="1" t="n">
        <v>44571</v>
      </c>
      <c r="E76" s="1" t="n">
        <v>46217</v>
      </c>
      <c r="F76" t="inlineStr">
        <is>
          <t>NORRBOTTENS LÄN</t>
        </is>
      </c>
      <c r="G76" t="inlineStr">
        <is>
          <t>ÖVERTORNEÅ</t>
        </is>
      </c>
      <c r="I76" t="n">
        <v>23.5</v>
      </c>
      <c r="J76" t="n">
        <v>0</v>
      </c>
      <c r="K76" t="n">
        <v>0</v>
      </c>
      <c r="L76" t="n">
        <v>0</v>
      </c>
      <c r="M76" t="n">
        <v>0</v>
      </c>
      <c r="N76" t="n">
        <v>0</v>
      </c>
      <c r="O76" t="n">
        <v>0</v>
      </c>
      <c r="P76" t="n">
        <v>0</v>
      </c>
      <c r="Q76" t="n">
        <v>0</v>
      </c>
      <c r="R76" t="n">
        <v>0</v>
      </c>
      <c r="S76" t="n">
        <v>0</v>
      </c>
      <c r="T76" t="n">
        <v>0</v>
      </c>
      <c r="U76" s="2" t="inlineStr"/>
    </row>
    <row r="77" ht="15" customHeight="1">
      <c r="A77" t="inlineStr">
        <is>
          <t>A 38980-2022</t>
        </is>
      </c>
      <c r="B77" t="inlineStr">
        <is>
          <t>avverkningsanmälan</t>
        </is>
      </c>
      <c r="C77" t="inlineStr">
        <is>
          <t>Avverkning för annat ändamål</t>
        </is>
      </c>
      <c r="D77" s="1" t="n">
        <v>44816</v>
      </c>
      <c r="E77" s="1" t="n">
        <v>46217</v>
      </c>
      <c r="F77" t="inlineStr">
        <is>
          <t>NORRBOTTENS LÄN</t>
        </is>
      </c>
      <c r="G77" t="inlineStr">
        <is>
          <t>ÖVERTORNEÅ</t>
        </is>
      </c>
      <c r="H77" t="inlineStr">
        <is>
          <t>Sveaskog</t>
        </is>
      </c>
      <c r="I77" t="n">
        <v>5</v>
      </c>
      <c r="J77" t="n">
        <v>0</v>
      </c>
      <c r="K77" t="n">
        <v>0</v>
      </c>
      <c r="L77" t="n">
        <v>0</v>
      </c>
      <c r="M77" t="n">
        <v>0</v>
      </c>
      <c r="N77" t="n">
        <v>0</v>
      </c>
      <c r="O77" t="n">
        <v>0</v>
      </c>
      <c r="P77" t="n">
        <v>0</v>
      </c>
      <c r="Q77" t="n">
        <v>0</v>
      </c>
      <c r="R77" t="n">
        <v>0</v>
      </c>
      <c r="S77" t="n">
        <v>0</v>
      </c>
      <c r="T77" t="n">
        <v>0</v>
      </c>
      <c r="U77" s="2" t="inlineStr"/>
    </row>
    <row r="78" ht="15" customHeight="1">
      <c r="A78" t="inlineStr">
        <is>
          <t>A 5030-2024</t>
        </is>
      </c>
      <c r="B78" t="inlineStr">
        <is>
          <t>avverkningsanmälan</t>
        </is>
      </c>
      <c r="C78" t="inlineStr">
        <is>
          <t>Avverkning för annat ändamål</t>
        </is>
      </c>
      <c r="D78" s="1" t="n">
        <v>45329</v>
      </c>
      <c r="E78" s="1" t="n">
        <v>46217</v>
      </c>
      <c r="F78" t="inlineStr">
        <is>
          <t>NORRBOTTENS LÄN</t>
        </is>
      </c>
      <c r="G78" t="inlineStr">
        <is>
          <t>ÖVERTORNEÅ</t>
        </is>
      </c>
      <c r="I78" t="n">
        <v>0.3</v>
      </c>
      <c r="J78" t="n">
        <v>0</v>
      </c>
      <c r="K78" t="n">
        <v>0</v>
      </c>
      <c r="L78" t="n">
        <v>0</v>
      </c>
      <c r="M78" t="n">
        <v>0</v>
      </c>
      <c r="N78" t="n">
        <v>0</v>
      </c>
      <c r="O78" t="n">
        <v>0</v>
      </c>
      <c r="P78" t="n">
        <v>0</v>
      </c>
      <c r="Q78" t="n">
        <v>0</v>
      </c>
      <c r="R78" t="n">
        <v>0</v>
      </c>
      <c r="S78" t="n">
        <v>0</v>
      </c>
      <c r="T78" t="n">
        <v>0</v>
      </c>
      <c r="U78" s="2" t="inlineStr"/>
    </row>
    <row r="79" ht="15" customHeight="1">
      <c r="A79" t="inlineStr">
        <is>
          <t>A 5093-2025</t>
        </is>
      </c>
      <c r="B79" t="inlineStr">
        <is>
          <t>avverkningsanmälan</t>
        </is>
      </c>
      <c r="C79" t="inlineStr">
        <is>
          <t>Avverkning för annat ändamål</t>
        </is>
      </c>
      <c r="D79" s="1" t="n">
        <v>45691</v>
      </c>
      <c r="E79" s="1" t="n">
        <v>46217</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s="2" t="inlineStr"/>
    </row>
    <row r="80" ht="15" customHeight="1">
      <c r="A80" t="inlineStr">
        <is>
          <t>A 12163-2024</t>
        </is>
      </c>
      <c r="B80" t="inlineStr">
        <is>
          <t>avverkningsanmälan</t>
        </is>
      </c>
      <c r="C80" t="inlineStr">
        <is>
          <t>Föryngringsavverkning</t>
        </is>
      </c>
      <c r="D80" s="1" t="n">
        <v>45377</v>
      </c>
      <c r="E80" s="1" t="n">
        <v>46217</v>
      </c>
      <c r="F80" t="inlineStr">
        <is>
          <t>NORRBOTTENS LÄN</t>
        </is>
      </c>
      <c r="G80" t="inlineStr">
        <is>
          <t>ÖVERTORNEÅ</t>
        </is>
      </c>
      <c r="I80" t="n">
        <v>2.8</v>
      </c>
      <c r="J80" t="n">
        <v>0</v>
      </c>
      <c r="K80" t="n">
        <v>0</v>
      </c>
      <c r="L80" t="n">
        <v>0</v>
      </c>
      <c r="M80" t="n">
        <v>0</v>
      </c>
      <c r="N80" t="n">
        <v>0</v>
      </c>
      <c r="O80" t="n">
        <v>0</v>
      </c>
      <c r="P80" t="n">
        <v>0</v>
      </c>
      <c r="Q80" t="n">
        <v>0</v>
      </c>
      <c r="R80" t="n">
        <v>0</v>
      </c>
      <c r="S80" t="n">
        <v>0</v>
      </c>
      <c r="T80" t="n">
        <v>0</v>
      </c>
      <c r="U80" s="2" t="inlineStr"/>
    </row>
    <row r="81" ht="15" customHeight="1">
      <c r="A81" t="inlineStr">
        <is>
          <t>A 53077-2023</t>
        </is>
      </c>
      <c r="B81" t="inlineStr">
        <is>
          <t>avverkningsanmälan</t>
        </is>
      </c>
      <c r="C81" t="inlineStr">
        <is>
          <t>Föryngringsavverkning</t>
        </is>
      </c>
      <c r="D81" s="1" t="n">
        <v>45227</v>
      </c>
      <c r="E81" s="1" t="n">
        <v>46217</v>
      </c>
      <c r="F81" t="inlineStr">
        <is>
          <t>NORRBOTTENS LÄN</t>
        </is>
      </c>
      <c r="G81" t="inlineStr">
        <is>
          <t>ÖVERTORNEÅ</t>
        </is>
      </c>
      <c r="I81" t="n">
        <v>2.1</v>
      </c>
      <c r="J81" t="n">
        <v>0</v>
      </c>
      <c r="K81" t="n">
        <v>0</v>
      </c>
      <c r="L81" t="n">
        <v>0</v>
      </c>
      <c r="M81" t="n">
        <v>0</v>
      </c>
      <c r="N81" t="n">
        <v>0</v>
      </c>
      <c r="O81" t="n">
        <v>0</v>
      </c>
      <c r="P81" t="n">
        <v>0</v>
      </c>
      <c r="Q81" t="n">
        <v>0</v>
      </c>
      <c r="R81" t="n">
        <v>0</v>
      </c>
      <c r="S81" t="n">
        <v>0</v>
      </c>
      <c r="T81" t="n">
        <v>0</v>
      </c>
      <c r="U81" s="2" t="inlineStr"/>
    </row>
    <row r="82" ht="15" customHeight="1">
      <c r="A82" t="inlineStr">
        <is>
          <t>A 8509-2024</t>
        </is>
      </c>
      <c r="B82" t="inlineStr">
        <is>
          <t>avverkningsanmälan</t>
        </is>
      </c>
      <c r="C82" t="inlineStr">
        <is>
          <t>Föryngringsavverkning</t>
        </is>
      </c>
      <c r="D82" s="1" t="n">
        <v>45351</v>
      </c>
      <c r="E82" s="1" t="n">
        <v>46217</v>
      </c>
      <c r="F82" t="inlineStr">
        <is>
          <t>NORRBOTTENS LÄN</t>
        </is>
      </c>
      <c r="G82" t="inlineStr">
        <is>
          <t>ÖVERTORNEÅ</t>
        </is>
      </c>
      <c r="I82" t="n">
        <v>7</v>
      </c>
      <c r="J82" t="n">
        <v>0</v>
      </c>
      <c r="K82" t="n">
        <v>0</v>
      </c>
      <c r="L82" t="n">
        <v>0</v>
      </c>
      <c r="M82" t="n">
        <v>0</v>
      </c>
      <c r="N82" t="n">
        <v>0</v>
      </c>
      <c r="O82" t="n">
        <v>0</v>
      </c>
      <c r="P82" t="n">
        <v>0</v>
      </c>
      <c r="Q82" t="n">
        <v>0</v>
      </c>
      <c r="R82" t="n">
        <v>0</v>
      </c>
      <c r="S82" t="n">
        <v>0</v>
      </c>
      <c r="T82" t="n">
        <v>0</v>
      </c>
      <c r="U82" s="2" t="inlineStr"/>
    </row>
    <row r="83" ht="15" customHeight="1">
      <c r="A83" t="inlineStr">
        <is>
          <t>A 54029-2023</t>
        </is>
      </c>
      <c r="B83" t="inlineStr">
        <is>
          <t>avverkningsanmälan</t>
        </is>
      </c>
      <c r="C83" t="inlineStr">
        <is>
          <t>Föryngringsavverkning</t>
        </is>
      </c>
      <c r="D83" s="1" t="n">
        <v>45231</v>
      </c>
      <c r="E83" s="1" t="n">
        <v>46217</v>
      </c>
      <c r="F83" t="inlineStr">
        <is>
          <t>NORRBOTTENS LÄN</t>
        </is>
      </c>
      <c r="G83" t="inlineStr">
        <is>
          <t>ÖVERTORNEÅ</t>
        </is>
      </c>
      <c r="I83" t="n">
        <v>2.5</v>
      </c>
      <c r="J83" t="n">
        <v>0</v>
      </c>
      <c r="K83" t="n">
        <v>0</v>
      </c>
      <c r="L83" t="n">
        <v>0</v>
      </c>
      <c r="M83" t="n">
        <v>0</v>
      </c>
      <c r="N83" t="n">
        <v>0</v>
      </c>
      <c r="O83" t="n">
        <v>0</v>
      </c>
      <c r="P83" t="n">
        <v>0</v>
      </c>
      <c r="Q83" t="n">
        <v>0</v>
      </c>
      <c r="R83" t="n">
        <v>0</v>
      </c>
      <c r="S83" t="n">
        <v>0</v>
      </c>
      <c r="T83" t="n">
        <v>0</v>
      </c>
      <c r="U83" s="2" t="inlineStr"/>
    </row>
    <row r="84" ht="15" customHeight="1">
      <c r="A84" t="inlineStr">
        <is>
          <t>A 20175-2025</t>
        </is>
      </c>
      <c r="B84" t="inlineStr">
        <is>
          <t>avverkningsanmälan</t>
        </is>
      </c>
      <c r="C84" t="inlineStr">
        <is>
          <t>Avverkning för annat ändamål</t>
        </is>
      </c>
      <c r="D84" s="1" t="n">
        <v>45772</v>
      </c>
      <c r="E84" s="1" t="n">
        <v>46217</v>
      </c>
      <c r="F84" t="inlineStr">
        <is>
          <t>NORRBOTTENS LÄN</t>
        </is>
      </c>
      <c r="G84" t="inlineStr">
        <is>
          <t>ÖVERTORNEÅ</t>
        </is>
      </c>
      <c r="I84" t="n">
        <v>1.5</v>
      </c>
      <c r="J84" t="n">
        <v>0</v>
      </c>
      <c r="K84" t="n">
        <v>0</v>
      </c>
      <c r="L84" t="n">
        <v>0</v>
      </c>
      <c r="M84" t="n">
        <v>0</v>
      </c>
      <c r="N84" t="n">
        <v>0</v>
      </c>
      <c r="O84" t="n">
        <v>0</v>
      </c>
      <c r="P84" t="n">
        <v>0</v>
      </c>
      <c r="Q84" t="n">
        <v>0</v>
      </c>
      <c r="R84" t="n">
        <v>0</v>
      </c>
      <c r="S84" t="n">
        <v>0</v>
      </c>
      <c r="T84" t="n">
        <v>0</v>
      </c>
      <c r="U84" s="2" t="inlineStr"/>
    </row>
    <row r="85" ht="15" customHeight="1">
      <c r="A85" t="inlineStr">
        <is>
          <t>A 20405-2024</t>
        </is>
      </c>
      <c r="B85" t="inlineStr">
        <is>
          <t>avverkningsanmälan</t>
        </is>
      </c>
      <c r="C85" t="inlineStr">
        <is>
          <t>Föryngringsavverkning</t>
        </is>
      </c>
      <c r="D85" s="1" t="n">
        <v>45435</v>
      </c>
      <c r="E85" s="1" t="n">
        <v>46217</v>
      </c>
      <c r="F85" t="inlineStr">
        <is>
          <t>NORRBOTTENS LÄN</t>
        </is>
      </c>
      <c r="G85" t="inlineStr">
        <is>
          <t>ÖVERTORNEÅ</t>
        </is>
      </c>
      <c r="H85" t="inlineStr">
        <is>
          <t>Sveaskog</t>
        </is>
      </c>
      <c r="I85" t="n">
        <v>2.3</v>
      </c>
      <c r="J85" t="n">
        <v>0</v>
      </c>
      <c r="K85" t="n">
        <v>0</v>
      </c>
      <c r="L85" t="n">
        <v>0</v>
      </c>
      <c r="M85" t="n">
        <v>0</v>
      </c>
      <c r="N85" t="n">
        <v>0</v>
      </c>
      <c r="O85" t="n">
        <v>0</v>
      </c>
      <c r="P85" t="n">
        <v>0</v>
      </c>
      <c r="Q85" t="n">
        <v>0</v>
      </c>
      <c r="R85" t="n">
        <v>0</v>
      </c>
      <c r="S85" t="n">
        <v>0</v>
      </c>
      <c r="T85" t="n">
        <v>0</v>
      </c>
      <c r="U85" s="2" t="inlineStr"/>
    </row>
    <row r="86" ht="15" customHeight="1">
      <c r="A86" t="inlineStr">
        <is>
          <t>A 17807-2024</t>
        </is>
      </c>
      <c r="B86" t="inlineStr">
        <is>
          <t>avverkningsanmälan</t>
        </is>
      </c>
      <c r="C86" t="inlineStr">
        <is>
          <t>Föryngringsavverkning</t>
        </is>
      </c>
      <c r="D86" s="1" t="n">
        <v>45418</v>
      </c>
      <c r="E86" s="1" t="n">
        <v>46217</v>
      </c>
      <c r="F86" t="inlineStr">
        <is>
          <t>NORRBOTTENS LÄN</t>
        </is>
      </c>
      <c r="G86" t="inlineStr">
        <is>
          <t>ÖVERTORNEÅ</t>
        </is>
      </c>
      <c r="I86" t="n">
        <v>2.4</v>
      </c>
      <c r="J86" t="n">
        <v>0</v>
      </c>
      <c r="K86" t="n">
        <v>0</v>
      </c>
      <c r="L86" t="n">
        <v>0</v>
      </c>
      <c r="M86" t="n">
        <v>0</v>
      </c>
      <c r="N86" t="n">
        <v>0</v>
      </c>
      <c r="O86" t="n">
        <v>0</v>
      </c>
      <c r="P86" t="n">
        <v>0</v>
      </c>
      <c r="Q86" t="n">
        <v>0</v>
      </c>
      <c r="R86" t="n">
        <v>0</v>
      </c>
      <c r="S86" t="n">
        <v>0</v>
      </c>
      <c r="T86" t="n">
        <v>0</v>
      </c>
      <c r="U86" s="2" t="inlineStr"/>
    </row>
    <row r="87" ht="15" customHeight="1">
      <c r="A87" t="inlineStr">
        <is>
          <t>A 28953-2024</t>
        </is>
      </c>
      <c r="B87" t="inlineStr">
        <is>
          <t>avverkningsanmälan</t>
        </is>
      </c>
      <c r="C87" t="inlineStr">
        <is>
          <t>Föryngringsavverkning</t>
        </is>
      </c>
      <c r="D87" s="1" t="n">
        <v>45481</v>
      </c>
      <c r="E87" s="1" t="n">
        <v>46217</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s="2" t="inlineStr"/>
    </row>
    <row r="88" ht="15" customHeight="1">
      <c r="A88" t="inlineStr">
        <is>
          <t>A 26118-2024</t>
        </is>
      </c>
      <c r="B88" t="inlineStr">
        <is>
          <t>avverkningsanmälan</t>
        </is>
      </c>
      <c r="C88" t="inlineStr">
        <is>
          <t>Föryngringsavverkning</t>
        </is>
      </c>
      <c r="D88" s="1" t="n">
        <v>45467</v>
      </c>
      <c r="E88" s="1" t="n">
        <v>46217</v>
      </c>
      <c r="F88" t="inlineStr">
        <is>
          <t>NORRBOTTENS LÄN</t>
        </is>
      </c>
      <c r="G88" t="inlineStr">
        <is>
          <t>ÖVERTORNEÅ</t>
        </is>
      </c>
      <c r="I88" t="n">
        <v>12.4</v>
      </c>
      <c r="J88" t="n">
        <v>0</v>
      </c>
      <c r="K88" t="n">
        <v>0</v>
      </c>
      <c r="L88" t="n">
        <v>0</v>
      </c>
      <c r="M88" t="n">
        <v>0</v>
      </c>
      <c r="N88" t="n">
        <v>0</v>
      </c>
      <c r="O88" t="n">
        <v>0</v>
      </c>
      <c r="P88" t="n">
        <v>0</v>
      </c>
      <c r="Q88" t="n">
        <v>0</v>
      </c>
      <c r="R88" t="n">
        <v>0</v>
      </c>
      <c r="S88" t="n">
        <v>0</v>
      </c>
      <c r="T88" t="n">
        <v>0</v>
      </c>
      <c r="U88" s="2" t="inlineStr"/>
    </row>
    <row r="89" ht="15" customHeight="1">
      <c r="A89" t="inlineStr">
        <is>
          <t>A 26142-2024</t>
        </is>
      </c>
      <c r="B89" t="inlineStr">
        <is>
          <t>avverkningsanmälan</t>
        </is>
      </c>
      <c r="C89" t="inlineStr">
        <is>
          <t>Föryngringsavverkning</t>
        </is>
      </c>
      <c r="D89" s="1" t="n">
        <v>45467</v>
      </c>
      <c r="E89" s="1" t="n">
        <v>46217</v>
      </c>
      <c r="F89" t="inlineStr">
        <is>
          <t>NORRBOTTENS LÄN</t>
        </is>
      </c>
      <c r="G89" t="inlineStr">
        <is>
          <t>ÖVERTORNEÅ</t>
        </is>
      </c>
      <c r="I89" t="n">
        <v>4.5</v>
      </c>
      <c r="J89" t="n">
        <v>0</v>
      </c>
      <c r="K89" t="n">
        <v>0</v>
      </c>
      <c r="L89" t="n">
        <v>0</v>
      </c>
      <c r="M89" t="n">
        <v>0</v>
      </c>
      <c r="N89" t="n">
        <v>0</v>
      </c>
      <c r="O89" t="n">
        <v>0</v>
      </c>
      <c r="P89" t="n">
        <v>0</v>
      </c>
      <c r="Q89" t="n">
        <v>0</v>
      </c>
      <c r="R89" t="n">
        <v>0</v>
      </c>
      <c r="S89" t="n">
        <v>0</v>
      </c>
      <c r="T89" t="n">
        <v>0</v>
      </c>
      <c r="U89" s="2" t="inlineStr"/>
    </row>
    <row r="90" ht="15" customHeight="1">
      <c r="A90" t="inlineStr">
        <is>
          <t>A 22419-2024</t>
        </is>
      </c>
      <c r="B90" t="inlineStr">
        <is>
          <t>avverkningsanmälan</t>
        </is>
      </c>
      <c r="C90" t="inlineStr">
        <is>
          <t>Föryngringsavverkning</t>
        </is>
      </c>
      <c r="D90" s="1" t="n">
        <v>45446</v>
      </c>
      <c r="E90" s="1" t="n">
        <v>46217</v>
      </c>
      <c r="F90" t="inlineStr">
        <is>
          <t>NORRBOTTENS LÄN</t>
        </is>
      </c>
      <c r="G90" t="inlineStr">
        <is>
          <t>ÖVERTORNEÅ</t>
        </is>
      </c>
      <c r="I90" t="n">
        <v>2.8</v>
      </c>
      <c r="J90" t="n">
        <v>0</v>
      </c>
      <c r="K90" t="n">
        <v>0</v>
      </c>
      <c r="L90" t="n">
        <v>0</v>
      </c>
      <c r="M90" t="n">
        <v>0</v>
      </c>
      <c r="N90" t="n">
        <v>0</v>
      </c>
      <c r="O90" t="n">
        <v>0</v>
      </c>
      <c r="P90" t="n">
        <v>0</v>
      </c>
      <c r="Q90" t="n">
        <v>0</v>
      </c>
      <c r="R90" t="n">
        <v>0</v>
      </c>
      <c r="S90" t="n">
        <v>0</v>
      </c>
      <c r="T90" t="n">
        <v>0</v>
      </c>
      <c r="U90" s="2" t="inlineStr"/>
    </row>
    <row r="91" ht="15" customHeight="1">
      <c r="A91" t="inlineStr">
        <is>
          <t>A 1623-2024</t>
        </is>
      </c>
      <c r="B91" t="inlineStr">
        <is>
          <t>avverkningsanmälan</t>
        </is>
      </c>
      <c r="C91" t="inlineStr">
        <is>
          <t>Föryngringsavverkning</t>
        </is>
      </c>
      <c r="D91" s="1" t="n">
        <v>45306</v>
      </c>
      <c r="E91" s="1" t="n">
        <v>46217</v>
      </c>
      <c r="F91" t="inlineStr">
        <is>
          <t>NORRBOTTENS LÄN</t>
        </is>
      </c>
      <c r="G91" t="inlineStr">
        <is>
          <t>ÖVERTORNEÅ</t>
        </is>
      </c>
      <c r="I91" t="n">
        <v>1.6</v>
      </c>
      <c r="J91" t="n">
        <v>0</v>
      </c>
      <c r="K91" t="n">
        <v>0</v>
      </c>
      <c r="L91" t="n">
        <v>0</v>
      </c>
      <c r="M91" t="n">
        <v>0</v>
      </c>
      <c r="N91" t="n">
        <v>0</v>
      </c>
      <c r="O91" t="n">
        <v>0</v>
      </c>
      <c r="P91" t="n">
        <v>0</v>
      </c>
      <c r="Q91" t="n">
        <v>0</v>
      </c>
      <c r="R91" t="n">
        <v>0</v>
      </c>
      <c r="S91" t="n">
        <v>0</v>
      </c>
      <c r="T91" t="n">
        <v>0</v>
      </c>
      <c r="U91" s="2" t="inlineStr"/>
    </row>
    <row r="92" ht="15" customHeight="1">
      <c r="A92" t="inlineStr">
        <is>
          <t>A 20564-2025</t>
        </is>
      </c>
      <c r="B92" t="inlineStr">
        <is>
          <t>avverkningsanmälan</t>
        </is>
      </c>
      <c r="C92" t="inlineStr">
        <is>
          <t>Föryngringsavverkning</t>
        </is>
      </c>
      <c r="D92" s="1" t="n">
        <v>45775</v>
      </c>
      <c r="E92" s="1" t="n">
        <v>46217</v>
      </c>
      <c r="F92" t="inlineStr">
        <is>
          <t>NORRBOTTENS LÄN</t>
        </is>
      </c>
      <c r="G92" t="inlineStr">
        <is>
          <t>ÖVERTORNEÅ</t>
        </is>
      </c>
      <c r="H92" t="inlineStr">
        <is>
          <t>Sveaskog</t>
        </is>
      </c>
      <c r="I92" t="n">
        <v>39.6</v>
      </c>
      <c r="J92" t="n">
        <v>0</v>
      </c>
      <c r="K92" t="n">
        <v>0</v>
      </c>
      <c r="L92" t="n">
        <v>0</v>
      </c>
      <c r="M92" t="n">
        <v>0</v>
      </c>
      <c r="N92" t="n">
        <v>0</v>
      </c>
      <c r="O92" t="n">
        <v>0</v>
      </c>
      <c r="P92" t="n">
        <v>0</v>
      </c>
      <c r="Q92" t="n">
        <v>0</v>
      </c>
      <c r="R92" t="n">
        <v>0</v>
      </c>
      <c r="S92" t="n">
        <v>0</v>
      </c>
      <c r="T92" t="n">
        <v>0</v>
      </c>
      <c r="U92" s="2" t="inlineStr"/>
    </row>
    <row r="93" ht="15" customHeight="1">
      <c r="A93" t="inlineStr">
        <is>
          <t>A 44238-2024</t>
        </is>
      </c>
      <c r="B93" t="inlineStr">
        <is>
          <t>avverkningsanmälan</t>
        </is>
      </c>
      <c r="C93" t="inlineStr">
        <is>
          <t>Föryngringsavverkning</t>
        </is>
      </c>
      <c r="D93" s="1" t="n">
        <v>45573</v>
      </c>
      <c r="E93" s="1" t="n">
        <v>46217</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s="2" t="inlineStr"/>
    </row>
    <row r="94" ht="15" customHeight="1">
      <c r="A94" t="inlineStr">
        <is>
          <t>A 48770-2021</t>
        </is>
      </c>
      <c r="B94" t="inlineStr">
        <is>
          <t>avverkningsanmälan</t>
        </is>
      </c>
      <c r="C94" t="inlineStr">
        <is>
          <t>Föryngringsavverkning</t>
        </is>
      </c>
      <c r="D94" s="1" t="n">
        <v>44452</v>
      </c>
      <c r="E94" s="1" t="n">
        <v>46217</v>
      </c>
      <c r="F94" t="inlineStr">
        <is>
          <t>NORRBOTTENS LÄN</t>
        </is>
      </c>
      <c r="G94" t="inlineStr">
        <is>
          <t>ÖVERTORNEÅ</t>
        </is>
      </c>
      <c r="I94" t="n">
        <v>9.4</v>
      </c>
      <c r="J94" t="n">
        <v>0</v>
      </c>
      <c r="K94" t="n">
        <v>0</v>
      </c>
      <c r="L94" t="n">
        <v>0</v>
      </c>
      <c r="M94" t="n">
        <v>0</v>
      </c>
      <c r="N94" t="n">
        <v>0</v>
      </c>
      <c r="O94" t="n">
        <v>0</v>
      </c>
      <c r="P94" t="n">
        <v>0</v>
      </c>
      <c r="Q94" t="n">
        <v>0</v>
      </c>
      <c r="R94" t="n">
        <v>0</v>
      </c>
      <c r="S94" t="n">
        <v>0</v>
      </c>
      <c r="T94" t="n">
        <v>0</v>
      </c>
      <c r="U94" s="2" t="inlineStr"/>
    </row>
    <row r="95" ht="15" customHeight="1">
      <c r="A95" t="inlineStr">
        <is>
          <t>A 48792-2021</t>
        </is>
      </c>
      <c r="B95" t="inlineStr">
        <is>
          <t>avverkningsanmälan</t>
        </is>
      </c>
      <c r="C95" t="inlineStr">
        <is>
          <t>Föryngringsavverkning</t>
        </is>
      </c>
      <c r="D95" s="1" t="n">
        <v>44452</v>
      </c>
      <c r="E95" s="1" t="n">
        <v>46217</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s="2" t="inlineStr"/>
    </row>
    <row r="96" ht="15" customHeight="1">
      <c r="A96" t="inlineStr">
        <is>
          <t>A 58083-2024</t>
        </is>
      </c>
      <c r="B96" t="inlineStr">
        <is>
          <t>avverkningsanmälan</t>
        </is>
      </c>
      <c r="C96" t="inlineStr">
        <is>
          <t>Föryngringsavverkning</t>
        </is>
      </c>
      <c r="D96" s="1" t="n">
        <v>45632</v>
      </c>
      <c r="E96" s="1" t="n">
        <v>46217</v>
      </c>
      <c r="F96" t="inlineStr">
        <is>
          <t>NORRBOTTENS LÄN</t>
        </is>
      </c>
      <c r="G96" t="inlineStr">
        <is>
          <t>ÖVERTORNEÅ</t>
        </is>
      </c>
      <c r="I96" t="n">
        <v>13.2</v>
      </c>
      <c r="J96" t="n">
        <v>0</v>
      </c>
      <c r="K96" t="n">
        <v>0</v>
      </c>
      <c r="L96" t="n">
        <v>0</v>
      </c>
      <c r="M96" t="n">
        <v>0</v>
      </c>
      <c r="N96" t="n">
        <v>0</v>
      </c>
      <c r="O96" t="n">
        <v>0</v>
      </c>
      <c r="P96" t="n">
        <v>0</v>
      </c>
      <c r="Q96" t="n">
        <v>0</v>
      </c>
      <c r="R96" t="n">
        <v>0</v>
      </c>
      <c r="S96" t="n">
        <v>0</v>
      </c>
      <c r="T96" t="n">
        <v>0</v>
      </c>
      <c r="U96" s="2" t="inlineStr"/>
    </row>
    <row r="97" ht="15" customHeight="1">
      <c r="A97" t="inlineStr">
        <is>
          <t>A 38127-2024</t>
        </is>
      </c>
      <c r="B97" t="inlineStr">
        <is>
          <t>avverkningsanmälan</t>
        </is>
      </c>
      <c r="C97" t="inlineStr">
        <is>
          <t>Avverkning för att bevara och utveckla /försöksver</t>
        </is>
      </c>
      <c r="D97" s="1" t="n">
        <v>45545</v>
      </c>
      <c r="E97" s="1" t="n">
        <v>46217</v>
      </c>
      <c r="F97" t="inlineStr">
        <is>
          <t>NORRBOTTENS LÄN</t>
        </is>
      </c>
      <c r="G97" t="inlineStr">
        <is>
          <t>ÖVERTORNEÅ</t>
        </is>
      </c>
      <c r="H97" t="inlineStr">
        <is>
          <t>Sveaskog</t>
        </is>
      </c>
      <c r="I97" t="n">
        <v>6.7</v>
      </c>
      <c r="J97" t="n">
        <v>0</v>
      </c>
      <c r="K97" t="n">
        <v>0</v>
      </c>
      <c r="L97" t="n">
        <v>0</v>
      </c>
      <c r="M97" t="n">
        <v>0</v>
      </c>
      <c r="N97" t="n">
        <v>0</v>
      </c>
      <c r="O97" t="n">
        <v>0</v>
      </c>
      <c r="P97" t="n">
        <v>0</v>
      </c>
      <c r="Q97" t="n">
        <v>0</v>
      </c>
      <c r="R97" t="n">
        <v>0</v>
      </c>
      <c r="S97" t="n">
        <v>0</v>
      </c>
      <c r="T97" t="n">
        <v>0</v>
      </c>
      <c r="U97" s="2" t="inlineStr"/>
    </row>
    <row r="98" ht="15" customHeight="1">
      <c r="A98" t="inlineStr">
        <is>
          <t>A 36586-2024</t>
        </is>
      </c>
      <c r="B98" t="inlineStr">
        <is>
          <t>avverkningsanmälan</t>
        </is>
      </c>
      <c r="C98" t="inlineStr">
        <is>
          <t>Avverkning för annat ändamål</t>
        </is>
      </c>
      <c r="D98" s="1" t="n">
        <v>45537</v>
      </c>
      <c r="E98" s="1" t="n">
        <v>46217</v>
      </c>
      <c r="F98" t="inlineStr">
        <is>
          <t>NORRBOTTENS LÄN</t>
        </is>
      </c>
      <c r="G98" t="inlineStr">
        <is>
          <t>ÖVERTORNEÅ</t>
        </is>
      </c>
      <c r="I98" t="n">
        <v>0.9</v>
      </c>
      <c r="J98" t="n">
        <v>0</v>
      </c>
      <c r="K98" t="n">
        <v>0</v>
      </c>
      <c r="L98" t="n">
        <v>0</v>
      </c>
      <c r="M98" t="n">
        <v>0</v>
      </c>
      <c r="N98" t="n">
        <v>0</v>
      </c>
      <c r="O98" t="n">
        <v>0</v>
      </c>
      <c r="P98" t="n">
        <v>0</v>
      </c>
      <c r="Q98" t="n">
        <v>0</v>
      </c>
      <c r="R98" t="n">
        <v>0</v>
      </c>
      <c r="S98" t="n">
        <v>0</v>
      </c>
      <c r="T98" t="n">
        <v>0</v>
      </c>
      <c r="U98" s="2" t="inlineStr"/>
    </row>
    <row r="99" ht="15" customHeight="1">
      <c r="A99" t="inlineStr">
        <is>
          <t>A 55556-2024</t>
        </is>
      </c>
      <c r="B99" t="inlineStr">
        <is>
          <t>avverkningsanmälan</t>
        </is>
      </c>
      <c r="C99" t="inlineStr">
        <is>
          <t>Föryngringsavverkning</t>
        </is>
      </c>
      <c r="D99" s="1" t="n">
        <v>45622</v>
      </c>
      <c r="E99" s="1" t="n">
        <v>46217</v>
      </c>
      <c r="F99" t="inlineStr">
        <is>
          <t>NORRBOTTENS LÄN</t>
        </is>
      </c>
      <c r="G99" t="inlineStr">
        <is>
          <t>ÖVERTORNEÅ</t>
        </is>
      </c>
      <c r="I99" t="n">
        <v>3.9</v>
      </c>
      <c r="J99" t="n">
        <v>0</v>
      </c>
      <c r="K99" t="n">
        <v>0</v>
      </c>
      <c r="L99" t="n">
        <v>0</v>
      </c>
      <c r="M99" t="n">
        <v>0</v>
      </c>
      <c r="N99" t="n">
        <v>0</v>
      </c>
      <c r="O99" t="n">
        <v>0</v>
      </c>
      <c r="P99" t="n">
        <v>0</v>
      </c>
      <c r="Q99" t="n">
        <v>0</v>
      </c>
      <c r="R99" t="n">
        <v>0</v>
      </c>
      <c r="S99" t="n">
        <v>0</v>
      </c>
      <c r="T99" t="n">
        <v>0</v>
      </c>
      <c r="U99" s="2" t="inlineStr"/>
    </row>
    <row r="100" ht="15" customHeight="1">
      <c r="A100" t="inlineStr">
        <is>
          <t>A 55559-2024</t>
        </is>
      </c>
      <c r="B100" t="inlineStr">
        <is>
          <t>avverkningsanmälan</t>
        </is>
      </c>
      <c r="C100" t="inlineStr">
        <is>
          <t>Föryngringsavverkning</t>
        </is>
      </c>
      <c r="D100" s="1" t="n">
        <v>45622</v>
      </c>
      <c r="E100" s="1" t="n">
        <v>46217</v>
      </c>
      <c r="F100" t="inlineStr">
        <is>
          <t>NORRBOTTENS LÄN</t>
        </is>
      </c>
      <c r="G100" t="inlineStr">
        <is>
          <t>ÖVERTORNEÅ</t>
        </is>
      </c>
      <c r="I100" t="n">
        <v>2.7</v>
      </c>
      <c r="J100" t="n">
        <v>0</v>
      </c>
      <c r="K100" t="n">
        <v>0</v>
      </c>
      <c r="L100" t="n">
        <v>0</v>
      </c>
      <c r="M100" t="n">
        <v>0</v>
      </c>
      <c r="N100" t="n">
        <v>0</v>
      </c>
      <c r="O100" t="n">
        <v>0</v>
      </c>
      <c r="P100" t="n">
        <v>0</v>
      </c>
      <c r="Q100" t="n">
        <v>0</v>
      </c>
      <c r="R100" t="n">
        <v>0</v>
      </c>
      <c r="S100" t="n">
        <v>0</v>
      </c>
      <c r="T100" t="n">
        <v>0</v>
      </c>
      <c r="U100" s="2" t="inlineStr"/>
    </row>
    <row r="101" ht="15" customHeight="1">
      <c r="A101" t="inlineStr">
        <is>
          <t>A 2433-2025</t>
        </is>
      </c>
      <c r="B101" t="inlineStr">
        <is>
          <t>avverkningsanmälan</t>
        </is>
      </c>
      <c r="C101" t="inlineStr">
        <is>
          <t>Avverkning för annat ändamål</t>
        </is>
      </c>
      <c r="D101" s="1" t="n">
        <v>45673</v>
      </c>
      <c r="E101" s="1" t="n">
        <v>46217</v>
      </c>
      <c r="F101" t="inlineStr">
        <is>
          <t>NORRBOTTENS LÄN</t>
        </is>
      </c>
      <c r="G101" t="inlineStr">
        <is>
          <t>ÖVERTORNEÅ</t>
        </is>
      </c>
      <c r="I101" t="n">
        <v>9.6</v>
      </c>
      <c r="J101" t="n">
        <v>0</v>
      </c>
      <c r="K101" t="n">
        <v>0</v>
      </c>
      <c r="L101" t="n">
        <v>0</v>
      </c>
      <c r="M101" t="n">
        <v>0</v>
      </c>
      <c r="N101" t="n">
        <v>0</v>
      </c>
      <c r="O101" t="n">
        <v>0</v>
      </c>
      <c r="P101" t="n">
        <v>0</v>
      </c>
      <c r="Q101" t="n">
        <v>0</v>
      </c>
      <c r="R101" t="n">
        <v>0</v>
      </c>
      <c r="S101" t="n">
        <v>0</v>
      </c>
      <c r="T101" t="n">
        <v>0</v>
      </c>
      <c r="U101" s="2" t="inlineStr"/>
    </row>
    <row r="102" ht="15" customHeight="1">
      <c r="A102" t="inlineStr">
        <is>
          <t>A 4514-2022</t>
        </is>
      </c>
      <c r="B102" t="inlineStr">
        <is>
          <t>avverkningsanmälan</t>
        </is>
      </c>
      <c r="C102" t="inlineStr">
        <is>
          <t>Avverkning för annat ändamål</t>
        </is>
      </c>
      <c r="D102" s="1" t="n">
        <v>44589</v>
      </c>
      <c r="E102" s="1" t="n">
        <v>46217</v>
      </c>
      <c r="F102" t="inlineStr">
        <is>
          <t>NORRBOTTENS LÄN</t>
        </is>
      </c>
      <c r="G102" t="inlineStr">
        <is>
          <t>ÖVERTORNEÅ</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855-2024</t>
        </is>
      </c>
      <c r="B103" t="inlineStr">
        <is>
          <t>avverkningsanmälan</t>
        </is>
      </c>
      <c r="C103" t="inlineStr">
        <is>
          <t>Föryngringsavverkning</t>
        </is>
      </c>
      <c r="D103" s="1" t="n">
        <v>45300</v>
      </c>
      <c r="E103" s="1" t="n">
        <v>46217</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41030-2024</t>
        </is>
      </c>
      <c r="B104" t="inlineStr">
        <is>
          <t>avverkningsanmälan</t>
        </is>
      </c>
      <c r="C104" t="inlineStr">
        <is>
          <t>Föryngringsavverkning</t>
        </is>
      </c>
      <c r="D104" s="1" t="n">
        <v>45559</v>
      </c>
      <c r="E104" s="1" t="n">
        <v>46217</v>
      </c>
      <c r="F104" t="inlineStr">
        <is>
          <t>NORRBOTTENS LÄN</t>
        </is>
      </c>
      <c r="G104" t="inlineStr">
        <is>
          <t>ÖVERTORNEÅ</t>
        </is>
      </c>
      <c r="I104" t="n">
        <v>0.1</v>
      </c>
      <c r="J104" t="n">
        <v>0</v>
      </c>
      <c r="K104" t="n">
        <v>0</v>
      </c>
      <c r="L104" t="n">
        <v>0</v>
      </c>
      <c r="M104" t="n">
        <v>0</v>
      </c>
      <c r="N104" t="n">
        <v>0</v>
      </c>
      <c r="O104" t="n">
        <v>0</v>
      </c>
      <c r="P104" t="n">
        <v>0</v>
      </c>
      <c r="Q104" t="n">
        <v>0</v>
      </c>
      <c r="R104" t="n">
        <v>0</v>
      </c>
      <c r="S104" t="n">
        <v>0</v>
      </c>
      <c r="T104" t="n">
        <v>0</v>
      </c>
      <c r="U104" s="2" t="inlineStr"/>
    </row>
    <row r="105" ht="15" customHeight="1">
      <c r="A105" t="inlineStr">
        <is>
          <t>A 12005-2022</t>
        </is>
      </c>
      <c r="B105" t="inlineStr">
        <is>
          <t>avverkningsanmälan</t>
        </is>
      </c>
      <c r="C105" t="inlineStr">
        <is>
          <t>Föryngringsavverkning</t>
        </is>
      </c>
      <c r="D105" s="1" t="n">
        <v>44635</v>
      </c>
      <c r="E105" s="1" t="n">
        <v>46217</v>
      </c>
      <c r="F105" t="inlineStr">
        <is>
          <t>NORRBOTTENS LÄN</t>
        </is>
      </c>
      <c r="G105" t="inlineStr">
        <is>
          <t>ÖVERTORNEÅ</t>
        </is>
      </c>
      <c r="I105" t="n">
        <v>6</v>
      </c>
      <c r="J105" t="n">
        <v>0</v>
      </c>
      <c r="K105" t="n">
        <v>0</v>
      </c>
      <c r="L105" t="n">
        <v>0</v>
      </c>
      <c r="M105" t="n">
        <v>0</v>
      </c>
      <c r="N105" t="n">
        <v>0</v>
      </c>
      <c r="O105" t="n">
        <v>0</v>
      </c>
      <c r="P105" t="n">
        <v>0</v>
      </c>
      <c r="Q105" t="n">
        <v>0</v>
      </c>
      <c r="R105" t="n">
        <v>0</v>
      </c>
      <c r="S105" t="n">
        <v>0</v>
      </c>
      <c r="T105" t="n">
        <v>0</v>
      </c>
      <c r="U105" s="2" t="inlineStr"/>
    </row>
    <row r="106" ht="15" customHeight="1">
      <c r="A106" t="inlineStr">
        <is>
          <t>A 41918-2024</t>
        </is>
      </c>
      <c r="B106" t="inlineStr">
        <is>
          <t>avverkningsanmälan</t>
        </is>
      </c>
      <c r="C106" t="inlineStr">
        <is>
          <t>Föryngringsavverkning</t>
        </is>
      </c>
      <c r="D106" s="1" t="n">
        <v>45561</v>
      </c>
      <c r="E106" s="1" t="n">
        <v>46217</v>
      </c>
      <c r="F106" t="inlineStr">
        <is>
          <t>NORRBOTTENS LÄN</t>
        </is>
      </c>
      <c r="G106" t="inlineStr">
        <is>
          <t>ÖVERTORNEÅ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14298-2023</t>
        </is>
      </c>
      <c r="B107" t="inlineStr">
        <is>
          <t>avverkningsanmälan</t>
        </is>
      </c>
      <c r="C107" t="inlineStr">
        <is>
          <t>Föryngringsavverkning</t>
        </is>
      </c>
      <c r="D107" s="1" t="n">
        <v>45011</v>
      </c>
      <c r="E107" s="1" t="n">
        <v>46217</v>
      </c>
      <c r="F107" t="inlineStr">
        <is>
          <t>NORRBOTTENS LÄN</t>
        </is>
      </c>
      <c r="G107" t="inlineStr">
        <is>
          <t>ÖVERTORNEÅ</t>
        </is>
      </c>
      <c r="I107" t="n">
        <v>4</v>
      </c>
      <c r="J107" t="n">
        <v>0</v>
      </c>
      <c r="K107" t="n">
        <v>0</v>
      </c>
      <c r="L107" t="n">
        <v>0</v>
      </c>
      <c r="M107" t="n">
        <v>0</v>
      </c>
      <c r="N107" t="n">
        <v>0</v>
      </c>
      <c r="O107" t="n">
        <v>0</v>
      </c>
      <c r="P107" t="n">
        <v>0</v>
      </c>
      <c r="Q107" t="n">
        <v>0</v>
      </c>
      <c r="R107" t="n">
        <v>0</v>
      </c>
      <c r="S107" t="n">
        <v>0</v>
      </c>
      <c r="T107" t="n">
        <v>0</v>
      </c>
      <c r="U107" s="2" t="inlineStr"/>
    </row>
    <row r="108" ht="15" customHeight="1">
      <c r="A108" t="inlineStr">
        <is>
          <t>A 32738-2024</t>
        </is>
      </c>
      <c r="B108" t="inlineStr">
        <is>
          <t>avverkningsanmälan</t>
        </is>
      </c>
      <c r="C108" t="inlineStr">
        <is>
          <t>Föryngringsavverkning</t>
        </is>
      </c>
      <c r="D108" s="1" t="n">
        <v>45516</v>
      </c>
      <c r="E108" s="1" t="n">
        <v>46217</v>
      </c>
      <c r="F108" t="inlineStr">
        <is>
          <t>NORRBOTTENS LÄN</t>
        </is>
      </c>
      <c r="G108" t="inlineStr">
        <is>
          <t>ÖVERTORNEÅ</t>
        </is>
      </c>
      <c r="I108" t="n">
        <v>5.1</v>
      </c>
      <c r="J108" t="n">
        <v>0</v>
      </c>
      <c r="K108" t="n">
        <v>0</v>
      </c>
      <c r="L108" t="n">
        <v>0</v>
      </c>
      <c r="M108" t="n">
        <v>0</v>
      </c>
      <c r="N108" t="n">
        <v>0</v>
      </c>
      <c r="O108" t="n">
        <v>0</v>
      </c>
      <c r="P108" t="n">
        <v>0</v>
      </c>
      <c r="Q108" t="n">
        <v>0</v>
      </c>
      <c r="R108" t="n">
        <v>0</v>
      </c>
      <c r="S108" t="n">
        <v>0</v>
      </c>
      <c r="T108" t="n">
        <v>0</v>
      </c>
      <c r="U108" s="2" t="inlineStr"/>
    </row>
    <row r="109" ht="15" customHeight="1">
      <c r="A109" t="inlineStr">
        <is>
          <t>A 8514-2024</t>
        </is>
      </c>
      <c r="B109" t="inlineStr">
        <is>
          <t>avverkningsanmälan</t>
        </is>
      </c>
      <c r="C109" t="inlineStr">
        <is>
          <t>Föryngringsavverkning</t>
        </is>
      </c>
      <c r="D109" s="1" t="n">
        <v>45351</v>
      </c>
      <c r="E109" s="1" t="n">
        <v>46217</v>
      </c>
      <c r="F109" t="inlineStr">
        <is>
          <t>NORRBOTTENS LÄN</t>
        </is>
      </c>
      <c r="G109" t="inlineStr">
        <is>
          <t>ÖVERTORNEÅ</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62390-2022</t>
        </is>
      </c>
      <c r="B110" t="inlineStr">
        <is>
          <t>avverkningsanmälan</t>
        </is>
      </c>
      <c r="C110" t="inlineStr">
        <is>
          <t>Föryngringsavverkning</t>
        </is>
      </c>
      <c r="D110" s="1" t="n">
        <v>44923</v>
      </c>
      <c r="E110" s="1" t="n">
        <v>46217</v>
      </c>
      <c r="F110" t="inlineStr">
        <is>
          <t>NORRBOTTENS LÄN</t>
        </is>
      </c>
      <c r="G110" t="inlineStr">
        <is>
          <t>ÖVERTORNEÅ</t>
        </is>
      </c>
      <c r="I110" t="n">
        <v>4.2</v>
      </c>
      <c r="J110" t="n">
        <v>0</v>
      </c>
      <c r="K110" t="n">
        <v>0</v>
      </c>
      <c r="L110" t="n">
        <v>0</v>
      </c>
      <c r="M110" t="n">
        <v>0</v>
      </c>
      <c r="N110" t="n">
        <v>0</v>
      </c>
      <c r="O110" t="n">
        <v>0</v>
      </c>
      <c r="P110" t="n">
        <v>0</v>
      </c>
      <c r="Q110" t="n">
        <v>0</v>
      </c>
      <c r="R110" t="n">
        <v>0</v>
      </c>
      <c r="S110" t="n">
        <v>0</v>
      </c>
      <c r="T110" t="n">
        <v>0</v>
      </c>
      <c r="U110" s="2" t="inlineStr"/>
    </row>
    <row r="111" ht="15" customHeight="1">
      <c r="A111" t="inlineStr">
        <is>
          <t>A 40589-2024</t>
        </is>
      </c>
      <c r="B111" t="inlineStr">
        <is>
          <t>avverkningsanmälan</t>
        </is>
      </c>
      <c r="C111" t="inlineStr">
        <is>
          <t>Föryngringsavverkning</t>
        </is>
      </c>
      <c r="D111" s="1" t="n">
        <v>45555</v>
      </c>
      <c r="E111" s="1" t="n">
        <v>46217</v>
      </c>
      <c r="F111" t="inlineStr">
        <is>
          <t>NORRBOTTENS LÄN</t>
        </is>
      </c>
      <c r="G111" t="inlineStr">
        <is>
          <t>ÖVERTORNEÅ</t>
        </is>
      </c>
      <c r="I111" t="n">
        <v>4.9</v>
      </c>
      <c r="J111" t="n">
        <v>0</v>
      </c>
      <c r="K111" t="n">
        <v>0</v>
      </c>
      <c r="L111" t="n">
        <v>0</v>
      </c>
      <c r="M111" t="n">
        <v>0</v>
      </c>
      <c r="N111" t="n">
        <v>0</v>
      </c>
      <c r="O111" t="n">
        <v>0</v>
      </c>
      <c r="P111" t="n">
        <v>0</v>
      </c>
      <c r="Q111" t="n">
        <v>0</v>
      </c>
      <c r="R111" t="n">
        <v>0</v>
      </c>
      <c r="S111" t="n">
        <v>0</v>
      </c>
      <c r="T111" t="n">
        <v>0</v>
      </c>
      <c r="U111" s="2" t="inlineStr"/>
    </row>
    <row r="112" ht="15" customHeight="1">
      <c r="A112" t="inlineStr">
        <is>
          <t>A 60385-2022</t>
        </is>
      </c>
      <c r="B112" t="inlineStr">
        <is>
          <t>avverkningsanmälan</t>
        </is>
      </c>
      <c r="C112" t="inlineStr">
        <is>
          <t>Föryngringsavverkning</t>
        </is>
      </c>
      <c r="D112" s="1" t="n">
        <v>44910</v>
      </c>
      <c r="E112" s="1" t="n">
        <v>46217</v>
      </c>
      <c r="F112" t="inlineStr">
        <is>
          <t>NORRBOTTENS LÄN</t>
        </is>
      </c>
      <c r="G112" t="inlineStr">
        <is>
          <t>ÖVERTORNEÅ</t>
        </is>
      </c>
      <c r="I112" t="n">
        <v>17.2</v>
      </c>
      <c r="J112" t="n">
        <v>0</v>
      </c>
      <c r="K112" t="n">
        <v>0</v>
      </c>
      <c r="L112" t="n">
        <v>0</v>
      </c>
      <c r="M112" t="n">
        <v>0</v>
      </c>
      <c r="N112" t="n">
        <v>0</v>
      </c>
      <c r="O112" t="n">
        <v>0</v>
      </c>
      <c r="P112" t="n">
        <v>0</v>
      </c>
      <c r="Q112" t="n">
        <v>0</v>
      </c>
      <c r="R112" t="n">
        <v>0</v>
      </c>
      <c r="S112" t="n">
        <v>0</v>
      </c>
      <c r="T112" t="n">
        <v>0</v>
      </c>
      <c r="U112" s="2" t="inlineStr"/>
    </row>
    <row r="113" ht="15" customHeight="1">
      <c r="A113" t="inlineStr">
        <is>
          <t>A 47019-2024</t>
        </is>
      </c>
      <c r="B113" t="inlineStr">
        <is>
          <t>avverkningsanmälan</t>
        </is>
      </c>
      <c r="C113" t="inlineStr">
        <is>
          <t>Föryngringsavverkning</t>
        </is>
      </c>
      <c r="D113" s="1" t="n">
        <v>45586</v>
      </c>
      <c r="E113" s="1" t="n">
        <v>46217</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40274-2024</t>
        </is>
      </c>
      <c r="B114" t="inlineStr">
        <is>
          <t>avverkningsanmälan</t>
        </is>
      </c>
      <c r="C114" t="inlineStr">
        <is>
          <t>Föryngringsavverkning</t>
        </is>
      </c>
      <c r="D114" s="1" t="n">
        <v>45554</v>
      </c>
      <c r="E114" s="1" t="n">
        <v>46217</v>
      </c>
      <c r="F114" t="inlineStr">
        <is>
          <t>NORRBOTTENS LÄN</t>
        </is>
      </c>
      <c r="G114" t="inlineStr">
        <is>
          <t>ÖVERTORNEÅ</t>
        </is>
      </c>
      <c r="I114" t="n">
        <v>5.4</v>
      </c>
      <c r="J114" t="n">
        <v>0</v>
      </c>
      <c r="K114" t="n">
        <v>0</v>
      </c>
      <c r="L114" t="n">
        <v>0</v>
      </c>
      <c r="M114" t="n">
        <v>0</v>
      </c>
      <c r="N114" t="n">
        <v>0</v>
      </c>
      <c r="O114" t="n">
        <v>0</v>
      </c>
      <c r="P114" t="n">
        <v>0</v>
      </c>
      <c r="Q114" t="n">
        <v>0</v>
      </c>
      <c r="R114" t="n">
        <v>0</v>
      </c>
      <c r="S114" t="n">
        <v>0</v>
      </c>
      <c r="T114" t="n">
        <v>0</v>
      </c>
      <c r="U114" s="2" t="inlineStr"/>
    </row>
    <row r="115" ht="15" customHeight="1">
      <c r="A115" t="inlineStr">
        <is>
          <t>A 34992-2023</t>
        </is>
      </c>
      <c r="B115" t="inlineStr">
        <is>
          <t>avverkningsanmälan</t>
        </is>
      </c>
      <c r="C115" t="inlineStr">
        <is>
          <t>Föryngringsavverkning</t>
        </is>
      </c>
      <c r="D115" s="1" t="n">
        <v>45142</v>
      </c>
      <c r="E115" s="1" t="n">
        <v>46217</v>
      </c>
      <c r="F115" t="inlineStr">
        <is>
          <t>NORRBOTTENS LÄN</t>
        </is>
      </c>
      <c r="G115" t="inlineStr">
        <is>
          <t>ÖVERTORNEÅ</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43487-2021</t>
        </is>
      </c>
      <c r="B116" t="inlineStr">
        <is>
          <t>avverkningsanmälan</t>
        </is>
      </c>
      <c r="C116" t="inlineStr">
        <is>
          <t>Föryngringsavverkning</t>
        </is>
      </c>
      <c r="D116" s="1" t="n">
        <v>44432</v>
      </c>
      <c r="E116" s="1" t="n">
        <v>46217</v>
      </c>
      <c r="F116" t="inlineStr">
        <is>
          <t>NORRBOTTENS LÄN</t>
        </is>
      </c>
      <c r="G116" t="inlineStr">
        <is>
          <t>ÖVERTORNEÅ</t>
        </is>
      </c>
      <c r="I116" t="n">
        <v>22.5</v>
      </c>
      <c r="J116" t="n">
        <v>0</v>
      </c>
      <c r="K116" t="n">
        <v>0</v>
      </c>
      <c r="L116" t="n">
        <v>0</v>
      </c>
      <c r="M116" t="n">
        <v>0</v>
      </c>
      <c r="N116" t="n">
        <v>0</v>
      </c>
      <c r="O116" t="n">
        <v>0</v>
      </c>
      <c r="P116" t="n">
        <v>0</v>
      </c>
      <c r="Q116" t="n">
        <v>0</v>
      </c>
      <c r="R116" t="n">
        <v>0</v>
      </c>
      <c r="S116" t="n">
        <v>0</v>
      </c>
      <c r="T116" t="n">
        <v>0</v>
      </c>
      <c r="U116" s="2" t="inlineStr"/>
    </row>
    <row r="117" ht="15" customHeight="1">
      <c r="A117" t="inlineStr">
        <is>
          <t>A 24656-2024</t>
        </is>
      </c>
      <c r="B117" t="inlineStr">
        <is>
          <t>avverkningsanmälan</t>
        </is>
      </c>
      <c r="C117" t="inlineStr">
        <is>
          <t>Föryngringsavverkning</t>
        </is>
      </c>
      <c r="D117" s="1" t="n">
        <v>45460</v>
      </c>
      <c r="E117" s="1" t="n">
        <v>46217</v>
      </c>
      <c r="F117" t="inlineStr">
        <is>
          <t>NORRBOTTENS LÄN</t>
        </is>
      </c>
      <c r="G117" t="inlineStr">
        <is>
          <t>ÖVERTORNEÅ</t>
        </is>
      </c>
      <c r="H117" t="inlineStr">
        <is>
          <t>Sveaskog</t>
        </is>
      </c>
      <c r="I117" t="n">
        <v>16.9</v>
      </c>
      <c r="J117" t="n">
        <v>0</v>
      </c>
      <c r="K117" t="n">
        <v>0</v>
      </c>
      <c r="L117" t="n">
        <v>0</v>
      </c>
      <c r="M117" t="n">
        <v>0</v>
      </c>
      <c r="N117" t="n">
        <v>0</v>
      </c>
      <c r="O117" t="n">
        <v>0</v>
      </c>
      <c r="P117" t="n">
        <v>0</v>
      </c>
      <c r="Q117" t="n">
        <v>0</v>
      </c>
      <c r="R117" t="n">
        <v>0</v>
      </c>
      <c r="S117" t="n">
        <v>0</v>
      </c>
      <c r="T117" t="n">
        <v>0</v>
      </c>
      <c r="U117" s="2" t="inlineStr"/>
    </row>
    <row r="118" ht="15" customHeight="1">
      <c r="A118" t="inlineStr">
        <is>
          <t>A 14826-2024</t>
        </is>
      </c>
      <c r="B118" t="inlineStr">
        <is>
          <t>avverkningsanmälan</t>
        </is>
      </c>
      <c r="C118" t="inlineStr">
        <is>
          <t>Föryngringsavverkning</t>
        </is>
      </c>
      <c r="D118" s="1" t="n">
        <v>45398</v>
      </c>
      <c r="E118" s="1" t="n">
        <v>46217</v>
      </c>
      <c r="F118" t="inlineStr">
        <is>
          <t>NORRBOTTENS LÄN</t>
        </is>
      </c>
      <c r="G118" t="inlineStr">
        <is>
          <t>ÖVERTORNEÅ</t>
        </is>
      </c>
      <c r="H118" t="inlineStr">
        <is>
          <t>Sveaskog</t>
        </is>
      </c>
      <c r="I118" t="n">
        <v>32.7</v>
      </c>
      <c r="J118" t="n">
        <v>0</v>
      </c>
      <c r="K118" t="n">
        <v>0</v>
      </c>
      <c r="L118" t="n">
        <v>0</v>
      </c>
      <c r="M118" t="n">
        <v>0</v>
      </c>
      <c r="N118" t="n">
        <v>0</v>
      </c>
      <c r="O118" t="n">
        <v>0</v>
      </c>
      <c r="P118" t="n">
        <v>0</v>
      </c>
      <c r="Q118" t="n">
        <v>0</v>
      </c>
      <c r="R118" t="n">
        <v>0</v>
      </c>
      <c r="S118" t="n">
        <v>0</v>
      </c>
      <c r="T118" t="n">
        <v>0</v>
      </c>
      <c r="U118" s="2" t="inlineStr"/>
    </row>
    <row r="119" ht="15" customHeight="1">
      <c r="A119" t="inlineStr">
        <is>
          <t>A 36608-2025</t>
        </is>
      </c>
      <c r="B119" t="inlineStr">
        <is>
          <t>avverkningsanmälan</t>
        </is>
      </c>
      <c r="C119" t="inlineStr">
        <is>
          <t>Föryngringsavverkning</t>
        </is>
      </c>
      <c r="D119" s="1" t="n">
        <v>45870</v>
      </c>
      <c r="E119" s="1" t="n">
        <v>46217</v>
      </c>
      <c r="F119" t="inlineStr">
        <is>
          <t>NORRBOTTENS LÄN</t>
        </is>
      </c>
      <c r="G119" t="inlineStr">
        <is>
          <t>ÖVERTORNEÅ</t>
        </is>
      </c>
      <c r="H119" t="inlineStr">
        <is>
          <t>Sveaskog</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50807-2023</t>
        </is>
      </c>
      <c r="B120" t="inlineStr">
        <is>
          <t>avverkningsanmälan</t>
        </is>
      </c>
      <c r="C120" t="inlineStr">
        <is>
          <t>Avverkning för annat ändamål</t>
        </is>
      </c>
      <c r="D120" s="1" t="n">
        <v>45217</v>
      </c>
      <c r="E120" s="1" t="n">
        <v>46217</v>
      </c>
      <c r="F120" t="inlineStr">
        <is>
          <t>NORRBOTTENS LÄN</t>
        </is>
      </c>
      <c r="G120" t="inlineStr">
        <is>
          <t>ÖVERTORNEÅ</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31774-2022</t>
        </is>
      </c>
      <c r="B121" t="inlineStr">
        <is>
          <t>avverkningsanmälan</t>
        </is>
      </c>
      <c r="C121" t="inlineStr">
        <is>
          <t>Föryngringsavverkning</t>
        </is>
      </c>
      <c r="D121" s="1" t="n">
        <v>44776</v>
      </c>
      <c r="E121" s="1" t="n">
        <v>46217</v>
      </c>
      <c r="F121" t="inlineStr">
        <is>
          <t>NORRBOTTENS LÄN</t>
        </is>
      </c>
      <c r="G121" t="inlineStr">
        <is>
          <t>ÖVERTORNEÅ</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46024-2021</t>
        </is>
      </c>
      <c r="B122" t="inlineStr">
        <is>
          <t>avverkningsanmälan</t>
        </is>
      </c>
      <c r="C122" t="inlineStr">
        <is>
          <t>Föryngringsavverkning</t>
        </is>
      </c>
      <c r="D122" s="1" t="n">
        <v>44441</v>
      </c>
      <c r="E122" s="1" t="n">
        <v>46217</v>
      </c>
      <c r="F122" t="inlineStr">
        <is>
          <t>NORRBOTTENS LÄN</t>
        </is>
      </c>
      <c r="G122" t="inlineStr">
        <is>
          <t>ÖVERTORNEÅ</t>
        </is>
      </c>
      <c r="I122" t="n">
        <v>2.7</v>
      </c>
      <c r="J122" t="n">
        <v>0</v>
      </c>
      <c r="K122" t="n">
        <v>0</v>
      </c>
      <c r="L122" t="n">
        <v>0</v>
      </c>
      <c r="M122" t="n">
        <v>0</v>
      </c>
      <c r="N122" t="n">
        <v>0</v>
      </c>
      <c r="O122" t="n">
        <v>0</v>
      </c>
      <c r="P122" t="n">
        <v>0</v>
      </c>
      <c r="Q122" t="n">
        <v>0</v>
      </c>
      <c r="R122" t="n">
        <v>0</v>
      </c>
      <c r="S122" t="n">
        <v>0</v>
      </c>
      <c r="T122" t="n">
        <v>0</v>
      </c>
      <c r="U122" s="2" t="inlineStr"/>
    </row>
    <row r="123" ht="15" customHeight="1">
      <c r="A123" t="inlineStr">
        <is>
          <t>A 36057-2023</t>
        </is>
      </c>
      <c r="B123" t="inlineStr">
        <is>
          <t>avverkningsanmälan</t>
        </is>
      </c>
      <c r="C123" t="inlineStr">
        <is>
          <t>Föryngringsavverkning</t>
        </is>
      </c>
      <c r="D123" s="1" t="n">
        <v>45149</v>
      </c>
      <c r="E123" s="1" t="n">
        <v>46217</v>
      </c>
      <c r="F123" t="inlineStr">
        <is>
          <t>NORRBOTTENS LÄN</t>
        </is>
      </c>
      <c r="G123" t="inlineStr">
        <is>
          <t>ÖVERTORNEÅ</t>
        </is>
      </c>
      <c r="I123" t="n">
        <v>3.7</v>
      </c>
      <c r="J123" t="n">
        <v>0</v>
      </c>
      <c r="K123" t="n">
        <v>0</v>
      </c>
      <c r="L123" t="n">
        <v>0</v>
      </c>
      <c r="M123" t="n">
        <v>0</v>
      </c>
      <c r="N123" t="n">
        <v>0</v>
      </c>
      <c r="O123" t="n">
        <v>0</v>
      </c>
      <c r="P123" t="n">
        <v>0</v>
      </c>
      <c r="Q123" t="n">
        <v>0</v>
      </c>
      <c r="R123" t="n">
        <v>0</v>
      </c>
      <c r="S123" t="n">
        <v>0</v>
      </c>
      <c r="T123" t="n">
        <v>0</v>
      </c>
      <c r="U123" s="2" t="inlineStr"/>
    </row>
    <row r="124" ht="15" customHeight="1">
      <c r="A124" t="inlineStr">
        <is>
          <t>A 25509-2026</t>
        </is>
      </c>
      <c r="B124" t="inlineStr">
        <is>
          <t>avverkningsanmälan</t>
        </is>
      </c>
      <c r="C124" t="inlineStr">
        <is>
          <t>Föryngringsavverkning</t>
        </is>
      </c>
      <c r="D124" s="1" t="n">
        <v>46177</v>
      </c>
      <c r="E124" s="1" t="n">
        <v>46217</v>
      </c>
      <c r="F124" t="inlineStr">
        <is>
          <t>NORRBOTTENS LÄN</t>
        </is>
      </c>
      <c r="G124" t="inlineStr">
        <is>
          <t>ÖVERTORNEÅ</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37361-2025</t>
        </is>
      </c>
      <c r="B125" t="inlineStr">
        <is>
          <t>avverkningsanmälan</t>
        </is>
      </c>
      <c r="C125" t="inlineStr">
        <is>
          <t>Föryngringsavverkning</t>
        </is>
      </c>
      <c r="D125" s="1" t="n">
        <v>45877</v>
      </c>
      <c r="E125" s="1" t="n">
        <v>46217</v>
      </c>
      <c r="F125" t="inlineStr">
        <is>
          <t>NORRBOTTENS LÄN</t>
        </is>
      </c>
      <c r="G125" t="inlineStr">
        <is>
          <t>ÖVERTORNEÅ</t>
        </is>
      </c>
      <c r="I125" t="n">
        <v>4.2</v>
      </c>
      <c r="J125" t="n">
        <v>0</v>
      </c>
      <c r="K125" t="n">
        <v>0</v>
      </c>
      <c r="L125" t="n">
        <v>0</v>
      </c>
      <c r="M125" t="n">
        <v>0</v>
      </c>
      <c r="N125" t="n">
        <v>0</v>
      </c>
      <c r="O125" t="n">
        <v>0</v>
      </c>
      <c r="P125" t="n">
        <v>0</v>
      </c>
      <c r="Q125" t="n">
        <v>0</v>
      </c>
      <c r="R125" t="n">
        <v>0</v>
      </c>
      <c r="S125" t="n">
        <v>0</v>
      </c>
      <c r="T125" t="n">
        <v>0</v>
      </c>
      <c r="U125" s="2" t="inlineStr"/>
    </row>
    <row r="126" ht="15" customHeight="1">
      <c r="A126" t="inlineStr">
        <is>
          <t>A 20173-2025</t>
        </is>
      </c>
      <c r="B126" t="inlineStr">
        <is>
          <t>avverkningsanmälan</t>
        </is>
      </c>
      <c r="C126" t="inlineStr">
        <is>
          <t>Avverkning för annat ändamål</t>
        </is>
      </c>
      <c r="D126" s="1" t="n">
        <v>45772</v>
      </c>
      <c r="E126" s="1" t="n">
        <v>46217</v>
      </c>
      <c r="F126" t="inlineStr">
        <is>
          <t>NORRBOTTENS LÄN</t>
        </is>
      </c>
      <c r="G126" t="inlineStr">
        <is>
          <t>ÖVERTORNEÅ</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8476-2024</t>
        </is>
      </c>
      <c r="B127" t="inlineStr">
        <is>
          <t>avverkningsanmälan</t>
        </is>
      </c>
      <c r="C127" t="inlineStr">
        <is>
          <t>Föryngringsavverkning</t>
        </is>
      </c>
      <c r="D127" s="1" t="n">
        <v>45351</v>
      </c>
      <c r="E127" s="1" t="n">
        <v>46217</v>
      </c>
      <c r="F127" t="inlineStr">
        <is>
          <t>NORRBOTTENS LÄN</t>
        </is>
      </c>
      <c r="G127" t="inlineStr">
        <is>
          <t>ÖVERTORNEÅ</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25681-2026</t>
        </is>
      </c>
      <c r="B128" t="inlineStr">
        <is>
          <t>avverkningsanmälan</t>
        </is>
      </c>
      <c r="C128" t="inlineStr">
        <is>
          <t>Föryngringsavverkning</t>
        </is>
      </c>
      <c r="D128" s="1" t="n">
        <v>46178</v>
      </c>
      <c r="E128" s="1" t="n">
        <v>46217</v>
      </c>
      <c r="F128" t="inlineStr">
        <is>
          <t>NORRBOTTENS LÄN</t>
        </is>
      </c>
      <c r="G128" t="inlineStr">
        <is>
          <t>ÖVERTORNEÅ</t>
        </is>
      </c>
      <c r="I128" t="n">
        <v>3.2</v>
      </c>
      <c r="J128" t="n">
        <v>0</v>
      </c>
      <c r="K128" t="n">
        <v>0</v>
      </c>
      <c r="L128" t="n">
        <v>0</v>
      </c>
      <c r="M128" t="n">
        <v>0</v>
      </c>
      <c r="N128" t="n">
        <v>0</v>
      </c>
      <c r="O128" t="n">
        <v>0</v>
      </c>
      <c r="P128" t="n">
        <v>0</v>
      </c>
      <c r="Q128" t="n">
        <v>0</v>
      </c>
      <c r="R128" t="n">
        <v>0</v>
      </c>
      <c r="S128" t="n">
        <v>0</v>
      </c>
      <c r="T128" t="n">
        <v>0</v>
      </c>
      <c r="U128" s="2" t="inlineStr"/>
    </row>
    <row r="129" ht="15" customHeight="1">
      <c r="A129" t="inlineStr">
        <is>
          <t>A 60515-2022</t>
        </is>
      </c>
      <c r="B129" t="inlineStr">
        <is>
          <t>avverkningsanmälan</t>
        </is>
      </c>
      <c r="C129" t="inlineStr">
        <is>
          <t>Föryngringsavverkning</t>
        </is>
      </c>
      <c r="D129" s="1" t="n">
        <v>44911</v>
      </c>
      <c r="E129" s="1" t="n">
        <v>46217</v>
      </c>
      <c r="F129" t="inlineStr">
        <is>
          <t>NORRBOTTENS LÄN</t>
        </is>
      </c>
      <c r="G129" t="inlineStr">
        <is>
          <t>ÖVERTORNEÅ</t>
        </is>
      </c>
      <c r="I129" t="n">
        <v>7.1</v>
      </c>
      <c r="J129" t="n">
        <v>0</v>
      </c>
      <c r="K129" t="n">
        <v>0</v>
      </c>
      <c r="L129" t="n">
        <v>0</v>
      </c>
      <c r="M129" t="n">
        <v>0</v>
      </c>
      <c r="N129" t="n">
        <v>0</v>
      </c>
      <c r="O129" t="n">
        <v>0</v>
      </c>
      <c r="P129" t="n">
        <v>0</v>
      </c>
      <c r="Q129" t="n">
        <v>0</v>
      </c>
      <c r="R129" t="n">
        <v>0</v>
      </c>
      <c r="S129" t="n">
        <v>0</v>
      </c>
      <c r="T129" t="n">
        <v>0</v>
      </c>
      <c r="U129" s="2" t="inlineStr"/>
    </row>
    <row r="130" ht="15" customHeight="1">
      <c r="A130" t="inlineStr">
        <is>
          <t>A 30364-2025</t>
        </is>
      </c>
      <c r="B130" t="inlineStr">
        <is>
          <t>avverkningsanmälan</t>
        </is>
      </c>
      <c r="C130" t="inlineStr">
        <is>
          <t>Föryngringsavverkning</t>
        </is>
      </c>
      <c r="D130" s="1" t="n">
        <v>45827</v>
      </c>
      <c r="E130" s="1" t="n">
        <v>46217</v>
      </c>
      <c r="F130" t="inlineStr">
        <is>
          <t>NORRBOTTENS LÄN</t>
        </is>
      </c>
      <c r="G130" t="inlineStr">
        <is>
          <t>ÖVERTORNEÅ</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38969-2025</t>
        </is>
      </c>
      <c r="B131" t="inlineStr">
        <is>
          <t>avverkningsanmälan</t>
        </is>
      </c>
      <c r="C131" t="inlineStr">
        <is>
          <t>Föryngringsavverkning</t>
        </is>
      </c>
      <c r="D131" s="1" t="n">
        <v>45887</v>
      </c>
      <c r="E131" s="1" t="n">
        <v>46217</v>
      </c>
      <c r="F131" t="inlineStr">
        <is>
          <t>NORRBOTTENS LÄN</t>
        </is>
      </c>
      <c r="G131" t="inlineStr">
        <is>
          <t>ÖVERTORNEÅ</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38974-2025</t>
        </is>
      </c>
      <c r="B132" t="inlineStr">
        <is>
          <t>avverkningsanmälan</t>
        </is>
      </c>
      <c r="C132" t="inlineStr">
        <is>
          <t>Föryngringsavverkning</t>
        </is>
      </c>
      <c r="D132" s="1" t="n">
        <v>45887</v>
      </c>
      <c r="E132" s="1" t="n">
        <v>46217</v>
      </c>
      <c r="F132" t="inlineStr">
        <is>
          <t>NORRBOTTENS LÄN</t>
        </is>
      </c>
      <c r="G132" t="inlineStr">
        <is>
          <t>ÖVERTORNEÅ</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20129-2026</t>
        </is>
      </c>
      <c r="B133" t="inlineStr">
        <is>
          <t>avverkningsanmälan</t>
        </is>
      </c>
      <c r="C133" t="inlineStr">
        <is>
          <t>Föryngringsavverkning</t>
        </is>
      </c>
      <c r="D133" s="1" t="n">
        <v>46136</v>
      </c>
      <c r="E133" s="1" t="n">
        <v>46217</v>
      </c>
      <c r="F133" t="inlineStr">
        <is>
          <t>NORRBOTTENS LÄN</t>
        </is>
      </c>
      <c r="G133" t="inlineStr">
        <is>
          <t>ÖVERTORNEÅ</t>
        </is>
      </c>
      <c r="H133" t="inlineStr">
        <is>
          <t>Sveaskog</t>
        </is>
      </c>
      <c r="I133" t="n">
        <v>33.5</v>
      </c>
      <c r="J133" t="n">
        <v>0</v>
      </c>
      <c r="K133" t="n">
        <v>0</v>
      </c>
      <c r="L133" t="n">
        <v>0</v>
      </c>
      <c r="M133" t="n">
        <v>0</v>
      </c>
      <c r="N133" t="n">
        <v>0</v>
      </c>
      <c r="O133" t="n">
        <v>0</v>
      </c>
      <c r="P133" t="n">
        <v>0</v>
      </c>
      <c r="Q133" t="n">
        <v>0</v>
      </c>
      <c r="R133" t="n">
        <v>0</v>
      </c>
      <c r="S133" t="n">
        <v>0</v>
      </c>
      <c r="T133" t="n">
        <v>0</v>
      </c>
      <c r="U133" s="2" t="inlineStr"/>
    </row>
    <row r="134" ht="15" customHeight="1">
      <c r="A134" t="inlineStr">
        <is>
          <t>A 55455-2024</t>
        </is>
      </c>
      <c r="B134" t="inlineStr">
        <is>
          <t>avverkningsanmälan</t>
        </is>
      </c>
      <c r="C134" t="inlineStr">
        <is>
          <t>Föryngringsavverkning</t>
        </is>
      </c>
      <c r="D134" s="1" t="n">
        <v>45622</v>
      </c>
      <c r="E134" s="1" t="n">
        <v>46217</v>
      </c>
      <c r="F134" t="inlineStr">
        <is>
          <t>NORRBOTTENS LÄN</t>
        </is>
      </c>
      <c r="G134" t="inlineStr">
        <is>
          <t>ÖVERTORNEÅ</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25751-2026</t>
        </is>
      </c>
      <c r="B135" t="inlineStr">
        <is>
          <t>avverkningsanmälan</t>
        </is>
      </c>
      <c r="C135" t="inlineStr">
        <is>
          <t>Föryngringsavverkning</t>
        </is>
      </c>
      <c r="D135" s="1" t="n">
        <v>46178</v>
      </c>
      <c r="E135" s="1" t="n">
        <v>46217</v>
      </c>
      <c r="F135" t="inlineStr">
        <is>
          <t>NORRBOTTENS LÄN</t>
        </is>
      </c>
      <c r="G135" t="inlineStr">
        <is>
          <t>ÖVERTORNEÅ</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25776-2026</t>
        </is>
      </c>
      <c r="B136" t="inlineStr">
        <is>
          <t>avverkningsanmälan</t>
        </is>
      </c>
      <c r="C136" t="inlineStr">
        <is>
          <t>Föryngringsavverkning</t>
        </is>
      </c>
      <c r="D136" s="1" t="n">
        <v>46178</v>
      </c>
      <c r="E136" s="1" t="n">
        <v>46217</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51274-2024</t>
        </is>
      </c>
      <c r="B137" t="inlineStr">
        <is>
          <t>avverkningsanmälan</t>
        </is>
      </c>
      <c r="C137" t="inlineStr">
        <is>
          <t>Föryngringsavverkning</t>
        </is>
      </c>
      <c r="D137" s="1" t="n">
        <v>45602</v>
      </c>
      <c r="E137" s="1" t="n">
        <v>46217</v>
      </c>
      <c r="F137" t="inlineStr">
        <is>
          <t>NORRBOTTENS LÄN</t>
        </is>
      </c>
      <c r="G137" t="inlineStr">
        <is>
          <t>ÖVERTORNEÅ</t>
        </is>
      </c>
      <c r="I137" t="n">
        <v>15.2</v>
      </c>
      <c r="J137" t="n">
        <v>0</v>
      </c>
      <c r="K137" t="n">
        <v>0</v>
      </c>
      <c r="L137" t="n">
        <v>0</v>
      </c>
      <c r="M137" t="n">
        <v>0</v>
      </c>
      <c r="N137" t="n">
        <v>0</v>
      </c>
      <c r="O137" t="n">
        <v>0</v>
      </c>
      <c r="P137" t="n">
        <v>0</v>
      </c>
      <c r="Q137" t="n">
        <v>0</v>
      </c>
      <c r="R137" t="n">
        <v>0</v>
      </c>
      <c r="S137" t="n">
        <v>0</v>
      </c>
      <c r="T137" t="n">
        <v>0</v>
      </c>
      <c r="U137" s="2" t="inlineStr"/>
    </row>
    <row r="138" ht="15" customHeight="1">
      <c r="A138" t="inlineStr">
        <is>
          <t>A 39303-2025</t>
        </is>
      </c>
      <c r="B138" t="inlineStr">
        <is>
          <t>avverkningsanmälan</t>
        </is>
      </c>
      <c r="C138" t="inlineStr">
        <is>
          <t>Föryngringsavverkning</t>
        </is>
      </c>
      <c r="D138" s="1" t="n">
        <v>45889</v>
      </c>
      <c r="E138" s="1" t="n">
        <v>46217</v>
      </c>
      <c r="F138" t="inlineStr">
        <is>
          <t>NORRBOTTENS LÄN</t>
        </is>
      </c>
      <c r="G138" t="inlineStr">
        <is>
          <t>ÖVERTORNEÅ</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61782-2022</t>
        </is>
      </c>
      <c r="B139" t="inlineStr">
        <is>
          <t>avverkningsanmälan</t>
        </is>
      </c>
      <c r="C139" t="inlineStr">
        <is>
          <t>Föryngringsavverkning</t>
        </is>
      </c>
      <c r="D139" s="1" t="n">
        <v>44917</v>
      </c>
      <c r="E139" s="1" t="n">
        <v>46217</v>
      </c>
      <c r="F139" t="inlineStr">
        <is>
          <t>NORRBOTTENS LÄN</t>
        </is>
      </c>
      <c r="G139" t="inlineStr">
        <is>
          <t>ÖVERTORNEÅ</t>
        </is>
      </c>
      <c r="I139" t="n">
        <v>7</v>
      </c>
      <c r="J139" t="n">
        <v>0</v>
      </c>
      <c r="K139" t="n">
        <v>0</v>
      </c>
      <c r="L139" t="n">
        <v>0</v>
      </c>
      <c r="M139" t="n">
        <v>0</v>
      </c>
      <c r="N139" t="n">
        <v>0</v>
      </c>
      <c r="O139" t="n">
        <v>0</v>
      </c>
      <c r="P139" t="n">
        <v>0</v>
      </c>
      <c r="Q139" t="n">
        <v>0</v>
      </c>
      <c r="R139" t="n">
        <v>0</v>
      </c>
      <c r="S139" t="n">
        <v>0</v>
      </c>
      <c r="T139" t="n">
        <v>0</v>
      </c>
      <c r="U139" s="2" t="inlineStr"/>
    </row>
    <row r="140" ht="15" customHeight="1">
      <c r="A140" t="inlineStr">
        <is>
          <t>A 40200-2025</t>
        </is>
      </c>
      <c r="B140" t="inlineStr">
        <is>
          <t>avverkningsanmälan</t>
        </is>
      </c>
      <c r="C140" t="inlineStr">
        <is>
          <t>Föryngringsavverkning</t>
        </is>
      </c>
      <c r="D140" s="1" t="n">
        <v>45894</v>
      </c>
      <c r="E140" s="1" t="n">
        <v>46217</v>
      </c>
      <c r="F140" t="inlineStr">
        <is>
          <t>NORRBOTTENS LÄN</t>
        </is>
      </c>
      <c r="G140" t="inlineStr">
        <is>
          <t>ÖVERTORNEÅ</t>
        </is>
      </c>
      <c r="H140" t="inlineStr">
        <is>
          <t>Sveaskog</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40198-2025</t>
        </is>
      </c>
      <c r="B141" t="inlineStr">
        <is>
          <t>avverkningsanmälan</t>
        </is>
      </c>
      <c r="C141" t="inlineStr">
        <is>
          <t>Föryngringsavverkning</t>
        </is>
      </c>
      <c r="D141" s="1" t="n">
        <v>45894</v>
      </c>
      <c r="E141" s="1" t="n">
        <v>46217</v>
      </c>
      <c r="F141" t="inlineStr">
        <is>
          <t>NORRBOTTENS LÄN</t>
        </is>
      </c>
      <c r="G141" t="inlineStr">
        <is>
          <t>ÖVERTORNEÅ</t>
        </is>
      </c>
      <c r="H141" t="inlineStr">
        <is>
          <t>Sveaskog</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40085-2025</t>
        </is>
      </c>
      <c r="B142" t="inlineStr">
        <is>
          <t>avverkningsanmälan</t>
        </is>
      </c>
      <c r="C142" t="inlineStr">
        <is>
          <t>Föryngringsavverkning</t>
        </is>
      </c>
      <c r="D142" s="1" t="n">
        <v>45894</v>
      </c>
      <c r="E142" s="1" t="n">
        <v>46217</v>
      </c>
      <c r="F142" t="inlineStr">
        <is>
          <t>NORRBOTTENS LÄN</t>
        </is>
      </c>
      <c r="G142" t="inlineStr">
        <is>
          <t>ÖVERTORNEÅ</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40089-2025</t>
        </is>
      </c>
      <c r="B143" t="inlineStr">
        <is>
          <t>avverkningsanmälan</t>
        </is>
      </c>
      <c r="C143" t="inlineStr">
        <is>
          <t>Föryngringsavverkning</t>
        </is>
      </c>
      <c r="D143" s="1" t="n">
        <v>45894</v>
      </c>
      <c r="E143" s="1" t="n">
        <v>46217</v>
      </c>
      <c r="F143" t="inlineStr">
        <is>
          <t>NORRBOTTENS LÄN</t>
        </is>
      </c>
      <c r="G143" t="inlineStr">
        <is>
          <t>ÖVERTORNEÅ</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16452-2024</t>
        </is>
      </c>
      <c r="B144" t="inlineStr">
        <is>
          <t>avverkningsanmälan</t>
        </is>
      </c>
      <c r="C144" t="inlineStr">
        <is>
          <t>Föryngringsavverkning</t>
        </is>
      </c>
      <c r="D144" s="1" t="n">
        <v>45407</v>
      </c>
      <c r="E144" s="1" t="n">
        <v>46217</v>
      </c>
      <c r="F144" t="inlineStr">
        <is>
          <t>NORRBOTTENS LÄN</t>
        </is>
      </c>
      <c r="G144" t="inlineStr">
        <is>
          <t>ÖVERTORNEÅ</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32681-2024</t>
        </is>
      </c>
      <c r="B145" t="inlineStr">
        <is>
          <t>avverkningsanmälan</t>
        </is>
      </c>
      <c r="C145" t="inlineStr">
        <is>
          <t>Föryngringsavverkning</t>
        </is>
      </c>
      <c r="D145" s="1" t="n">
        <v>45515</v>
      </c>
      <c r="E145" s="1" t="n">
        <v>46217</v>
      </c>
      <c r="F145" t="inlineStr">
        <is>
          <t>NORRBOTTENS LÄN</t>
        </is>
      </c>
      <c r="G145" t="inlineStr">
        <is>
          <t>ÖVERTORNEÅ</t>
        </is>
      </c>
      <c r="I145" t="n">
        <v>8.4</v>
      </c>
      <c r="J145" t="n">
        <v>0</v>
      </c>
      <c r="K145" t="n">
        <v>0</v>
      </c>
      <c r="L145" t="n">
        <v>0</v>
      </c>
      <c r="M145" t="n">
        <v>0</v>
      </c>
      <c r="N145" t="n">
        <v>0</v>
      </c>
      <c r="O145" t="n">
        <v>0</v>
      </c>
      <c r="P145" t="n">
        <v>0</v>
      </c>
      <c r="Q145" t="n">
        <v>0</v>
      </c>
      <c r="R145" t="n">
        <v>0</v>
      </c>
      <c r="S145" t="n">
        <v>0</v>
      </c>
      <c r="T145" t="n">
        <v>0</v>
      </c>
      <c r="U145" s="2" t="inlineStr"/>
    </row>
    <row r="146" ht="15" customHeight="1">
      <c r="A146" t="inlineStr">
        <is>
          <t>A 41778-2025</t>
        </is>
      </c>
      <c r="B146" t="inlineStr">
        <is>
          <t>avverkningsanmälan</t>
        </is>
      </c>
      <c r="C146" t="inlineStr">
        <is>
          <t>Föryngringsavverkning</t>
        </is>
      </c>
      <c r="D146" s="1" t="n">
        <v>45902</v>
      </c>
      <c r="E146" s="1" t="n">
        <v>46217</v>
      </c>
      <c r="F146" t="inlineStr">
        <is>
          <t>NORRBOTTENS LÄN</t>
        </is>
      </c>
      <c r="G146" t="inlineStr">
        <is>
          <t>ÖVERTORNEÅ</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41329-2025</t>
        </is>
      </c>
      <c r="B147" t="inlineStr">
        <is>
          <t>avverkningsanmälan</t>
        </is>
      </c>
      <c r="C147" t="inlineStr">
        <is>
          <t>Föryngringsavverkning</t>
        </is>
      </c>
      <c r="D147" s="1" t="n">
        <v>45899</v>
      </c>
      <c r="E147" s="1" t="n">
        <v>46217</v>
      </c>
      <c r="F147" t="inlineStr">
        <is>
          <t>NORRBOTTENS LÄN</t>
        </is>
      </c>
      <c r="G147" t="inlineStr">
        <is>
          <t>ÖVERTORNEÅ</t>
        </is>
      </c>
      <c r="H147" t="inlineStr">
        <is>
          <t>Sveaskog</t>
        </is>
      </c>
      <c r="I147" t="n">
        <v>6.1</v>
      </c>
      <c r="J147" t="n">
        <v>0</v>
      </c>
      <c r="K147" t="n">
        <v>0</v>
      </c>
      <c r="L147" t="n">
        <v>0</v>
      </c>
      <c r="M147" t="n">
        <v>0</v>
      </c>
      <c r="N147" t="n">
        <v>0</v>
      </c>
      <c r="O147" t="n">
        <v>0</v>
      </c>
      <c r="P147" t="n">
        <v>0</v>
      </c>
      <c r="Q147" t="n">
        <v>0</v>
      </c>
      <c r="R147" t="n">
        <v>0</v>
      </c>
      <c r="S147" t="n">
        <v>0</v>
      </c>
      <c r="T147" t="n">
        <v>0</v>
      </c>
      <c r="U147" s="2" t="inlineStr"/>
    </row>
    <row r="148" ht="15" customHeight="1">
      <c r="A148" t="inlineStr">
        <is>
          <t>A 4512-2022</t>
        </is>
      </c>
      <c r="B148" t="inlineStr">
        <is>
          <t>avverkningsanmälan</t>
        </is>
      </c>
      <c r="C148" t="inlineStr">
        <is>
          <t>Avverkning för annat ändamål</t>
        </is>
      </c>
      <c r="D148" s="1" t="n">
        <v>44589</v>
      </c>
      <c r="E148" s="1" t="n">
        <v>46217</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42908-2025</t>
        </is>
      </c>
      <c r="B149" t="inlineStr">
        <is>
          <t>avverkningsanmälan</t>
        </is>
      </c>
      <c r="C149" t="inlineStr">
        <is>
          <t>Föryngringsavverkning</t>
        </is>
      </c>
      <c r="D149" s="1" t="n">
        <v>45908</v>
      </c>
      <c r="E149" s="1" t="n">
        <v>46217</v>
      </c>
      <c r="F149" t="inlineStr">
        <is>
          <t>NORRBOTTENS LÄN</t>
        </is>
      </c>
      <c r="G149" t="inlineStr">
        <is>
          <t>ÖVERTORNEÅ</t>
        </is>
      </c>
      <c r="I149" t="n">
        <v>4.6</v>
      </c>
      <c r="J149" t="n">
        <v>0</v>
      </c>
      <c r="K149" t="n">
        <v>0</v>
      </c>
      <c r="L149" t="n">
        <v>0</v>
      </c>
      <c r="M149" t="n">
        <v>0</v>
      </c>
      <c r="N149" t="n">
        <v>0</v>
      </c>
      <c r="O149" t="n">
        <v>0</v>
      </c>
      <c r="P149" t="n">
        <v>0</v>
      </c>
      <c r="Q149" t="n">
        <v>0</v>
      </c>
      <c r="R149" t="n">
        <v>0</v>
      </c>
      <c r="S149" t="n">
        <v>0</v>
      </c>
      <c r="T149" t="n">
        <v>0</v>
      </c>
      <c r="U149" s="2" t="inlineStr"/>
    </row>
    <row r="150" ht="15" customHeight="1">
      <c r="A150" t="inlineStr">
        <is>
          <t>A 46032-2021</t>
        </is>
      </c>
      <c r="B150" t="inlineStr">
        <is>
          <t>avverkningsanmälan</t>
        </is>
      </c>
      <c r="C150" t="inlineStr">
        <is>
          <t>Föryngringsavverkning</t>
        </is>
      </c>
      <c r="D150" s="1" t="n">
        <v>44441</v>
      </c>
      <c r="E150" s="1" t="n">
        <v>46217</v>
      </c>
      <c r="F150" t="inlineStr">
        <is>
          <t>NORRBOTTENS LÄN</t>
        </is>
      </c>
      <c r="G150" t="inlineStr">
        <is>
          <t>ÖVERTORNEÅ</t>
        </is>
      </c>
      <c r="I150" t="n">
        <v>6</v>
      </c>
      <c r="J150" t="n">
        <v>0</v>
      </c>
      <c r="K150" t="n">
        <v>0</v>
      </c>
      <c r="L150" t="n">
        <v>0</v>
      </c>
      <c r="M150" t="n">
        <v>0</v>
      </c>
      <c r="N150" t="n">
        <v>0</v>
      </c>
      <c r="O150" t="n">
        <v>0</v>
      </c>
      <c r="P150" t="n">
        <v>0</v>
      </c>
      <c r="Q150" t="n">
        <v>0</v>
      </c>
      <c r="R150" t="n">
        <v>0</v>
      </c>
      <c r="S150" t="n">
        <v>0</v>
      </c>
      <c r="T150" t="n">
        <v>0</v>
      </c>
      <c r="U150" s="2" t="inlineStr"/>
    </row>
    <row r="151" ht="15" customHeight="1">
      <c r="A151" t="inlineStr">
        <is>
          <t>A 43235-2025</t>
        </is>
      </c>
      <c r="B151" t="inlineStr">
        <is>
          <t>avverkningsanmälan</t>
        </is>
      </c>
      <c r="C151" t="inlineStr">
        <is>
          <t>Föryngringsavverkning</t>
        </is>
      </c>
      <c r="D151" s="1" t="n">
        <v>45910</v>
      </c>
      <c r="E151" s="1" t="n">
        <v>46217</v>
      </c>
      <c r="F151" t="inlineStr">
        <is>
          <t>NORRBOTTENS LÄN</t>
        </is>
      </c>
      <c r="G151" t="inlineStr">
        <is>
          <t>ÖVERTORNEÅ</t>
        </is>
      </c>
      <c r="I151" t="n">
        <v>3.1</v>
      </c>
      <c r="J151" t="n">
        <v>0</v>
      </c>
      <c r="K151" t="n">
        <v>0</v>
      </c>
      <c r="L151" t="n">
        <v>0</v>
      </c>
      <c r="M151" t="n">
        <v>0</v>
      </c>
      <c r="N151" t="n">
        <v>0</v>
      </c>
      <c r="O151" t="n">
        <v>0</v>
      </c>
      <c r="P151" t="n">
        <v>0</v>
      </c>
      <c r="Q151" t="n">
        <v>0</v>
      </c>
      <c r="R151" t="n">
        <v>0</v>
      </c>
      <c r="S151" t="n">
        <v>0</v>
      </c>
      <c r="T151" t="n">
        <v>0</v>
      </c>
      <c r="U151" s="2" t="inlineStr"/>
    </row>
    <row r="152" ht="15" customHeight="1">
      <c r="A152" t="inlineStr">
        <is>
          <t>A 43236-2025</t>
        </is>
      </c>
      <c r="B152" t="inlineStr">
        <is>
          <t>avverkningsanmälan</t>
        </is>
      </c>
      <c r="C152" t="inlineStr">
        <is>
          <t>Föryngringsavverkning</t>
        </is>
      </c>
      <c r="D152" s="1" t="n">
        <v>45910</v>
      </c>
      <c r="E152" s="1" t="n">
        <v>46217</v>
      </c>
      <c r="F152" t="inlineStr">
        <is>
          <t>NORRBOTTENS LÄN</t>
        </is>
      </c>
      <c r="G152" t="inlineStr">
        <is>
          <t>ÖVERTORNEÅ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19051-2024</t>
        </is>
      </c>
      <c r="B153" t="inlineStr">
        <is>
          <t>avverkningsanmälan</t>
        </is>
      </c>
      <c r="C153" t="inlineStr">
        <is>
          <t>Föryngringsavverkning</t>
        </is>
      </c>
      <c r="D153" s="1" t="n">
        <v>45427</v>
      </c>
      <c r="E153" s="1" t="n">
        <v>46217</v>
      </c>
      <c r="F153" t="inlineStr">
        <is>
          <t>NORRBOTTENS LÄN</t>
        </is>
      </c>
      <c r="G153" t="inlineStr">
        <is>
          <t>ÖVERTORNEÅ</t>
        </is>
      </c>
      <c r="I153" t="n">
        <v>8.199999999999999</v>
      </c>
      <c r="J153" t="n">
        <v>0</v>
      </c>
      <c r="K153" t="n">
        <v>0</v>
      </c>
      <c r="L153" t="n">
        <v>0</v>
      </c>
      <c r="M153" t="n">
        <v>0</v>
      </c>
      <c r="N153" t="n">
        <v>0</v>
      </c>
      <c r="O153" t="n">
        <v>0</v>
      </c>
      <c r="P153" t="n">
        <v>0</v>
      </c>
      <c r="Q153" t="n">
        <v>0</v>
      </c>
      <c r="R153" t="n">
        <v>0</v>
      </c>
      <c r="S153" t="n">
        <v>0</v>
      </c>
      <c r="T153" t="n">
        <v>0</v>
      </c>
      <c r="U153" s="2" t="inlineStr"/>
    </row>
    <row r="154" ht="15" customHeight="1">
      <c r="A154" t="inlineStr">
        <is>
          <t>A 26156-2026</t>
        </is>
      </c>
      <c r="B154" t="inlineStr">
        <is>
          <t>avverkningsanmälan</t>
        </is>
      </c>
      <c r="C154" t="inlineStr">
        <is>
          <t>Avverkning för annat ändamål</t>
        </is>
      </c>
      <c r="D154" s="1" t="n">
        <v>46181</v>
      </c>
      <c r="E154" s="1" t="n">
        <v>46217</v>
      </c>
      <c r="F154" t="inlineStr">
        <is>
          <t>NORRBOTTENS LÄN</t>
        </is>
      </c>
      <c r="G154" t="inlineStr">
        <is>
          <t>ÖVERTORNEÅ</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45261-2025</t>
        </is>
      </c>
      <c r="B155" t="inlineStr">
        <is>
          <t>avverkningsanmälan</t>
        </is>
      </c>
      <c r="C155" t="inlineStr">
        <is>
          <t>Föryngringsavverkning</t>
        </is>
      </c>
      <c r="D155" s="1" t="n">
        <v>45919</v>
      </c>
      <c r="E155" s="1" t="n">
        <v>46217</v>
      </c>
      <c r="F155" t="inlineStr">
        <is>
          <t>NORRBOTTENS LÄN</t>
        </is>
      </c>
      <c r="G155" t="inlineStr">
        <is>
          <t>ÖVERTORNEÅ</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51275-2024</t>
        </is>
      </c>
      <c r="B156" t="inlineStr">
        <is>
          <t>avverkningsanmälan</t>
        </is>
      </c>
      <c r="C156" t="inlineStr">
        <is>
          <t>Föryngringsavverkning</t>
        </is>
      </c>
      <c r="D156" s="1" t="n">
        <v>45602</v>
      </c>
      <c r="E156" s="1" t="n">
        <v>46217</v>
      </c>
      <c r="F156" t="inlineStr">
        <is>
          <t>NORRBOTTENS LÄN</t>
        </is>
      </c>
      <c r="G156" t="inlineStr">
        <is>
          <t>ÖVERTORNEÅ</t>
        </is>
      </c>
      <c r="I156" t="n">
        <v>10.4</v>
      </c>
      <c r="J156" t="n">
        <v>0</v>
      </c>
      <c r="K156" t="n">
        <v>0</v>
      </c>
      <c r="L156" t="n">
        <v>0</v>
      </c>
      <c r="M156" t="n">
        <v>0</v>
      </c>
      <c r="N156" t="n">
        <v>0</v>
      </c>
      <c r="O156" t="n">
        <v>0</v>
      </c>
      <c r="P156" t="n">
        <v>0</v>
      </c>
      <c r="Q156" t="n">
        <v>0</v>
      </c>
      <c r="R156" t="n">
        <v>0</v>
      </c>
      <c r="S156" t="n">
        <v>0</v>
      </c>
      <c r="T156" t="n">
        <v>0</v>
      </c>
      <c r="U156" s="2" t="inlineStr"/>
    </row>
    <row r="157" ht="15" customHeight="1">
      <c r="A157" t="inlineStr">
        <is>
          <t>A 11617-2025</t>
        </is>
      </c>
      <c r="B157" t="inlineStr">
        <is>
          <t>avverkningsanmälan</t>
        </is>
      </c>
      <c r="C157" t="inlineStr">
        <is>
          <t>Föryngringsavverkning</t>
        </is>
      </c>
      <c r="D157" s="1" t="n">
        <v>45727</v>
      </c>
      <c r="E157" s="1" t="n">
        <v>46217</v>
      </c>
      <c r="F157" t="inlineStr">
        <is>
          <t>NORRBOTTENS LÄN</t>
        </is>
      </c>
      <c r="G157" t="inlineStr">
        <is>
          <t>ÖVERTORNEÅ</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26154-2026</t>
        </is>
      </c>
      <c r="B158" t="inlineStr">
        <is>
          <t>avverkningsanmälan</t>
        </is>
      </c>
      <c r="C158" t="inlineStr">
        <is>
          <t>Avverkning för annat ändamål</t>
        </is>
      </c>
      <c r="D158" s="1" t="n">
        <v>46181</v>
      </c>
      <c r="E158" s="1" t="n">
        <v>46217</v>
      </c>
      <c r="F158" t="inlineStr">
        <is>
          <t>NORRBOTTENS LÄN</t>
        </is>
      </c>
      <c r="G158" t="inlineStr">
        <is>
          <t>ÖVERTORNEÅ</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46703-2025</t>
        </is>
      </c>
      <c r="B159" t="inlineStr">
        <is>
          <t>avverkningsanmälan</t>
        </is>
      </c>
      <c r="C159" t="inlineStr">
        <is>
          <t>Avverkning för annat ändamål</t>
        </is>
      </c>
      <c r="D159" s="1" t="n">
        <v>45926</v>
      </c>
      <c r="E159" s="1" t="n">
        <v>46217</v>
      </c>
      <c r="F159" t="inlineStr">
        <is>
          <t>NORRBOTTENS LÄN</t>
        </is>
      </c>
      <c r="G159" t="inlineStr">
        <is>
          <t>ÖVERTORNEÅ</t>
        </is>
      </c>
      <c r="H159" t="inlineStr">
        <is>
          <t>Sveaskog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62076-2024</t>
        </is>
      </c>
      <c r="B160" t="inlineStr">
        <is>
          <t>avverkningsanmälan</t>
        </is>
      </c>
      <c r="C160" t="inlineStr">
        <is>
          <t>Föryngringsavverkning</t>
        </is>
      </c>
      <c r="D160" s="1" t="n">
        <v>45656</v>
      </c>
      <c r="E160" s="1" t="n">
        <v>46217</v>
      </c>
      <c r="F160" t="inlineStr">
        <is>
          <t>NORRBOTTENS LÄN</t>
        </is>
      </c>
      <c r="G160" t="inlineStr">
        <is>
          <t>ÖVERTORNEÅ</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47914-2025</t>
        </is>
      </c>
      <c r="B161" t="inlineStr">
        <is>
          <t>avverkningsanmälan</t>
        </is>
      </c>
      <c r="C161" t="inlineStr">
        <is>
          <t>Föryngringsavverkning</t>
        </is>
      </c>
      <c r="D161" s="1" t="n">
        <v>45932</v>
      </c>
      <c r="E161" s="1" t="n">
        <v>46217</v>
      </c>
      <c r="F161" t="inlineStr">
        <is>
          <t>NORRBOTTENS LÄN</t>
        </is>
      </c>
      <c r="G161" t="inlineStr">
        <is>
          <t>ÖVERTORNEÅ</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47909-2025</t>
        </is>
      </c>
      <c r="B162" t="inlineStr">
        <is>
          <t>avverkningsanmälan</t>
        </is>
      </c>
      <c r="C162" t="inlineStr">
        <is>
          <t>Föryngringsavverkning</t>
        </is>
      </c>
      <c r="D162" s="1" t="n">
        <v>45932</v>
      </c>
      <c r="E162" s="1" t="n">
        <v>46217</v>
      </c>
      <c r="F162" t="inlineStr">
        <is>
          <t>NORRBOTTENS LÄN</t>
        </is>
      </c>
      <c r="G162" t="inlineStr">
        <is>
          <t>ÖVERTORNEÅ</t>
        </is>
      </c>
      <c r="H162" t="inlineStr">
        <is>
          <t>Sveaskog</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47912-2025</t>
        </is>
      </c>
      <c r="B163" t="inlineStr">
        <is>
          <t>avverkningsanmälan</t>
        </is>
      </c>
      <c r="C163" t="inlineStr">
        <is>
          <t>Föryngringsavverkning</t>
        </is>
      </c>
      <c r="D163" s="1" t="n">
        <v>45932</v>
      </c>
      <c r="E163" s="1" t="n">
        <v>46217</v>
      </c>
      <c r="F163" t="inlineStr">
        <is>
          <t>NORRBOTTENS LÄN</t>
        </is>
      </c>
      <c r="G163" t="inlineStr">
        <is>
          <t>ÖVERTORNEÅ</t>
        </is>
      </c>
      <c r="H163" t="inlineStr">
        <is>
          <t>Sveaskog</t>
        </is>
      </c>
      <c r="I163" t="n">
        <v>2.6</v>
      </c>
      <c r="J163" t="n">
        <v>0</v>
      </c>
      <c r="K163" t="n">
        <v>0</v>
      </c>
      <c r="L163" t="n">
        <v>0</v>
      </c>
      <c r="M163" t="n">
        <v>0</v>
      </c>
      <c r="N163" t="n">
        <v>0</v>
      </c>
      <c r="O163" t="n">
        <v>0</v>
      </c>
      <c r="P163" t="n">
        <v>0</v>
      </c>
      <c r="Q163" t="n">
        <v>0</v>
      </c>
      <c r="R163" t="n">
        <v>0</v>
      </c>
      <c r="S163" t="n">
        <v>0</v>
      </c>
      <c r="T163" t="n">
        <v>0</v>
      </c>
      <c r="U163" s="2" t="inlineStr"/>
    </row>
    <row r="164" ht="15" customHeight="1">
      <c r="A164" t="inlineStr">
        <is>
          <t>A 48701-2025</t>
        </is>
      </c>
      <c r="B164" t="inlineStr">
        <is>
          <t>avverkningsanmälan</t>
        </is>
      </c>
      <c r="C164" t="inlineStr">
        <is>
          <t>Avverkning för annat ändamål</t>
        </is>
      </c>
      <c r="D164" s="1" t="n">
        <v>45936</v>
      </c>
      <c r="E164" s="1" t="n">
        <v>46217</v>
      </c>
      <c r="F164" t="inlineStr">
        <is>
          <t>NORRBOTTENS LÄN</t>
        </is>
      </c>
      <c r="G164" t="inlineStr">
        <is>
          <t>ÖVERTORNEÅ</t>
        </is>
      </c>
      <c r="H164" t="inlineStr">
        <is>
          <t>Sveaskog</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48610-2025</t>
        </is>
      </c>
      <c r="B165" t="inlineStr">
        <is>
          <t>avverkningsanmälan</t>
        </is>
      </c>
      <c r="C165" t="inlineStr">
        <is>
          <t>Avverkning för annat ändamål</t>
        </is>
      </c>
      <c r="D165" s="1" t="n">
        <v>45936</v>
      </c>
      <c r="E165" s="1" t="n">
        <v>46217</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44079-2023</t>
        </is>
      </c>
      <c r="B166" t="inlineStr">
        <is>
          <t>avverkningsanmälan</t>
        </is>
      </c>
      <c r="C166" t="inlineStr">
        <is>
          <t>Föryngringsavverkning</t>
        </is>
      </c>
      <c r="D166" s="1" t="n">
        <v>45188</v>
      </c>
      <c r="E166" s="1" t="n">
        <v>46217</v>
      </c>
      <c r="F166" t="inlineStr">
        <is>
          <t>NORRBOTTENS LÄN</t>
        </is>
      </c>
      <c r="G166" t="inlineStr">
        <is>
          <t>ÖVERTORNEÅ</t>
        </is>
      </c>
      <c r="I166" t="n">
        <v>5.2</v>
      </c>
      <c r="J166" t="n">
        <v>0</v>
      </c>
      <c r="K166" t="n">
        <v>0</v>
      </c>
      <c r="L166" t="n">
        <v>0</v>
      </c>
      <c r="M166" t="n">
        <v>0</v>
      </c>
      <c r="N166" t="n">
        <v>0</v>
      </c>
      <c r="O166" t="n">
        <v>0</v>
      </c>
      <c r="P166" t="n">
        <v>0</v>
      </c>
      <c r="Q166" t="n">
        <v>0</v>
      </c>
      <c r="R166" t="n">
        <v>0</v>
      </c>
      <c r="S166" t="n">
        <v>0</v>
      </c>
      <c r="T166" t="n">
        <v>0</v>
      </c>
      <c r="U166" s="2" t="inlineStr"/>
    </row>
    <row r="167" ht="15" customHeight="1">
      <c r="A167" t="inlineStr">
        <is>
          <t>A 48691-2025</t>
        </is>
      </c>
      <c r="B167" t="inlineStr">
        <is>
          <t>avverkningsanmälan</t>
        </is>
      </c>
      <c r="C167" t="inlineStr">
        <is>
          <t>Föryngringsavverkning</t>
        </is>
      </c>
      <c r="D167" s="1" t="n">
        <v>45936</v>
      </c>
      <c r="E167" s="1" t="n">
        <v>46217</v>
      </c>
      <c r="F167" t="inlineStr">
        <is>
          <t>NORRBOTTENS LÄN</t>
        </is>
      </c>
      <c r="G167" t="inlineStr">
        <is>
          <t>ÖVERTORNEÅ</t>
        </is>
      </c>
      <c r="H167" t="inlineStr">
        <is>
          <t>Sveaskog</t>
        </is>
      </c>
      <c r="I167" t="n">
        <v>7.8</v>
      </c>
      <c r="J167" t="n">
        <v>0</v>
      </c>
      <c r="K167" t="n">
        <v>0</v>
      </c>
      <c r="L167" t="n">
        <v>0</v>
      </c>
      <c r="M167" t="n">
        <v>0</v>
      </c>
      <c r="N167" t="n">
        <v>0</v>
      </c>
      <c r="O167" t="n">
        <v>0</v>
      </c>
      <c r="P167" t="n">
        <v>0</v>
      </c>
      <c r="Q167" t="n">
        <v>0</v>
      </c>
      <c r="R167" t="n">
        <v>0</v>
      </c>
      <c r="S167" t="n">
        <v>0</v>
      </c>
      <c r="T167" t="n">
        <v>0</v>
      </c>
      <c r="U167" s="2" t="inlineStr"/>
    </row>
    <row r="168" ht="15" customHeight="1">
      <c r="A168" t="inlineStr">
        <is>
          <t>A 62851-2021</t>
        </is>
      </c>
      <c r="B168" t="inlineStr">
        <is>
          <t>avverkningsanmälan</t>
        </is>
      </c>
      <c r="C168" t="inlineStr">
        <is>
          <t>Föryngringsavverkning</t>
        </is>
      </c>
      <c r="D168" s="1" t="n">
        <v>44504</v>
      </c>
      <c r="E168" s="1" t="n">
        <v>46217</v>
      </c>
      <c r="F168" t="inlineStr">
        <is>
          <t>NORRBOTTENS LÄN</t>
        </is>
      </c>
      <c r="G168" t="inlineStr">
        <is>
          <t>ÖVERTORNEÅ</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4283-2025</t>
        </is>
      </c>
      <c r="B169" t="inlineStr">
        <is>
          <t>avverkningsanmälan</t>
        </is>
      </c>
      <c r="C169" t="inlineStr">
        <is>
          <t>Föryngringsavverkning</t>
        </is>
      </c>
      <c r="D169" s="1" t="n">
        <v>45685</v>
      </c>
      <c r="E169" s="1" t="n">
        <v>46217</v>
      </c>
      <c r="F169" t="inlineStr">
        <is>
          <t>NORRBOTTENS LÄN</t>
        </is>
      </c>
      <c r="G169" t="inlineStr">
        <is>
          <t>ÖVERTORNEÅ</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49362-2025</t>
        </is>
      </c>
      <c r="B170" t="inlineStr">
        <is>
          <t>avverkningsanmälan</t>
        </is>
      </c>
      <c r="C170" t="inlineStr">
        <is>
          <t>Föryngringsavverkning</t>
        </is>
      </c>
      <c r="D170" s="1" t="n">
        <v>45938</v>
      </c>
      <c r="E170" s="1" t="n">
        <v>46217</v>
      </c>
      <c r="F170" t="inlineStr">
        <is>
          <t>NORRBOTTENS LÄN</t>
        </is>
      </c>
      <c r="G170" t="inlineStr">
        <is>
          <t>ÖVERTORNEÅ</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13754-2024</t>
        </is>
      </c>
      <c r="B171" t="inlineStr">
        <is>
          <t>avverkningsanmälan</t>
        </is>
      </c>
      <c r="C171" t="inlineStr">
        <is>
          <t>Föryngringsavverkning</t>
        </is>
      </c>
      <c r="D171" s="1" t="n">
        <v>45390</v>
      </c>
      <c r="E171" s="1" t="n">
        <v>46217</v>
      </c>
      <c r="F171" t="inlineStr">
        <is>
          <t>NORRBOTTENS LÄN</t>
        </is>
      </c>
      <c r="G171" t="inlineStr">
        <is>
          <t>ÖVERTORNEÅ</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49353-2025</t>
        </is>
      </c>
      <c r="B172" t="inlineStr">
        <is>
          <t>avverkningsanmälan</t>
        </is>
      </c>
      <c r="C172" t="inlineStr">
        <is>
          <t>Föryngringsavverkning</t>
        </is>
      </c>
      <c r="D172" s="1" t="n">
        <v>45938</v>
      </c>
      <c r="E172" s="1" t="n">
        <v>46217</v>
      </c>
      <c r="F172" t="inlineStr">
        <is>
          <t>NORRBOTTENS LÄN</t>
        </is>
      </c>
      <c r="G172" t="inlineStr">
        <is>
          <t>ÖVERTORNEÅ</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49368-2025</t>
        </is>
      </c>
      <c r="B173" t="inlineStr">
        <is>
          <t>avverkningsanmälan</t>
        </is>
      </c>
      <c r="C173" t="inlineStr">
        <is>
          <t>Föryngringsavverkning</t>
        </is>
      </c>
      <c r="D173" s="1" t="n">
        <v>45938</v>
      </c>
      <c r="E173" s="1" t="n">
        <v>46217</v>
      </c>
      <c r="F173" t="inlineStr">
        <is>
          <t>NORRBOTTENS LÄN</t>
        </is>
      </c>
      <c r="G173" t="inlineStr">
        <is>
          <t>ÖVERTORNEÅ</t>
        </is>
      </c>
      <c r="H173" t="inlineStr">
        <is>
          <t>Sveaskog</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4280-2025</t>
        </is>
      </c>
      <c r="B174" t="inlineStr">
        <is>
          <t>avverkningsanmälan</t>
        </is>
      </c>
      <c r="C174" t="inlineStr">
        <is>
          <t>Föryngringsavverkning</t>
        </is>
      </c>
      <c r="D174" s="1" t="n">
        <v>45685</v>
      </c>
      <c r="E174" s="1" t="n">
        <v>46217</v>
      </c>
      <c r="F174" t="inlineStr">
        <is>
          <t>NORRBOTTENS LÄN</t>
        </is>
      </c>
      <c r="G174" t="inlineStr">
        <is>
          <t>ÖVERTORNEÅ</t>
        </is>
      </c>
      <c r="I174" t="n">
        <v>3.8</v>
      </c>
      <c r="J174" t="n">
        <v>0</v>
      </c>
      <c r="K174" t="n">
        <v>0</v>
      </c>
      <c r="L174" t="n">
        <v>0</v>
      </c>
      <c r="M174" t="n">
        <v>0</v>
      </c>
      <c r="N174" t="n">
        <v>0</v>
      </c>
      <c r="O174" t="n">
        <v>0</v>
      </c>
      <c r="P174" t="n">
        <v>0</v>
      </c>
      <c r="Q174" t="n">
        <v>0</v>
      </c>
      <c r="R174" t="n">
        <v>0</v>
      </c>
      <c r="S174" t="n">
        <v>0</v>
      </c>
      <c r="T174" t="n">
        <v>0</v>
      </c>
      <c r="U174" s="2" t="inlineStr"/>
    </row>
    <row r="175" ht="15" customHeight="1">
      <c r="A175" t="inlineStr">
        <is>
          <t>A 49744-2025</t>
        </is>
      </c>
      <c r="B175" t="inlineStr">
        <is>
          <t>avverkningsanmälan</t>
        </is>
      </c>
      <c r="C175" t="inlineStr">
        <is>
          <t>Avverkning för annat ändamål</t>
        </is>
      </c>
      <c r="D175" s="1" t="n">
        <v>45940</v>
      </c>
      <c r="E175" s="1" t="n">
        <v>46217</v>
      </c>
      <c r="F175" t="inlineStr">
        <is>
          <t>NORRBOTTENS LÄN</t>
        </is>
      </c>
      <c r="G175" t="inlineStr">
        <is>
          <t>ÖVERTORNEÅ</t>
        </is>
      </c>
      <c r="H175" t="inlineStr">
        <is>
          <t>Sveaskog</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50184-2025</t>
        </is>
      </c>
      <c r="B176" t="inlineStr">
        <is>
          <t>avverkningsanmälan</t>
        </is>
      </c>
      <c r="C176" t="inlineStr">
        <is>
          <t>Föryngringsavverkning</t>
        </is>
      </c>
      <c r="D176" s="1" t="n">
        <v>45943</v>
      </c>
      <c r="E176" s="1" t="n">
        <v>46217</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50236-2025</t>
        </is>
      </c>
      <c r="B177" t="inlineStr">
        <is>
          <t>avverkningsanmälan</t>
        </is>
      </c>
      <c r="C177" t="inlineStr">
        <is>
          <t>Föryngringsavverkning</t>
        </is>
      </c>
      <c r="D177" s="1" t="n">
        <v>45943</v>
      </c>
      <c r="E177" s="1" t="n">
        <v>46217</v>
      </c>
      <c r="F177" t="inlineStr">
        <is>
          <t>NORRBOTTENS LÄN</t>
        </is>
      </c>
      <c r="G177" t="inlineStr">
        <is>
          <t>ÖVERTORNEÅ</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63285-2023</t>
        </is>
      </c>
      <c r="B178" t="inlineStr">
        <is>
          <t>avverkningsanmälan</t>
        </is>
      </c>
      <c r="C178" t="inlineStr">
        <is>
          <t>Föryngringsavverkning</t>
        </is>
      </c>
      <c r="D178" s="1" t="n">
        <v>45273</v>
      </c>
      <c r="E178" s="1" t="n">
        <v>46217</v>
      </c>
      <c r="F178" t="inlineStr">
        <is>
          <t>NORRBOTTENS LÄN</t>
        </is>
      </c>
      <c r="G178" t="inlineStr">
        <is>
          <t>ÖVERTORNEÅ</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50938-2025</t>
        </is>
      </c>
      <c r="B179" t="inlineStr">
        <is>
          <t>avverkningsanmälan</t>
        </is>
      </c>
      <c r="C179" t="inlineStr">
        <is>
          <t>Föryngringsavverkning</t>
        </is>
      </c>
      <c r="D179" s="1" t="n">
        <v>45946</v>
      </c>
      <c r="E179" s="1" t="n">
        <v>46217</v>
      </c>
      <c r="F179" t="inlineStr">
        <is>
          <t>NORRBOTTENS LÄN</t>
        </is>
      </c>
      <c r="G179" t="inlineStr">
        <is>
          <t>ÖVERTORNEÅ</t>
        </is>
      </c>
      <c r="I179" t="n">
        <v>8.699999999999999</v>
      </c>
      <c r="J179" t="n">
        <v>0</v>
      </c>
      <c r="K179" t="n">
        <v>0</v>
      </c>
      <c r="L179" t="n">
        <v>0</v>
      </c>
      <c r="M179" t="n">
        <v>0</v>
      </c>
      <c r="N179" t="n">
        <v>0</v>
      </c>
      <c r="O179" t="n">
        <v>0</v>
      </c>
      <c r="P179" t="n">
        <v>0</v>
      </c>
      <c r="Q179" t="n">
        <v>0</v>
      </c>
      <c r="R179" t="n">
        <v>0</v>
      </c>
      <c r="S179" t="n">
        <v>0</v>
      </c>
      <c r="T179" t="n">
        <v>0</v>
      </c>
      <c r="U179" s="2" t="inlineStr"/>
    </row>
    <row r="180" ht="15" customHeight="1">
      <c r="A180" t="inlineStr">
        <is>
          <t>A 6935-2026</t>
        </is>
      </c>
      <c r="B180" t="inlineStr">
        <is>
          <t>avverkningsanmälan</t>
        </is>
      </c>
      <c r="C180" t="inlineStr">
        <is>
          <t>Föryngringsavverkning</t>
        </is>
      </c>
      <c r="D180" s="1" t="n">
        <v>46057</v>
      </c>
      <c r="E180" s="1" t="n">
        <v>46217</v>
      </c>
      <c r="F180" t="inlineStr">
        <is>
          <t>NORRBOTTENS LÄN</t>
        </is>
      </c>
      <c r="G180" t="inlineStr">
        <is>
          <t>ÖVERTORNEÅ</t>
        </is>
      </c>
      <c r="I180" t="n">
        <v>3.1</v>
      </c>
      <c r="J180" t="n">
        <v>0</v>
      </c>
      <c r="K180" t="n">
        <v>0</v>
      </c>
      <c r="L180" t="n">
        <v>0</v>
      </c>
      <c r="M180" t="n">
        <v>0</v>
      </c>
      <c r="N180" t="n">
        <v>0</v>
      </c>
      <c r="O180" t="n">
        <v>0</v>
      </c>
      <c r="P180" t="n">
        <v>0</v>
      </c>
      <c r="Q180" t="n">
        <v>0</v>
      </c>
      <c r="R180" t="n">
        <v>0</v>
      </c>
      <c r="S180" t="n">
        <v>0</v>
      </c>
      <c r="T180" t="n">
        <v>0</v>
      </c>
      <c r="U180" s="2" t="inlineStr"/>
    </row>
    <row r="181" ht="15" customHeight="1">
      <c r="A181" t="inlineStr">
        <is>
          <t>A 4398-2025</t>
        </is>
      </c>
      <c r="B181" t="inlineStr">
        <is>
          <t>avverkningsanmälan</t>
        </is>
      </c>
      <c r="C181" t="inlineStr">
        <is>
          <t>Föryngringsavverkning</t>
        </is>
      </c>
      <c r="D181" s="1" t="n">
        <v>45686</v>
      </c>
      <c r="E181" s="1" t="n">
        <v>46217</v>
      </c>
      <c r="F181" t="inlineStr">
        <is>
          <t>NORRBOTTENS LÄN</t>
        </is>
      </c>
      <c r="G181" t="inlineStr">
        <is>
          <t>ÖVERTORNEÅ</t>
        </is>
      </c>
      <c r="I181" t="n">
        <v>3.2</v>
      </c>
      <c r="J181" t="n">
        <v>0</v>
      </c>
      <c r="K181" t="n">
        <v>0</v>
      </c>
      <c r="L181" t="n">
        <v>0</v>
      </c>
      <c r="M181" t="n">
        <v>0</v>
      </c>
      <c r="N181" t="n">
        <v>0</v>
      </c>
      <c r="O181" t="n">
        <v>0</v>
      </c>
      <c r="P181" t="n">
        <v>0</v>
      </c>
      <c r="Q181" t="n">
        <v>0</v>
      </c>
      <c r="R181" t="n">
        <v>0</v>
      </c>
      <c r="S181" t="n">
        <v>0</v>
      </c>
      <c r="T181" t="n">
        <v>0</v>
      </c>
      <c r="U181" s="2" t="inlineStr"/>
    </row>
    <row r="182" ht="15" customHeight="1">
      <c r="A182" t="inlineStr">
        <is>
          <t>A 4400-2025</t>
        </is>
      </c>
      <c r="B182" t="inlineStr">
        <is>
          <t>avverkningsanmälan</t>
        </is>
      </c>
      <c r="C182" t="inlineStr">
        <is>
          <t>Föryngringsavverkning</t>
        </is>
      </c>
      <c r="D182" s="1" t="n">
        <v>45686</v>
      </c>
      <c r="E182" s="1" t="n">
        <v>46217</v>
      </c>
      <c r="F182" t="inlineStr">
        <is>
          <t>NORRBOTTENS LÄN</t>
        </is>
      </c>
      <c r="G182" t="inlineStr">
        <is>
          <t>ÖVERTORNEÅ</t>
        </is>
      </c>
      <c r="I182" t="n">
        <v>3.6</v>
      </c>
      <c r="J182" t="n">
        <v>0</v>
      </c>
      <c r="K182" t="n">
        <v>0</v>
      </c>
      <c r="L182" t="n">
        <v>0</v>
      </c>
      <c r="M182" t="n">
        <v>0</v>
      </c>
      <c r="N182" t="n">
        <v>0</v>
      </c>
      <c r="O182" t="n">
        <v>0</v>
      </c>
      <c r="P182" t="n">
        <v>0</v>
      </c>
      <c r="Q182" t="n">
        <v>0</v>
      </c>
      <c r="R182" t="n">
        <v>0</v>
      </c>
      <c r="S182" t="n">
        <v>0</v>
      </c>
      <c r="T182" t="n">
        <v>0</v>
      </c>
      <c r="U182" s="2" t="inlineStr"/>
    </row>
    <row r="183" ht="15" customHeight="1">
      <c r="A183" t="inlineStr">
        <is>
          <t>A 11972-2024</t>
        </is>
      </c>
      <c r="B183" t="inlineStr">
        <is>
          <t>avverkningsanmälan</t>
        </is>
      </c>
      <c r="C183" t="inlineStr">
        <is>
          <t>Föryngringsavverkning</t>
        </is>
      </c>
      <c r="D183" s="1" t="n">
        <v>45376</v>
      </c>
      <c r="E183" s="1" t="n">
        <v>46217</v>
      </c>
      <c r="F183" t="inlineStr">
        <is>
          <t>NORRBOTTENS LÄN</t>
        </is>
      </c>
      <c r="G183" t="inlineStr">
        <is>
          <t>ÖVERTORNEÅ</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51000-2025</t>
        </is>
      </c>
      <c r="B184" t="inlineStr">
        <is>
          <t>avverkningsanmälan</t>
        </is>
      </c>
      <c r="C184" t="inlineStr">
        <is>
          <t>Föryngringsavverkning</t>
        </is>
      </c>
      <c r="D184" s="1" t="n">
        <v>45947</v>
      </c>
      <c r="E184" s="1" t="n">
        <v>46217</v>
      </c>
      <c r="F184" t="inlineStr">
        <is>
          <t>NORRBOTTENS LÄN</t>
        </is>
      </c>
      <c r="G184" t="inlineStr">
        <is>
          <t>ÖVERTORNEÅ</t>
        </is>
      </c>
      <c r="H184" t="inlineStr">
        <is>
          <t>Sveaskog</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46651-2023</t>
        </is>
      </c>
      <c r="B185" t="inlineStr">
        <is>
          <t>avverkningsanmälan</t>
        </is>
      </c>
      <c r="C185" t="inlineStr">
        <is>
          <t>Föryngringsavverkning</t>
        </is>
      </c>
      <c r="D185" s="1" t="n">
        <v>45194</v>
      </c>
      <c r="E185" s="1" t="n">
        <v>46217</v>
      </c>
      <c r="F185" t="inlineStr">
        <is>
          <t>NORRBOTTENS LÄN</t>
        </is>
      </c>
      <c r="G185" t="inlineStr">
        <is>
          <t>ÖVERTORNEÅ</t>
        </is>
      </c>
      <c r="I185" t="n">
        <v>10.1</v>
      </c>
      <c r="J185" t="n">
        <v>0</v>
      </c>
      <c r="K185" t="n">
        <v>0</v>
      </c>
      <c r="L185" t="n">
        <v>0</v>
      </c>
      <c r="M185" t="n">
        <v>0</v>
      </c>
      <c r="N185" t="n">
        <v>0</v>
      </c>
      <c r="O185" t="n">
        <v>0</v>
      </c>
      <c r="P185" t="n">
        <v>0</v>
      </c>
      <c r="Q185" t="n">
        <v>0</v>
      </c>
      <c r="R185" t="n">
        <v>0</v>
      </c>
      <c r="S185" t="n">
        <v>0</v>
      </c>
      <c r="T185" t="n">
        <v>0</v>
      </c>
      <c r="U185" s="2" t="inlineStr"/>
    </row>
    <row r="186" ht="15" customHeight="1">
      <c r="A186" t="inlineStr">
        <is>
          <t>A 63465-2025</t>
        </is>
      </c>
      <c r="B186" t="inlineStr">
        <is>
          <t>avverkningsanmälan</t>
        </is>
      </c>
      <c r="C186" t="inlineStr">
        <is>
          <t>Föryngringsavverkning</t>
        </is>
      </c>
      <c r="D186" s="1" t="n">
        <v>46013</v>
      </c>
      <c r="E186" s="1" t="n">
        <v>46217</v>
      </c>
      <c r="F186" t="inlineStr">
        <is>
          <t>NORRBOTTENS LÄN</t>
        </is>
      </c>
      <c r="G186" t="inlineStr">
        <is>
          <t>ÖVERTORNEÅ</t>
        </is>
      </c>
      <c r="I186" t="n">
        <v>12.7</v>
      </c>
      <c r="J186" t="n">
        <v>0</v>
      </c>
      <c r="K186" t="n">
        <v>0</v>
      </c>
      <c r="L186" t="n">
        <v>0</v>
      </c>
      <c r="M186" t="n">
        <v>0</v>
      </c>
      <c r="N186" t="n">
        <v>0</v>
      </c>
      <c r="O186" t="n">
        <v>0</v>
      </c>
      <c r="P186" t="n">
        <v>0</v>
      </c>
      <c r="Q186" t="n">
        <v>0</v>
      </c>
      <c r="R186" t="n">
        <v>0</v>
      </c>
      <c r="S186" t="n">
        <v>0</v>
      </c>
      <c r="T186" t="n">
        <v>0</v>
      </c>
      <c r="U186" s="2" t="inlineStr"/>
    </row>
    <row r="187" ht="15" customHeight="1">
      <c r="A187" t="inlineStr">
        <is>
          <t>A 33572-2024</t>
        </is>
      </c>
      <c r="B187" t="inlineStr">
        <is>
          <t>avverkningsanmälan</t>
        </is>
      </c>
      <c r="C187" t="inlineStr">
        <is>
          <t>Föryngringsavverkning</t>
        </is>
      </c>
      <c r="D187" s="1" t="n">
        <v>45520</v>
      </c>
      <c r="E187" s="1" t="n">
        <v>46217</v>
      </c>
      <c r="F187" t="inlineStr">
        <is>
          <t>NORRBOTTENS LÄN</t>
        </is>
      </c>
      <c r="G187" t="inlineStr">
        <is>
          <t>ÖVERTORNEÅ</t>
        </is>
      </c>
      <c r="I187" t="n">
        <v>5.9</v>
      </c>
      <c r="J187" t="n">
        <v>0</v>
      </c>
      <c r="K187" t="n">
        <v>0</v>
      </c>
      <c r="L187" t="n">
        <v>0</v>
      </c>
      <c r="M187" t="n">
        <v>0</v>
      </c>
      <c r="N187" t="n">
        <v>0</v>
      </c>
      <c r="O187" t="n">
        <v>0</v>
      </c>
      <c r="P187" t="n">
        <v>0</v>
      </c>
      <c r="Q187" t="n">
        <v>0</v>
      </c>
      <c r="R187" t="n">
        <v>0</v>
      </c>
      <c r="S187" t="n">
        <v>0</v>
      </c>
      <c r="T187" t="n">
        <v>0</v>
      </c>
      <c r="U187" s="2" t="inlineStr"/>
    </row>
    <row r="188" ht="15" customHeight="1">
      <c r="A188" t="inlineStr">
        <is>
          <t>A 68764-2021</t>
        </is>
      </c>
      <c r="B188" t="inlineStr">
        <is>
          <t>avverkningsanmälan</t>
        </is>
      </c>
      <c r="C188" t="inlineStr">
        <is>
          <t>Föryngringsavverkning</t>
        </is>
      </c>
      <c r="D188" s="1" t="n">
        <v>44529</v>
      </c>
      <c r="E188" s="1" t="n">
        <v>46217</v>
      </c>
      <c r="F188" t="inlineStr">
        <is>
          <t>NORRBOTTENS LÄN</t>
        </is>
      </c>
      <c r="G188" t="inlineStr">
        <is>
          <t>ÖVERTORNEÅ</t>
        </is>
      </c>
      <c r="I188" t="n">
        <v>19.2</v>
      </c>
      <c r="J188" t="n">
        <v>0</v>
      </c>
      <c r="K188" t="n">
        <v>0</v>
      </c>
      <c r="L188" t="n">
        <v>0</v>
      </c>
      <c r="M188" t="n">
        <v>0</v>
      </c>
      <c r="N188" t="n">
        <v>0</v>
      </c>
      <c r="O188" t="n">
        <v>0</v>
      </c>
      <c r="P188" t="n">
        <v>0</v>
      </c>
      <c r="Q188" t="n">
        <v>0</v>
      </c>
      <c r="R188" t="n">
        <v>0</v>
      </c>
      <c r="S188" t="n">
        <v>0</v>
      </c>
      <c r="T188" t="n">
        <v>0</v>
      </c>
      <c r="U188" s="2" t="inlineStr"/>
    </row>
    <row r="189" ht="15" customHeight="1">
      <c r="A189" t="inlineStr">
        <is>
          <t>A 52164-2025</t>
        </is>
      </c>
      <c r="B189" t="inlineStr">
        <is>
          <t>avverkningsanmälan</t>
        </is>
      </c>
      <c r="C189" t="inlineStr">
        <is>
          <t>Föryngringsavverkning</t>
        </is>
      </c>
      <c r="D189" s="1" t="n">
        <v>45953</v>
      </c>
      <c r="E189" s="1" t="n">
        <v>46217</v>
      </c>
      <c r="F189" t="inlineStr">
        <is>
          <t>NORRBOTTENS LÄN</t>
        </is>
      </c>
      <c r="G189" t="inlineStr">
        <is>
          <t>ÖVERTORNEÅ</t>
        </is>
      </c>
      <c r="I189" t="n">
        <v>5.8</v>
      </c>
      <c r="J189" t="n">
        <v>0</v>
      </c>
      <c r="K189" t="n">
        <v>0</v>
      </c>
      <c r="L189" t="n">
        <v>0</v>
      </c>
      <c r="M189" t="n">
        <v>0</v>
      </c>
      <c r="N189" t="n">
        <v>0</v>
      </c>
      <c r="O189" t="n">
        <v>0</v>
      </c>
      <c r="P189" t="n">
        <v>0</v>
      </c>
      <c r="Q189" t="n">
        <v>0</v>
      </c>
      <c r="R189" t="n">
        <v>0</v>
      </c>
      <c r="S189" t="n">
        <v>0</v>
      </c>
      <c r="T189" t="n">
        <v>0</v>
      </c>
      <c r="U189" s="2" t="inlineStr"/>
    </row>
    <row r="190" ht="15" customHeight="1">
      <c r="A190" t="inlineStr">
        <is>
          <t>A 52191-2025</t>
        </is>
      </c>
      <c r="B190" t="inlineStr">
        <is>
          <t>avverkningsanmälan</t>
        </is>
      </c>
      <c r="C190" t="inlineStr">
        <is>
          <t>Föryngringsavverkning</t>
        </is>
      </c>
      <c r="D190" s="1" t="n">
        <v>45953</v>
      </c>
      <c r="E190" s="1" t="n">
        <v>46217</v>
      </c>
      <c r="F190" t="inlineStr">
        <is>
          <t>NORRBOTTENS LÄN</t>
        </is>
      </c>
      <c r="G190" t="inlineStr">
        <is>
          <t>ÖVERTORNEÅ</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16999-2025</t>
        </is>
      </c>
      <c r="B191" t="inlineStr">
        <is>
          <t>avverkningsanmälan</t>
        </is>
      </c>
      <c r="C191" t="inlineStr">
        <is>
          <t>Föryngringsavverkning</t>
        </is>
      </c>
      <c r="D191" s="1" t="n">
        <v>45755</v>
      </c>
      <c r="E191" s="1" t="n">
        <v>46217</v>
      </c>
      <c r="F191" t="inlineStr">
        <is>
          <t>NORRBOTTENS LÄN</t>
        </is>
      </c>
      <c r="G191" t="inlineStr">
        <is>
          <t>ÖVERTORNEÅ</t>
        </is>
      </c>
      <c r="I191" t="n">
        <v>8</v>
      </c>
      <c r="J191" t="n">
        <v>0</v>
      </c>
      <c r="K191" t="n">
        <v>0</v>
      </c>
      <c r="L191" t="n">
        <v>0</v>
      </c>
      <c r="M191" t="n">
        <v>0</v>
      </c>
      <c r="N191" t="n">
        <v>0</v>
      </c>
      <c r="O191" t="n">
        <v>0</v>
      </c>
      <c r="P191" t="n">
        <v>0</v>
      </c>
      <c r="Q191" t="n">
        <v>0</v>
      </c>
      <c r="R191" t="n">
        <v>0</v>
      </c>
      <c r="S191" t="n">
        <v>0</v>
      </c>
      <c r="T191" t="n">
        <v>0</v>
      </c>
      <c r="U191" s="2" t="inlineStr"/>
    </row>
    <row r="192" ht="15" customHeight="1">
      <c r="A192" t="inlineStr">
        <is>
          <t>A 34701-2024</t>
        </is>
      </c>
      <c r="B192" t="inlineStr">
        <is>
          <t>avverkningsanmälan</t>
        </is>
      </c>
      <c r="C192" t="inlineStr">
        <is>
          <t>Föryngringsavverkning</t>
        </is>
      </c>
      <c r="D192" s="1" t="n">
        <v>45526</v>
      </c>
      <c r="E192" s="1" t="n">
        <v>46217</v>
      </c>
      <c r="F192" t="inlineStr">
        <is>
          <t>NORRBOTTENS LÄN</t>
        </is>
      </c>
      <c r="G192" t="inlineStr">
        <is>
          <t>ÖVERTORNEÅ</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50447-2024</t>
        </is>
      </c>
      <c r="B193" t="inlineStr">
        <is>
          <t>avverkningsanmälan</t>
        </is>
      </c>
      <c r="C193" t="inlineStr">
        <is>
          <t>Avverkning för annat ändamål</t>
        </is>
      </c>
      <c r="D193" s="1" t="n">
        <v>45601</v>
      </c>
      <c r="E193" s="1" t="n">
        <v>46217</v>
      </c>
      <c r="F193" t="inlineStr">
        <is>
          <t>NORRBOTTENS LÄN</t>
        </is>
      </c>
      <c r="G193" t="inlineStr">
        <is>
          <t>ÖVERTORNEÅ</t>
        </is>
      </c>
      <c r="I193" t="n">
        <v>10</v>
      </c>
      <c r="J193" t="n">
        <v>0</v>
      </c>
      <c r="K193" t="n">
        <v>0</v>
      </c>
      <c r="L193" t="n">
        <v>0</v>
      </c>
      <c r="M193" t="n">
        <v>0</v>
      </c>
      <c r="N193" t="n">
        <v>0</v>
      </c>
      <c r="O193" t="n">
        <v>0</v>
      </c>
      <c r="P193" t="n">
        <v>0</v>
      </c>
      <c r="Q193" t="n">
        <v>0</v>
      </c>
      <c r="R193" t="n">
        <v>0</v>
      </c>
      <c r="S193" t="n">
        <v>0</v>
      </c>
      <c r="T193" t="n">
        <v>0</v>
      </c>
      <c r="U193" s="2" t="inlineStr"/>
    </row>
    <row r="194" ht="15" customHeight="1">
      <c r="A194" t="inlineStr">
        <is>
          <t>A 53429-2025</t>
        </is>
      </c>
      <c r="B194" t="inlineStr">
        <is>
          <t>avverkningsanmälan</t>
        </is>
      </c>
      <c r="C194" t="inlineStr">
        <is>
          <t>Föryngringsavverkning</t>
        </is>
      </c>
      <c r="D194" s="1" t="n">
        <v>45959</v>
      </c>
      <c r="E194" s="1" t="n">
        <v>46217</v>
      </c>
      <c r="F194" t="inlineStr">
        <is>
          <t>NORRBOTTENS LÄN</t>
        </is>
      </c>
      <c r="G194" t="inlineStr">
        <is>
          <t>ÖVERTORNEÅ</t>
        </is>
      </c>
      <c r="I194" t="n">
        <v>5.5</v>
      </c>
      <c r="J194" t="n">
        <v>0</v>
      </c>
      <c r="K194" t="n">
        <v>0</v>
      </c>
      <c r="L194" t="n">
        <v>0</v>
      </c>
      <c r="M194" t="n">
        <v>0</v>
      </c>
      <c r="N194" t="n">
        <v>0</v>
      </c>
      <c r="O194" t="n">
        <v>0</v>
      </c>
      <c r="P194" t="n">
        <v>0</v>
      </c>
      <c r="Q194" t="n">
        <v>0</v>
      </c>
      <c r="R194" t="n">
        <v>0</v>
      </c>
      <c r="S194" t="n">
        <v>0</v>
      </c>
      <c r="T194" t="n">
        <v>0</v>
      </c>
      <c r="U194" s="2" t="inlineStr"/>
    </row>
    <row r="195" ht="15" customHeight="1">
      <c r="A195" t="inlineStr">
        <is>
          <t>A 17624-2025</t>
        </is>
      </c>
      <c r="B195" t="inlineStr">
        <is>
          <t>avverkningsanmälan</t>
        </is>
      </c>
      <c r="C195" t="inlineStr">
        <is>
          <t>Föryngringsavverkning</t>
        </is>
      </c>
      <c r="D195" s="1" t="n">
        <v>45757</v>
      </c>
      <c r="E195" s="1" t="n">
        <v>46217</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s="2" t="inlineStr"/>
    </row>
    <row r="196" ht="15" customHeight="1">
      <c r="A196" t="inlineStr">
        <is>
          <t>A 54000-2025</t>
        </is>
      </c>
      <c r="B196" t="inlineStr">
        <is>
          <t>avverkningsanmälan</t>
        </is>
      </c>
      <c r="C196" t="inlineStr">
        <is>
          <t>Föryngringsavverkning</t>
        </is>
      </c>
      <c r="D196" s="1" t="n">
        <v>45961</v>
      </c>
      <c r="E196" s="1" t="n">
        <v>46217</v>
      </c>
      <c r="F196" t="inlineStr">
        <is>
          <t>NORRBOTTENS LÄN</t>
        </is>
      </c>
      <c r="G196" t="inlineStr">
        <is>
          <t>ÖVERTORNEÅ</t>
        </is>
      </c>
      <c r="H196" t="inlineStr">
        <is>
          <t>Sveaskog</t>
        </is>
      </c>
      <c r="I196" t="n">
        <v>4.3</v>
      </c>
      <c r="J196" t="n">
        <v>0</v>
      </c>
      <c r="K196" t="n">
        <v>0</v>
      </c>
      <c r="L196" t="n">
        <v>0</v>
      </c>
      <c r="M196" t="n">
        <v>0</v>
      </c>
      <c r="N196" t="n">
        <v>0</v>
      </c>
      <c r="O196" t="n">
        <v>0</v>
      </c>
      <c r="P196" t="n">
        <v>0</v>
      </c>
      <c r="Q196" t="n">
        <v>0</v>
      </c>
      <c r="R196" t="n">
        <v>0</v>
      </c>
      <c r="S196" t="n">
        <v>0</v>
      </c>
      <c r="T196" t="n">
        <v>0</v>
      </c>
      <c r="U196" s="2" t="inlineStr"/>
    </row>
    <row r="197" ht="15" customHeight="1">
      <c r="A197" t="inlineStr">
        <is>
          <t>A 31699-2023</t>
        </is>
      </c>
      <c r="B197" t="inlineStr">
        <is>
          <t>avverkningsanmälan</t>
        </is>
      </c>
      <c r="C197" t="inlineStr">
        <is>
          <t>Avverkning för annat ändamål</t>
        </is>
      </c>
      <c r="D197" s="1" t="n">
        <v>45117</v>
      </c>
      <c r="E197" s="1" t="n">
        <v>46217</v>
      </c>
      <c r="F197" t="inlineStr">
        <is>
          <t>NORRBOTTENS LÄN</t>
        </is>
      </c>
      <c r="G197" t="inlineStr">
        <is>
          <t>ÖVERTORNEÅ</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54399-2025</t>
        </is>
      </c>
      <c r="B198" t="inlineStr">
        <is>
          <t>avverkningsanmälan</t>
        </is>
      </c>
      <c r="C198" t="inlineStr">
        <is>
          <t>Föryngringsavverkning</t>
        </is>
      </c>
      <c r="D198" s="1" t="n">
        <v>45965</v>
      </c>
      <c r="E198" s="1" t="n">
        <v>46217</v>
      </c>
      <c r="F198" t="inlineStr">
        <is>
          <t>NORRBOTTENS LÄN</t>
        </is>
      </c>
      <c r="G198" t="inlineStr">
        <is>
          <t>ÖVERTORNEÅ</t>
        </is>
      </c>
      <c r="I198" t="n">
        <v>6.2</v>
      </c>
      <c r="J198" t="n">
        <v>0</v>
      </c>
      <c r="K198" t="n">
        <v>0</v>
      </c>
      <c r="L198" t="n">
        <v>0</v>
      </c>
      <c r="M198" t="n">
        <v>0</v>
      </c>
      <c r="N198" t="n">
        <v>0</v>
      </c>
      <c r="O198" t="n">
        <v>0</v>
      </c>
      <c r="P198" t="n">
        <v>0</v>
      </c>
      <c r="Q198" t="n">
        <v>0</v>
      </c>
      <c r="R198" t="n">
        <v>0</v>
      </c>
      <c r="S198" t="n">
        <v>0</v>
      </c>
      <c r="T198" t="n">
        <v>0</v>
      </c>
      <c r="U198" s="2" t="inlineStr"/>
    </row>
    <row r="199" ht="15" customHeight="1">
      <c r="A199" t="inlineStr">
        <is>
          <t>A 54389-2025</t>
        </is>
      </c>
      <c r="B199" t="inlineStr">
        <is>
          <t>avverkningsanmälan</t>
        </is>
      </c>
      <c r="C199" t="inlineStr">
        <is>
          <t>Föryngringsavverkning</t>
        </is>
      </c>
      <c r="D199" s="1" t="n">
        <v>45965</v>
      </c>
      <c r="E199" s="1" t="n">
        <v>46217</v>
      </c>
      <c r="F199" t="inlineStr">
        <is>
          <t>NORRBOTTENS LÄN</t>
        </is>
      </c>
      <c r="G199" t="inlineStr">
        <is>
          <t>ÖVERTORNEÅ</t>
        </is>
      </c>
      <c r="I199" t="n">
        <v>4.5</v>
      </c>
      <c r="J199" t="n">
        <v>0</v>
      </c>
      <c r="K199" t="n">
        <v>0</v>
      </c>
      <c r="L199" t="n">
        <v>0</v>
      </c>
      <c r="M199" t="n">
        <v>0</v>
      </c>
      <c r="N199" t="n">
        <v>0</v>
      </c>
      <c r="O199" t="n">
        <v>0</v>
      </c>
      <c r="P199" t="n">
        <v>0</v>
      </c>
      <c r="Q199" t="n">
        <v>0</v>
      </c>
      <c r="R199" t="n">
        <v>0</v>
      </c>
      <c r="S199" t="n">
        <v>0</v>
      </c>
      <c r="T199" t="n">
        <v>0</v>
      </c>
      <c r="U199" s="2" t="inlineStr"/>
    </row>
    <row r="200" ht="15" customHeight="1">
      <c r="A200" t="inlineStr">
        <is>
          <t>A 46031-2021</t>
        </is>
      </c>
      <c r="B200" t="inlineStr">
        <is>
          <t>avverkningsanmälan</t>
        </is>
      </c>
      <c r="C200" t="inlineStr">
        <is>
          <t>Föryngringsavverkning</t>
        </is>
      </c>
      <c r="D200" s="1" t="n">
        <v>44441</v>
      </c>
      <c r="E200" s="1" t="n">
        <v>46217</v>
      </c>
      <c r="F200" t="inlineStr">
        <is>
          <t>NORRBOTTENS LÄN</t>
        </is>
      </c>
      <c r="G200" t="inlineStr">
        <is>
          <t>ÖVERTORNEÅ</t>
        </is>
      </c>
      <c r="I200" t="n">
        <v>9.9</v>
      </c>
      <c r="J200" t="n">
        <v>0</v>
      </c>
      <c r="K200" t="n">
        <v>0</v>
      </c>
      <c r="L200" t="n">
        <v>0</v>
      </c>
      <c r="M200" t="n">
        <v>0</v>
      </c>
      <c r="N200" t="n">
        <v>0</v>
      </c>
      <c r="O200" t="n">
        <v>0</v>
      </c>
      <c r="P200" t="n">
        <v>0</v>
      </c>
      <c r="Q200" t="n">
        <v>0</v>
      </c>
      <c r="R200" t="n">
        <v>0</v>
      </c>
      <c r="S200" t="n">
        <v>0</v>
      </c>
      <c r="T200" t="n">
        <v>0</v>
      </c>
      <c r="U200" s="2" t="inlineStr"/>
    </row>
    <row r="201" ht="15" customHeight="1">
      <c r="A201" t="inlineStr">
        <is>
          <t>A 38677-2024</t>
        </is>
      </c>
      <c r="B201" t="inlineStr">
        <is>
          <t>avverkningsanmälan</t>
        </is>
      </c>
      <c r="C201" t="inlineStr">
        <is>
          <t>Föryngringsavverkning</t>
        </is>
      </c>
      <c r="D201" s="1" t="n">
        <v>45547</v>
      </c>
      <c r="E201" s="1" t="n">
        <v>46217</v>
      </c>
      <c r="F201" t="inlineStr">
        <is>
          <t>NORRBOTTENS LÄN</t>
        </is>
      </c>
      <c r="G201" t="inlineStr">
        <is>
          <t>ÖVERTORNEÅ</t>
        </is>
      </c>
      <c r="I201" t="n">
        <v>13.2</v>
      </c>
      <c r="J201" t="n">
        <v>0</v>
      </c>
      <c r="K201" t="n">
        <v>0</v>
      </c>
      <c r="L201" t="n">
        <v>0</v>
      </c>
      <c r="M201" t="n">
        <v>0</v>
      </c>
      <c r="N201" t="n">
        <v>0</v>
      </c>
      <c r="O201" t="n">
        <v>0</v>
      </c>
      <c r="P201" t="n">
        <v>0</v>
      </c>
      <c r="Q201" t="n">
        <v>0</v>
      </c>
      <c r="R201" t="n">
        <v>0</v>
      </c>
      <c r="S201" t="n">
        <v>0</v>
      </c>
      <c r="T201" t="n">
        <v>0</v>
      </c>
      <c r="U201" s="2" t="inlineStr"/>
    </row>
    <row r="202" ht="15" customHeight="1">
      <c r="A202" t="inlineStr">
        <is>
          <t>A 54384-2025</t>
        </is>
      </c>
      <c r="B202" t="inlineStr">
        <is>
          <t>avverkningsanmälan</t>
        </is>
      </c>
      <c r="C202" t="inlineStr">
        <is>
          <t>Föryngringsavverkning</t>
        </is>
      </c>
      <c r="D202" s="1" t="n">
        <v>45965</v>
      </c>
      <c r="E202" s="1" t="n">
        <v>46217</v>
      </c>
      <c r="F202" t="inlineStr">
        <is>
          <t>NORRBOTTENS LÄN</t>
        </is>
      </c>
      <c r="G202" t="inlineStr">
        <is>
          <t>ÖVERTORNEÅ</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58172-2024</t>
        </is>
      </c>
      <c r="B203" t="inlineStr">
        <is>
          <t>avverkningsanmälan</t>
        </is>
      </c>
      <c r="C203" t="inlineStr">
        <is>
          <t>Föryngringsavverkning</t>
        </is>
      </c>
      <c r="D203" s="1" t="n">
        <v>45632</v>
      </c>
      <c r="E203" s="1" t="n">
        <v>46217</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58178-2024</t>
        </is>
      </c>
      <c r="B204" t="inlineStr">
        <is>
          <t>avverkningsanmälan</t>
        </is>
      </c>
      <c r="C204" t="inlineStr">
        <is>
          <t>Föryngringsavverkning</t>
        </is>
      </c>
      <c r="D204" s="1" t="n">
        <v>45632</v>
      </c>
      <c r="E204" s="1" t="n">
        <v>46217</v>
      </c>
      <c r="F204" t="inlineStr">
        <is>
          <t>NORRBOTTENS LÄN</t>
        </is>
      </c>
      <c r="G204" t="inlineStr">
        <is>
          <t>ÖVERTORNEÅ</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58201-2024</t>
        </is>
      </c>
      <c r="B205" t="inlineStr">
        <is>
          <t>avverkningsanmälan</t>
        </is>
      </c>
      <c r="C205" t="inlineStr">
        <is>
          <t>Föryngringsavverkning</t>
        </is>
      </c>
      <c r="D205" s="1" t="n">
        <v>45632</v>
      </c>
      <c r="E205" s="1" t="n">
        <v>46217</v>
      </c>
      <c r="F205" t="inlineStr">
        <is>
          <t>NORRBOTTENS LÄN</t>
        </is>
      </c>
      <c r="G205" t="inlineStr">
        <is>
          <t>ÖVERTORNEÅ</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54394-2025</t>
        </is>
      </c>
      <c r="B206" t="inlineStr">
        <is>
          <t>avverkningsanmälan</t>
        </is>
      </c>
      <c r="C206" t="inlineStr">
        <is>
          <t>Föryngringsavverkning</t>
        </is>
      </c>
      <c r="D206" s="1" t="n">
        <v>45965</v>
      </c>
      <c r="E206" s="1" t="n">
        <v>46217</v>
      </c>
      <c r="F206" t="inlineStr">
        <is>
          <t>NORRBOTTENS LÄN</t>
        </is>
      </c>
      <c r="G206" t="inlineStr">
        <is>
          <t>ÖVERTORNEÅ</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20516-2026</t>
        </is>
      </c>
      <c r="B207" t="inlineStr">
        <is>
          <t>avverkningsanmälan</t>
        </is>
      </c>
      <c r="C207" t="inlineStr">
        <is>
          <t>Föryngringsavverkning</t>
        </is>
      </c>
      <c r="D207" s="1" t="n">
        <v>46140</v>
      </c>
      <c r="E207" s="1" t="n">
        <v>46217</v>
      </c>
      <c r="F207" t="inlineStr">
        <is>
          <t>NORRBOTTENS LÄN</t>
        </is>
      </c>
      <c r="G207" t="inlineStr">
        <is>
          <t>ÖVERTORNEÅ</t>
        </is>
      </c>
      <c r="I207" t="n">
        <v>6.9</v>
      </c>
      <c r="J207" t="n">
        <v>0</v>
      </c>
      <c r="K207" t="n">
        <v>0</v>
      </c>
      <c r="L207" t="n">
        <v>0</v>
      </c>
      <c r="M207" t="n">
        <v>0</v>
      </c>
      <c r="N207" t="n">
        <v>0</v>
      </c>
      <c r="O207" t="n">
        <v>0</v>
      </c>
      <c r="P207" t="n">
        <v>0</v>
      </c>
      <c r="Q207" t="n">
        <v>0</v>
      </c>
      <c r="R207" t="n">
        <v>0</v>
      </c>
      <c r="S207" t="n">
        <v>0</v>
      </c>
      <c r="T207" t="n">
        <v>0</v>
      </c>
      <c r="U207" s="2" t="inlineStr"/>
    </row>
    <row r="208" ht="15" customHeight="1">
      <c r="A208" t="inlineStr">
        <is>
          <t>A 20537-2026</t>
        </is>
      </c>
      <c r="B208" t="inlineStr">
        <is>
          <t>avverkningsanmälan</t>
        </is>
      </c>
      <c r="C208" t="inlineStr">
        <is>
          <t>Föryngringsavverkning</t>
        </is>
      </c>
      <c r="D208" s="1" t="n">
        <v>46140</v>
      </c>
      <c r="E208" s="1" t="n">
        <v>46217</v>
      </c>
      <c r="F208" t="inlineStr">
        <is>
          <t>NORRBOTTENS LÄN</t>
        </is>
      </c>
      <c r="G208" t="inlineStr">
        <is>
          <t>ÖVERTORNEÅ</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45049-2024</t>
        </is>
      </c>
      <c r="B209" t="inlineStr">
        <is>
          <t>avverkningsanmälan</t>
        </is>
      </c>
      <c r="C209" t="inlineStr">
        <is>
          <t>Föryngringsavverkning</t>
        </is>
      </c>
      <c r="D209" s="1" t="n">
        <v>45575</v>
      </c>
      <c r="E209" s="1" t="n">
        <v>46217</v>
      </c>
      <c r="F209" t="inlineStr">
        <is>
          <t>NORRBOTTENS LÄN</t>
        </is>
      </c>
      <c r="G209" t="inlineStr">
        <is>
          <t>ÖVERTORNEÅ</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37958-2025</t>
        </is>
      </c>
      <c r="B210" t="inlineStr">
        <is>
          <t>avverkningsanmälan</t>
        </is>
      </c>
      <c r="C210" t="inlineStr">
        <is>
          <t>Föryngringsavverkning</t>
        </is>
      </c>
      <c r="D210" s="1" t="n">
        <v>45881</v>
      </c>
      <c r="E210" s="1" t="n">
        <v>46217</v>
      </c>
      <c r="F210" t="inlineStr">
        <is>
          <t>NORRBOTTENS LÄN</t>
        </is>
      </c>
      <c r="G210" t="inlineStr">
        <is>
          <t>ÖVERTORNEÅ</t>
        </is>
      </c>
      <c r="H210" t="inlineStr">
        <is>
          <t>Sveaskog</t>
        </is>
      </c>
      <c r="I210" t="n">
        <v>16.3</v>
      </c>
      <c r="J210" t="n">
        <v>0</v>
      </c>
      <c r="K210" t="n">
        <v>0</v>
      </c>
      <c r="L210" t="n">
        <v>0</v>
      </c>
      <c r="M210" t="n">
        <v>0</v>
      </c>
      <c r="N210" t="n">
        <v>0</v>
      </c>
      <c r="O210" t="n">
        <v>0</v>
      </c>
      <c r="P210" t="n">
        <v>0</v>
      </c>
      <c r="Q210" t="n">
        <v>0</v>
      </c>
      <c r="R210" t="n">
        <v>0</v>
      </c>
      <c r="S210" t="n">
        <v>0</v>
      </c>
      <c r="T210" t="n">
        <v>0</v>
      </c>
      <c r="U210" s="2" t="inlineStr"/>
    </row>
    <row r="211" ht="15" customHeight="1">
      <c r="A211" t="inlineStr">
        <is>
          <t>A 21316-2026</t>
        </is>
      </c>
      <c r="B211" t="inlineStr">
        <is>
          <t>avverkningsanmälan</t>
        </is>
      </c>
      <c r="C211" t="inlineStr">
        <is>
          <t>Föryngringsavverkning</t>
        </is>
      </c>
      <c r="D211" s="1" t="n">
        <v>46142</v>
      </c>
      <c r="E211" s="1" t="n">
        <v>46217</v>
      </c>
      <c r="F211" t="inlineStr">
        <is>
          <t>NORRBOTTENS LÄN</t>
        </is>
      </c>
      <c r="G211" t="inlineStr">
        <is>
          <t>ÖVERTORNEÅ</t>
        </is>
      </c>
      <c r="I211" t="n">
        <v>10.7</v>
      </c>
      <c r="J211" t="n">
        <v>0</v>
      </c>
      <c r="K211" t="n">
        <v>0</v>
      </c>
      <c r="L211" t="n">
        <v>0</v>
      </c>
      <c r="M211" t="n">
        <v>0</v>
      </c>
      <c r="N211" t="n">
        <v>0</v>
      </c>
      <c r="O211" t="n">
        <v>0</v>
      </c>
      <c r="P211" t="n">
        <v>0</v>
      </c>
      <c r="Q211" t="n">
        <v>0</v>
      </c>
      <c r="R211" t="n">
        <v>0</v>
      </c>
      <c r="S211" t="n">
        <v>0</v>
      </c>
      <c r="T211" t="n">
        <v>0</v>
      </c>
      <c r="U211" s="2" t="inlineStr"/>
    </row>
    <row r="212" ht="15" customHeight="1">
      <c r="A212" t="inlineStr">
        <is>
          <t>A 26372-2026</t>
        </is>
      </c>
      <c r="B212" t="inlineStr">
        <is>
          <t>avverkningsanmälan</t>
        </is>
      </c>
      <c r="C212" t="inlineStr">
        <is>
          <t>Föryngringsavverkning</t>
        </is>
      </c>
      <c r="D212" s="1" t="n">
        <v>46183</v>
      </c>
      <c r="E212" s="1" t="n">
        <v>46217</v>
      </c>
      <c r="F212" t="inlineStr">
        <is>
          <t>NORRBOTTENS LÄN</t>
        </is>
      </c>
      <c r="G212" t="inlineStr">
        <is>
          <t>ÖVERTORNEÅ</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1476-2023</t>
        </is>
      </c>
      <c r="B213" t="inlineStr">
        <is>
          <t>avverkningsanmälan</t>
        </is>
      </c>
      <c r="C213" t="inlineStr">
        <is>
          <t>Föryngringsavverkning</t>
        </is>
      </c>
      <c r="D213" s="1" t="n">
        <v>44937</v>
      </c>
      <c r="E213" s="1" t="n">
        <v>46217</v>
      </c>
      <c r="F213" t="inlineStr">
        <is>
          <t>NORRBOTTENS LÄN</t>
        </is>
      </c>
      <c r="G213" t="inlineStr">
        <is>
          <t>ÖVERTORNEÅ</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28839-2023</t>
        </is>
      </c>
      <c r="B214" t="inlineStr">
        <is>
          <t>avverkningsanmälan</t>
        </is>
      </c>
      <c r="C214" t="inlineStr">
        <is>
          <t>Föryngringsavverkning</t>
        </is>
      </c>
      <c r="D214" s="1" t="n">
        <v>45104</v>
      </c>
      <c r="E214" s="1" t="n">
        <v>46217</v>
      </c>
      <c r="F214" t="inlineStr">
        <is>
          <t>NORRBOTTENS LÄN</t>
        </is>
      </c>
      <c r="G214" t="inlineStr">
        <is>
          <t>ÖVERTORNEÅ</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56952-2025</t>
        </is>
      </c>
      <c r="B215" t="inlineStr">
        <is>
          <t>avverkningsanmälan</t>
        </is>
      </c>
      <c r="C215" t="inlineStr">
        <is>
          <t>Föryngringsavverkning</t>
        </is>
      </c>
      <c r="D215" s="1" t="n">
        <v>45978</v>
      </c>
      <c r="E215" s="1" t="n">
        <v>46217</v>
      </c>
      <c r="F215" t="inlineStr">
        <is>
          <t>NORRBOTTENS LÄN</t>
        </is>
      </c>
      <c r="G215" t="inlineStr">
        <is>
          <t>ÖVERTORNEÅ</t>
        </is>
      </c>
      <c r="I215" t="n">
        <v>5.9</v>
      </c>
      <c r="J215" t="n">
        <v>0</v>
      </c>
      <c r="K215" t="n">
        <v>0</v>
      </c>
      <c r="L215" t="n">
        <v>0</v>
      </c>
      <c r="M215" t="n">
        <v>0</v>
      </c>
      <c r="N215" t="n">
        <v>0</v>
      </c>
      <c r="O215" t="n">
        <v>0</v>
      </c>
      <c r="P215" t="n">
        <v>0</v>
      </c>
      <c r="Q215" t="n">
        <v>0</v>
      </c>
      <c r="R215" t="n">
        <v>0</v>
      </c>
      <c r="S215" t="n">
        <v>0</v>
      </c>
      <c r="T215" t="n">
        <v>0</v>
      </c>
      <c r="U215" s="2" t="inlineStr"/>
    </row>
    <row r="216" ht="15" customHeight="1">
      <c r="A216" t="inlineStr">
        <is>
          <t>A 57031-2025</t>
        </is>
      </c>
      <c r="B216" t="inlineStr">
        <is>
          <t>avverkningsanmälan</t>
        </is>
      </c>
      <c r="C216" t="inlineStr">
        <is>
          <t>Avverkning för annat ändamål</t>
        </is>
      </c>
      <c r="D216" s="1" t="n">
        <v>45979</v>
      </c>
      <c r="E216" s="1" t="n">
        <v>46217</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57027-2025</t>
        </is>
      </c>
      <c r="B217" t="inlineStr">
        <is>
          <t>avverkningsanmälan</t>
        </is>
      </c>
      <c r="C217" t="inlineStr">
        <is>
          <t>Avverkning för annat ändamål</t>
        </is>
      </c>
      <c r="D217" s="1" t="n">
        <v>45979</v>
      </c>
      <c r="E217" s="1" t="n">
        <v>46217</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57028-2025</t>
        </is>
      </c>
      <c r="B218" t="inlineStr">
        <is>
          <t>avverkningsanmälan</t>
        </is>
      </c>
      <c r="C218" t="inlineStr">
        <is>
          <t>Avverkning för annat ändamål</t>
        </is>
      </c>
      <c r="D218" s="1" t="n">
        <v>45979</v>
      </c>
      <c r="E218" s="1" t="n">
        <v>46217</v>
      </c>
      <c r="F218" t="inlineStr">
        <is>
          <t>NORRBOTTENS LÄN</t>
        </is>
      </c>
      <c r="G218" t="inlineStr">
        <is>
          <t>ÖVERTORNEÅ</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57032-2025</t>
        </is>
      </c>
      <c r="B219" t="inlineStr">
        <is>
          <t>avverkningsanmälan</t>
        </is>
      </c>
      <c r="C219" t="inlineStr">
        <is>
          <t>Avverkning för annat ändamål</t>
        </is>
      </c>
      <c r="D219" s="1" t="n">
        <v>45979</v>
      </c>
      <c r="E219" s="1" t="n">
        <v>46217</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57968-2025</t>
        </is>
      </c>
      <c r="B220" t="inlineStr">
        <is>
          <t>avverkningsanmälan</t>
        </is>
      </c>
      <c r="C220" t="inlineStr">
        <is>
          <t>Avverkning för annat ändamål</t>
        </is>
      </c>
      <c r="D220" s="1" t="n">
        <v>45982</v>
      </c>
      <c r="E220" s="1" t="n">
        <v>46217</v>
      </c>
      <c r="F220" t="inlineStr">
        <is>
          <t>NORRBOTTENS LÄN</t>
        </is>
      </c>
      <c r="G220" t="inlineStr">
        <is>
          <t>ÖVERTORNEÅ</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58424-2025</t>
        </is>
      </c>
      <c r="B221" t="inlineStr">
        <is>
          <t>avverkningsanmälan</t>
        </is>
      </c>
      <c r="C221" t="inlineStr">
        <is>
          <t>Föryngringsavverkning</t>
        </is>
      </c>
      <c r="D221" s="1" t="n">
        <v>45985</v>
      </c>
      <c r="E221" s="1" t="n">
        <v>46217</v>
      </c>
      <c r="F221" t="inlineStr">
        <is>
          <t>NORRBOTTENS LÄN</t>
        </is>
      </c>
      <c r="G221" t="inlineStr">
        <is>
          <t>ÖVERTORNEÅ</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26615-2026</t>
        </is>
      </c>
      <c r="B222" t="inlineStr">
        <is>
          <t>avverkningsanmälan</t>
        </is>
      </c>
      <c r="C222" t="inlineStr">
        <is>
          <t>Föryngringsavverkning</t>
        </is>
      </c>
      <c r="D222" s="1" t="n">
        <v>46184</v>
      </c>
      <c r="E222" s="1" t="n">
        <v>46217</v>
      </c>
      <c r="F222" t="inlineStr">
        <is>
          <t>NORRBOTTENS LÄN</t>
        </is>
      </c>
      <c r="G222" t="inlineStr">
        <is>
          <t>ÖVERTORNEÅ</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20645-2026</t>
        </is>
      </c>
      <c r="B223" t="inlineStr">
        <is>
          <t>avverkningsanmälan</t>
        </is>
      </c>
      <c r="C223" t="inlineStr">
        <is>
          <t>Föryngringsavverkning</t>
        </is>
      </c>
      <c r="D223" s="1" t="n">
        <v>46141</v>
      </c>
      <c r="E223" s="1" t="n">
        <v>46217</v>
      </c>
      <c r="F223" t="inlineStr">
        <is>
          <t>NORRBOTTENS LÄN</t>
        </is>
      </c>
      <c r="G223" t="inlineStr">
        <is>
          <t>ÖVERTORNEÅ</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48891-2022</t>
        </is>
      </c>
      <c r="B224" t="inlineStr">
        <is>
          <t>avverkningsanmälan</t>
        </is>
      </c>
      <c r="C224" t="inlineStr">
        <is>
          <t>Föryngringsavverkning</t>
        </is>
      </c>
      <c r="D224" s="1" t="n">
        <v>44859</v>
      </c>
      <c r="E224" s="1" t="n">
        <v>46217</v>
      </c>
      <c r="F224" t="inlineStr">
        <is>
          <t>NORRBOTTENS LÄN</t>
        </is>
      </c>
      <c r="G224" t="inlineStr">
        <is>
          <t>ÖVERTORNEÅ</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1575-2026</t>
        </is>
      </c>
      <c r="B225" t="inlineStr">
        <is>
          <t>avverkningsanmälan</t>
        </is>
      </c>
      <c r="C225" t="inlineStr">
        <is>
          <t>Föryngringsavverkning</t>
        </is>
      </c>
      <c r="D225" s="1" t="n">
        <v>46034</v>
      </c>
      <c r="E225" s="1" t="n">
        <v>46217</v>
      </c>
      <c r="F225" t="inlineStr">
        <is>
          <t>NORRBOTTENS LÄN</t>
        </is>
      </c>
      <c r="G225" t="inlineStr">
        <is>
          <t>ÖVERTORNEÅ</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26716-2026</t>
        </is>
      </c>
      <c r="B226" t="inlineStr">
        <is>
          <t>avverkningsanmälan</t>
        </is>
      </c>
      <c r="C226" t="inlineStr">
        <is>
          <t>Föryngringsavverkning</t>
        </is>
      </c>
      <c r="D226" s="1" t="n">
        <v>46184</v>
      </c>
      <c r="E226" s="1" t="n">
        <v>46217</v>
      </c>
      <c r="F226" t="inlineStr">
        <is>
          <t>NORRBOTTENS LÄN</t>
        </is>
      </c>
      <c r="G226" t="inlineStr">
        <is>
          <t>ÖVERTORNEÅ</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27012-2026</t>
        </is>
      </c>
      <c r="B227" t="inlineStr">
        <is>
          <t>avverkningsanmälan</t>
        </is>
      </c>
      <c r="C227" t="inlineStr">
        <is>
          <t>Föryngringsavverkning</t>
        </is>
      </c>
      <c r="D227" s="1" t="n">
        <v>46185</v>
      </c>
      <c r="E227" s="1" t="n">
        <v>46217</v>
      </c>
      <c r="F227" t="inlineStr">
        <is>
          <t>NORRBOTTENS LÄN</t>
        </is>
      </c>
      <c r="G227" t="inlineStr">
        <is>
          <t>ÖVERTORNEÅ</t>
        </is>
      </c>
      <c r="I227" t="n">
        <v>22.7</v>
      </c>
      <c r="J227" t="n">
        <v>0</v>
      </c>
      <c r="K227" t="n">
        <v>0</v>
      </c>
      <c r="L227" t="n">
        <v>0</v>
      </c>
      <c r="M227" t="n">
        <v>0</v>
      </c>
      <c r="N227" t="n">
        <v>0</v>
      </c>
      <c r="O227" t="n">
        <v>0</v>
      </c>
      <c r="P227" t="n">
        <v>0</v>
      </c>
      <c r="Q227" t="n">
        <v>0</v>
      </c>
      <c r="R227" t="n">
        <v>0</v>
      </c>
      <c r="S227" t="n">
        <v>0</v>
      </c>
      <c r="T227" t="n">
        <v>0</v>
      </c>
      <c r="U227" s="2" t="inlineStr"/>
    </row>
    <row r="228" ht="15" customHeight="1">
      <c r="A228" t="inlineStr">
        <is>
          <t>A 27015-2026</t>
        </is>
      </c>
      <c r="B228" t="inlineStr">
        <is>
          <t>avverkningsanmälan</t>
        </is>
      </c>
      <c r="C228" t="inlineStr">
        <is>
          <t>Föryngringsavverkning</t>
        </is>
      </c>
      <c r="D228" s="1" t="n">
        <v>46185</v>
      </c>
      <c r="E228" s="1" t="n">
        <v>46217</v>
      </c>
      <c r="F228" t="inlineStr">
        <is>
          <t>NORRBOTTENS LÄN</t>
        </is>
      </c>
      <c r="G228" t="inlineStr">
        <is>
          <t>ÖVERTORNEÅ</t>
        </is>
      </c>
      <c r="I228" t="n">
        <v>10.6</v>
      </c>
      <c r="J228" t="n">
        <v>0</v>
      </c>
      <c r="K228" t="n">
        <v>0</v>
      </c>
      <c r="L228" t="n">
        <v>0</v>
      </c>
      <c r="M228" t="n">
        <v>0</v>
      </c>
      <c r="N228" t="n">
        <v>0</v>
      </c>
      <c r="O228" t="n">
        <v>0</v>
      </c>
      <c r="P228" t="n">
        <v>0</v>
      </c>
      <c r="Q228" t="n">
        <v>0</v>
      </c>
      <c r="R228" t="n">
        <v>0</v>
      </c>
      <c r="S228" t="n">
        <v>0</v>
      </c>
      <c r="T228" t="n">
        <v>0</v>
      </c>
      <c r="U228" s="2" t="inlineStr"/>
    </row>
    <row r="229" ht="15" customHeight="1">
      <c r="A229" t="inlineStr">
        <is>
          <t>A 26272-2026</t>
        </is>
      </c>
      <c r="B229" t="inlineStr">
        <is>
          <t>avverkningsanmälan</t>
        </is>
      </c>
      <c r="C229" t="inlineStr">
        <is>
          <t>Föryngringsavverkning</t>
        </is>
      </c>
      <c r="D229" s="1" t="n">
        <v>46182</v>
      </c>
      <c r="E229" s="1" t="n">
        <v>46217</v>
      </c>
      <c r="F229" t="inlineStr">
        <is>
          <t>NORRBOTTENS LÄN</t>
        </is>
      </c>
      <c r="G229" t="inlineStr">
        <is>
          <t>ÖVERTORNEÅ</t>
        </is>
      </c>
      <c r="I229" t="n">
        <v>3</v>
      </c>
      <c r="J229" t="n">
        <v>0</v>
      </c>
      <c r="K229" t="n">
        <v>0</v>
      </c>
      <c r="L229" t="n">
        <v>0</v>
      </c>
      <c r="M229" t="n">
        <v>0</v>
      </c>
      <c r="N229" t="n">
        <v>0</v>
      </c>
      <c r="O229" t="n">
        <v>0</v>
      </c>
      <c r="P229" t="n">
        <v>0</v>
      </c>
      <c r="Q229" t="n">
        <v>0</v>
      </c>
      <c r="R229" t="n">
        <v>0</v>
      </c>
      <c r="S229" t="n">
        <v>0</v>
      </c>
      <c r="T229" t="n">
        <v>0</v>
      </c>
      <c r="U229" s="2" t="inlineStr"/>
    </row>
    <row r="230" ht="15" customHeight="1">
      <c r="A230" t="inlineStr">
        <is>
          <t>A 27678-2026</t>
        </is>
      </c>
      <c r="B230" t="inlineStr">
        <is>
          <t>avverkningsanmälan</t>
        </is>
      </c>
      <c r="C230" t="inlineStr">
        <is>
          <t>Föryngringsavverkning</t>
        </is>
      </c>
      <c r="D230" s="1" t="n">
        <v>46190</v>
      </c>
      <c r="E230" s="1" t="n">
        <v>46217</v>
      </c>
      <c r="F230" t="inlineStr">
        <is>
          <t>NORRBOTTENS LÄN</t>
        </is>
      </c>
      <c r="G230" t="inlineStr">
        <is>
          <t>ÖVERTORNEÅ</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53810-2025</t>
        </is>
      </c>
      <c r="B231" t="inlineStr">
        <is>
          <t>avverkningsanmälan</t>
        </is>
      </c>
      <c r="C231" t="inlineStr">
        <is>
          <t>Föryngringsavverkning</t>
        </is>
      </c>
      <c r="D231" s="1" t="n">
        <v>45960</v>
      </c>
      <c r="E231" s="1" t="n">
        <v>46217</v>
      </c>
      <c r="F231" t="inlineStr">
        <is>
          <t>NORRBOTTENS LÄN</t>
        </is>
      </c>
      <c r="G231" t="inlineStr">
        <is>
          <t>ÖVERTORNEÅ</t>
        </is>
      </c>
      <c r="I231" t="n">
        <v>5.6</v>
      </c>
      <c r="J231" t="n">
        <v>0</v>
      </c>
      <c r="K231" t="n">
        <v>0</v>
      </c>
      <c r="L231" t="n">
        <v>0</v>
      </c>
      <c r="M231" t="n">
        <v>0</v>
      </c>
      <c r="N231" t="n">
        <v>0</v>
      </c>
      <c r="O231" t="n">
        <v>0</v>
      </c>
      <c r="P231" t="n">
        <v>0</v>
      </c>
      <c r="Q231" t="n">
        <v>0</v>
      </c>
      <c r="R231" t="n">
        <v>0</v>
      </c>
      <c r="S231" t="n">
        <v>0</v>
      </c>
      <c r="T231" t="n">
        <v>0</v>
      </c>
      <c r="U231" s="2" t="inlineStr"/>
    </row>
    <row r="232" ht="15" customHeight="1">
      <c r="A232" t="inlineStr">
        <is>
          <t>A 57849-2021</t>
        </is>
      </c>
      <c r="B232" t="inlineStr">
        <is>
          <t>avverkningsanmälan</t>
        </is>
      </c>
      <c r="C232" t="inlineStr">
        <is>
          <t>Föryngringsavverkning</t>
        </is>
      </c>
      <c r="D232" s="1" t="n">
        <v>44484</v>
      </c>
      <c r="E232" s="1" t="n">
        <v>46217</v>
      </c>
      <c r="F232" t="inlineStr">
        <is>
          <t>NORRBOTTENS LÄN</t>
        </is>
      </c>
      <c r="G232" t="inlineStr">
        <is>
          <t>ÖVERTORNEÅ</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10193-2024</t>
        </is>
      </c>
      <c r="B233" t="inlineStr">
        <is>
          <t>avverkningsanmälan</t>
        </is>
      </c>
      <c r="C233" t="inlineStr">
        <is>
          <t>Föryngringsavverkning</t>
        </is>
      </c>
      <c r="D233" s="1" t="n">
        <v>45364</v>
      </c>
      <c r="E233" s="1" t="n">
        <v>46217</v>
      </c>
      <c r="F233" t="inlineStr">
        <is>
          <t>NORRBOTTENS LÄN</t>
        </is>
      </c>
      <c r="G233" t="inlineStr">
        <is>
          <t>ÖVERTORNEÅ</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58691-2021</t>
        </is>
      </c>
      <c r="B234" t="inlineStr">
        <is>
          <t>avverkningsanmälan</t>
        </is>
      </c>
      <c r="C234" t="inlineStr">
        <is>
          <t>Föryngringsavverkning</t>
        </is>
      </c>
      <c r="D234" s="1" t="n">
        <v>44489</v>
      </c>
      <c r="E234" s="1" t="n">
        <v>46217</v>
      </c>
      <c r="F234" t="inlineStr">
        <is>
          <t>NORRBOTTENS LÄN</t>
        </is>
      </c>
      <c r="G234" t="inlineStr">
        <is>
          <t>ÖVERTORNEÅ</t>
        </is>
      </c>
      <c r="I234" t="n">
        <v>4</v>
      </c>
      <c r="J234" t="n">
        <v>0</v>
      </c>
      <c r="K234" t="n">
        <v>0</v>
      </c>
      <c r="L234" t="n">
        <v>0</v>
      </c>
      <c r="M234" t="n">
        <v>0</v>
      </c>
      <c r="N234" t="n">
        <v>0</v>
      </c>
      <c r="O234" t="n">
        <v>0</v>
      </c>
      <c r="P234" t="n">
        <v>0</v>
      </c>
      <c r="Q234" t="n">
        <v>0</v>
      </c>
      <c r="R234" t="n">
        <v>0</v>
      </c>
      <c r="S234" t="n">
        <v>0</v>
      </c>
      <c r="T234" t="n">
        <v>0</v>
      </c>
      <c r="U234" s="2" t="inlineStr"/>
    </row>
    <row r="235" ht="15" customHeight="1">
      <c r="A235" t="inlineStr">
        <is>
          <t>A 60537-2022</t>
        </is>
      </c>
      <c r="B235" t="inlineStr">
        <is>
          <t>avverkningsanmälan</t>
        </is>
      </c>
      <c r="C235" t="inlineStr">
        <is>
          <t>Föryngringsavverkning</t>
        </is>
      </c>
      <c r="D235" s="1" t="n">
        <v>44904</v>
      </c>
      <c r="E235" s="1" t="n">
        <v>46217</v>
      </c>
      <c r="F235" t="inlineStr">
        <is>
          <t>NORRBOTTENS LÄN</t>
        </is>
      </c>
      <c r="G235" t="inlineStr">
        <is>
          <t>ÖVERTORNEÅ</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60675-2025</t>
        </is>
      </c>
      <c r="B236" t="inlineStr">
        <is>
          <t>avverkningsanmälan</t>
        </is>
      </c>
      <c r="C236" t="inlineStr">
        <is>
          <t>Föryngringsavverkning</t>
        </is>
      </c>
      <c r="D236" s="1" t="n">
        <v>45996</v>
      </c>
      <c r="E236" s="1" t="n">
        <v>46217</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60522-2025</t>
        </is>
      </c>
      <c r="B237" t="inlineStr">
        <is>
          <t>avverkningsanmälan</t>
        </is>
      </c>
      <c r="C237" t="inlineStr">
        <is>
          <t>Föryngringsavverkning</t>
        </is>
      </c>
      <c r="D237" s="1" t="n">
        <v>45995</v>
      </c>
      <c r="E237" s="1" t="n">
        <v>46217</v>
      </c>
      <c r="F237" t="inlineStr">
        <is>
          <t>NORRBOTTENS LÄN</t>
        </is>
      </c>
      <c r="G237" t="inlineStr">
        <is>
          <t>ÖVERTORNEÅ</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69898-2021</t>
        </is>
      </c>
      <c r="B238" t="inlineStr">
        <is>
          <t>avverkningsanmälan</t>
        </is>
      </c>
      <c r="C238" t="inlineStr">
        <is>
          <t>Föryngringsavverkning</t>
        </is>
      </c>
      <c r="D238" s="1" t="n">
        <v>44532</v>
      </c>
      <c r="E238" s="1" t="n">
        <v>46217</v>
      </c>
      <c r="F238" t="inlineStr">
        <is>
          <t>NORRBOTTENS LÄN</t>
        </is>
      </c>
      <c r="G238" t="inlineStr">
        <is>
          <t>ÖVERTORNEÅ</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31329-2024</t>
        </is>
      </c>
      <c r="B239" t="inlineStr">
        <is>
          <t>avverkningsanmälan</t>
        </is>
      </c>
      <c r="C239" t="inlineStr">
        <is>
          <t>Föryngringsavverkning</t>
        </is>
      </c>
      <c r="D239" s="1" t="n">
        <v>45504</v>
      </c>
      <c r="E239" s="1" t="n">
        <v>46217</v>
      </c>
      <c r="F239" t="inlineStr">
        <is>
          <t>NORRBOTTENS LÄN</t>
        </is>
      </c>
      <c r="G239" t="inlineStr">
        <is>
          <t>ÖVERTORNEÅ</t>
        </is>
      </c>
      <c r="H239" t="inlineStr">
        <is>
          <t>Sveaskog</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24653-2024</t>
        </is>
      </c>
      <c r="B240" t="inlineStr">
        <is>
          <t>avverkningsanmälan</t>
        </is>
      </c>
      <c r="C240" t="inlineStr">
        <is>
          <t>Föryngringsavverkning</t>
        </is>
      </c>
      <c r="D240" s="1" t="n">
        <v>45460</v>
      </c>
      <c r="E240" s="1" t="n">
        <v>46217</v>
      </c>
      <c r="F240" t="inlineStr">
        <is>
          <t>NORRBOTTENS LÄN</t>
        </is>
      </c>
      <c r="G240" t="inlineStr">
        <is>
          <t>ÖVERTORNEÅ</t>
        </is>
      </c>
      <c r="H240" t="inlineStr">
        <is>
          <t>Sveaskog</t>
        </is>
      </c>
      <c r="I240" t="n">
        <v>9.699999999999999</v>
      </c>
      <c r="J240" t="n">
        <v>0</v>
      </c>
      <c r="K240" t="n">
        <v>0</v>
      </c>
      <c r="L240" t="n">
        <v>0</v>
      </c>
      <c r="M240" t="n">
        <v>0</v>
      </c>
      <c r="N240" t="n">
        <v>0</v>
      </c>
      <c r="O240" t="n">
        <v>0</v>
      </c>
      <c r="P240" t="n">
        <v>0</v>
      </c>
      <c r="Q240" t="n">
        <v>0</v>
      </c>
      <c r="R240" t="n">
        <v>0</v>
      </c>
      <c r="S240" t="n">
        <v>0</v>
      </c>
      <c r="T240" t="n">
        <v>0</v>
      </c>
      <c r="U240" s="2" t="inlineStr"/>
    </row>
    <row r="241" ht="15" customHeight="1">
      <c r="A241" t="inlineStr">
        <is>
          <t>A 597-2023</t>
        </is>
      </c>
      <c r="B241" t="inlineStr">
        <is>
          <t>avverkningsanmälan</t>
        </is>
      </c>
      <c r="C241" t="inlineStr">
        <is>
          <t>Föryngringsavverkning</t>
        </is>
      </c>
      <c r="D241" s="1" t="n">
        <v>44930</v>
      </c>
      <c r="E241" s="1" t="n">
        <v>46217</v>
      </c>
      <c r="F241" t="inlineStr">
        <is>
          <t>NORRBOTTENS LÄN</t>
        </is>
      </c>
      <c r="G241" t="inlineStr">
        <is>
          <t>ÖVERTORNEÅ</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61921-2025</t>
        </is>
      </c>
      <c r="B242" t="inlineStr">
        <is>
          <t>avverkningsanmälan</t>
        </is>
      </c>
      <c r="C242" t="inlineStr">
        <is>
          <t>Föryngringsavverkning</t>
        </is>
      </c>
      <c r="D242" s="1" t="n">
        <v>46003</v>
      </c>
      <c r="E242" s="1" t="n">
        <v>46217</v>
      </c>
      <c r="F242" t="inlineStr">
        <is>
          <t>NORRBOTTENS LÄN</t>
        </is>
      </c>
      <c r="G242" t="inlineStr">
        <is>
          <t>ÖVERTORNEÅ</t>
        </is>
      </c>
      <c r="I242" t="n">
        <v>18.4</v>
      </c>
      <c r="J242" t="n">
        <v>0</v>
      </c>
      <c r="K242" t="n">
        <v>0</v>
      </c>
      <c r="L242" t="n">
        <v>0</v>
      </c>
      <c r="M242" t="n">
        <v>0</v>
      </c>
      <c r="N242" t="n">
        <v>0</v>
      </c>
      <c r="O242" t="n">
        <v>0</v>
      </c>
      <c r="P242" t="n">
        <v>0</v>
      </c>
      <c r="Q242" t="n">
        <v>0</v>
      </c>
      <c r="R242" t="n">
        <v>0</v>
      </c>
      <c r="S242" t="n">
        <v>0</v>
      </c>
      <c r="T242" t="n">
        <v>0</v>
      </c>
      <c r="U242" s="2" t="inlineStr"/>
    </row>
    <row r="243" ht="15" customHeight="1">
      <c r="A243" t="inlineStr">
        <is>
          <t>A 61923-2025</t>
        </is>
      </c>
      <c r="B243" t="inlineStr">
        <is>
          <t>avverkningsanmälan</t>
        </is>
      </c>
      <c r="C243" t="inlineStr">
        <is>
          <t>Föryngringsavverkning</t>
        </is>
      </c>
      <c r="D243" s="1" t="n">
        <v>46003</v>
      </c>
      <c r="E243" s="1" t="n">
        <v>46217</v>
      </c>
      <c r="F243" t="inlineStr">
        <is>
          <t>NORRBOTTENS LÄN</t>
        </is>
      </c>
      <c r="G243" t="inlineStr">
        <is>
          <t>ÖVERTORNEÅ</t>
        </is>
      </c>
      <c r="I243" t="n">
        <v>13.5</v>
      </c>
      <c r="J243" t="n">
        <v>0</v>
      </c>
      <c r="K243" t="n">
        <v>0</v>
      </c>
      <c r="L243" t="n">
        <v>0</v>
      </c>
      <c r="M243" t="n">
        <v>0</v>
      </c>
      <c r="N243" t="n">
        <v>0</v>
      </c>
      <c r="O243" t="n">
        <v>0</v>
      </c>
      <c r="P243" t="n">
        <v>0</v>
      </c>
      <c r="Q243" t="n">
        <v>0</v>
      </c>
      <c r="R243" t="n">
        <v>0</v>
      </c>
      <c r="S243" t="n">
        <v>0</v>
      </c>
      <c r="T243" t="n">
        <v>0</v>
      </c>
      <c r="U243" s="2" t="inlineStr"/>
    </row>
    <row r="244" ht="15" customHeight="1">
      <c r="A244" t="inlineStr">
        <is>
          <t>A 62669-2025</t>
        </is>
      </c>
      <c r="B244" t="inlineStr">
        <is>
          <t>avverkningsanmälan</t>
        </is>
      </c>
      <c r="C244" t="inlineStr">
        <is>
          <t>Föryngringsavverkning</t>
        </is>
      </c>
      <c r="D244" s="1" t="n">
        <v>46008</v>
      </c>
      <c r="E244" s="1" t="n">
        <v>46217</v>
      </c>
      <c r="F244" t="inlineStr">
        <is>
          <t>NORRBOTTENS LÄN</t>
        </is>
      </c>
      <c r="G244" t="inlineStr">
        <is>
          <t>ÖVERTORNEÅ</t>
        </is>
      </c>
      <c r="I244" t="n">
        <v>3.9</v>
      </c>
      <c r="J244" t="n">
        <v>0</v>
      </c>
      <c r="K244" t="n">
        <v>0</v>
      </c>
      <c r="L244" t="n">
        <v>0</v>
      </c>
      <c r="M244" t="n">
        <v>0</v>
      </c>
      <c r="N244" t="n">
        <v>0</v>
      </c>
      <c r="O244" t="n">
        <v>0</v>
      </c>
      <c r="P244" t="n">
        <v>0</v>
      </c>
      <c r="Q244" t="n">
        <v>0</v>
      </c>
      <c r="R244" t="n">
        <v>0</v>
      </c>
      <c r="S244" t="n">
        <v>0</v>
      </c>
      <c r="T244" t="n">
        <v>0</v>
      </c>
      <c r="U244" s="2" t="inlineStr"/>
    </row>
    <row r="245" ht="15" customHeight="1">
      <c r="A245" t="inlineStr">
        <is>
          <t>A 62786-2025</t>
        </is>
      </c>
      <c r="B245" t="inlineStr">
        <is>
          <t>avverkningsanmälan</t>
        </is>
      </c>
      <c r="C245" t="inlineStr">
        <is>
          <t>Föryngringsavverkning</t>
        </is>
      </c>
      <c r="D245" s="1" t="n">
        <v>46008</v>
      </c>
      <c r="E245" s="1" t="n">
        <v>46217</v>
      </c>
      <c r="F245" t="inlineStr">
        <is>
          <t>NORRBOTTENS LÄN</t>
        </is>
      </c>
      <c r="G245" t="inlineStr">
        <is>
          <t>ÖVERTORNEÅ</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62658-2025</t>
        </is>
      </c>
      <c r="B246" t="inlineStr">
        <is>
          <t>avverkningsanmälan</t>
        </is>
      </c>
      <c r="C246" t="inlineStr">
        <is>
          <t>Föryngringsavverkning</t>
        </is>
      </c>
      <c r="D246" s="1" t="n">
        <v>46008</v>
      </c>
      <c r="E246" s="1" t="n">
        <v>46217</v>
      </c>
      <c r="F246" t="inlineStr">
        <is>
          <t>NORRBOTTENS LÄN</t>
        </is>
      </c>
      <c r="G246" t="inlineStr">
        <is>
          <t>ÖVERTORNEÅ</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24785-2024</t>
        </is>
      </c>
      <c r="B247" t="inlineStr">
        <is>
          <t>avverkningsanmälan</t>
        </is>
      </c>
      <c r="C247" t="inlineStr">
        <is>
          <t>Föryngringsavverkning</t>
        </is>
      </c>
      <c r="D247" s="1" t="n">
        <v>45460</v>
      </c>
      <c r="E247" s="1" t="n">
        <v>46217</v>
      </c>
      <c r="F247" t="inlineStr">
        <is>
          <t>NORRBOTTENS LÄN</t>
        </is>
      </c>
      <c r="G247" t="inlineStr">
        <is>
          <t>ÖVERTORNEÅ</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26162-2024</t>
        </is>
      </c>
      <c r="B248" t="inlineStr">
        <is>
          <t>avverkningsanmälan</t>
        </is>
      </c>
      <c r="C248" t="inlineStr">
        <is>
          <t>Föryngringsavverkning</t>
        </is>
      </c>
      <c r="D248" s="1" t="n">
        <v>45467</v>
      </c>
      <c r="E248" s="1" t="n">
        <v>46217</v>
      </c>
      <c r="F248" t="inlineStr">
        <is>
          <t>NORRBOTTENS LÄN</t>
        </is>
      </c>
      <c r="G248" t="inlineStr">
        <is>
          <t>ÖVERTORNEÅ</t>
        </is>
      </c>
      <c r="I248" t="n">
        <v>5.5</v>
      </c>
      <c r="J248" t="n">
        <v>0</v>
      </c>
      <c r="K248" t="n">
        <v>0</v>
      </c>
      <c r="L248" t="n">
        <v>0</v>
      </c>
      <c r="M248" t="n">
        <v>0</v>
      </c>
      <c r="N248" t="n">
        <v>0</v>
      </c>
      <c r="O248" t="n">
        <v>0</v>
      </c>
      <c r="P248" t="n">
        <v>0</v>
      </c>
      <c r="Q248" t="n">
        <v>0</v>
      </c>
      <c r="R248" t="n">
        <v>0</v>
      </c>
      <c r="S248" t="n">
        <v>0</v>
      </c>
      <c r="T248" t="n">
        <v>0</v>
      </c>
      <c r="U248" s="2" t="inlineStr"/>
    </row>
    <row r="249" ht="15" customHeight="1">
      <c r="A249" t="inlineStr">
        <is>
          <t>A 62653-2025</t>
        </is>
      </c>
      <c r="B249" t="inlineStr">
        <is>
          <t>avverkningsanmälan</t>
        </is>
      </c>
      <c r="C249" t="inlineStr">
        <is>
          <t>Föryngringsavverkning</t>
        </is>
      </c>
      <c r="D249" s="1" t="n">
        <v>46008</v>
      </c>
      <c r="E249" s="1" t="n">
        <v>46217</v>
      </c>
      <c r="F249" t="inlineStr">
        <is>
          <t>NORRBOTTENS LÄN</t>
        </is>
      </c>
      <c r="G249" t="inlineStr">
        <is>
          <t>ÖVERTORNEÅ</t>
        </is>
      </c>
      <c r="I249" t="n">
        <v>8</v>
      </c>
      <c r="J249" t="n">
        <v>0</v>
      </c>
      <c r="K249" t="n">
        <v>0</v>
      </c>
      <c r="L249" t="n">
        <v>0</v>
      </c>
      <c r="M249" t="n">
        <v>0</v>
      </c>
      <c r="N249" t="n">
        <v>0</v>
      </c>
      <c r="O249" t="n">
        <v>0</v>
      </c>
      <c r="P249" t="n">
        <v>0</v>
      </c>
      <c r="Q249" t="n">
        <v>0</v>
      </c>
      <c r="R249" t="n">
        <v>0</v>
      </c>
      <c r="S249" t="n">
        <v>0</v>
      </c>
      <c r="T249" t="n">
        <v>0</v>
      </c>
      <c r="U249" s="2" t="inlineStr"/>
    </row>
    <row r="250" ht="15" customHeight="1">
      <c r="A250" t="inlineStr">
        <is>
          <t>A 34579-2024</t>
        </is>
      </c>
      <c r="B250" t="inlineStr">
        <is>
          <t>avverkningsanmälan</t>
        </is>
      </c>
      <c r="C250" t="inlineStr">
        <is>
          <t>Föryngringsavverkning</t>
        </is>
      </c>
      <c r="D250" s="1" t="n">
        <v>45526</v>
      </c>
      <c r="E250" s="1" t="n">
        <v>46217</v>
      </c>
      <c r="F250" t="inlineStr">
        <is>
          <t>NORRBOTTENS LÄN</t>
        </is>
      </c>
      <c r="G250" t="inlineStr">
        <is>
          <t>ÖVERTORNEÅ</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63174-2025</t>
        </is>
      </c>
      <c r="B251" t="inlineStr">
        <is>
          <t>avverkningsanmälan</t>
        </is>
      </c>
      <c r="C251" t="inlineStr">
        <is>
          <t>Föryngringsavverkning</t>
        </is>
      </c>
      <c r="D251" s="1" t="n">
        <v>46010</v>
      </c>
      <c r="E251" s="1" t="n">
        <v>46217</v>
      </c>
      <c r="F251" t="inlineStr">
        <is>
          <t>NORRBOTTENS LÄN</t>
        </is>
      </c>
      <c r="G251" t="inlineStr">
        <is>
          <t>ÖVERTORNEÅ</t>
        </is>
      </c>
      <c r="I251" t="n">
        <v>8.800000000000001</v>
      </c>
      <c r="J251" t="n">
        <v>0</v>
      </c>
      <c r="K251" t="n">
        <v>0</v>
      </c>
      <c r="L251" t="n">
        <v>0</v>
      </c>
      <c r="M251" t="n">
        <v>0</v>
      </c>
      <c r="N251" t="n">
        <v>0</v>
      </c>
      <c r="O251" t="n">
        <v>0</v>
      </c>
      <c r="P251" t="n">
        <v>0</v>
      </c>
      <c r="Q251" t="n">
        <v>0</v>
      </c>
      <c r="R251" t="n">
        <v>0</v>
      </c>
      <c r="S251" t="n">
        <v>0</v>
      </c>
      <c r="T251" t="n">
        <v>0</v>
      </c>
      <c r="U251" s="2" t="inlineStr"/>
    </row>
    <row r="252" ht="15" customHeight="1">
      <c r="A252" t="inlineStr">
        <is>
          <t>A 10528-2023</t>
        </is>
      </c>
      <c r="B252" t="inlineStr">
        <is>
          <t>avverkningsanmälan</t>
        </is>
      </c>
      <c r="C252" t="inlineStr">
        <is>
          <t>Avverkning för annat ändamål</t>
        </is>
      </c>
      <c r="D252" s="1" t="n">
        <v>44987</v>
      </c>
      <c r="E252" s="1" t="n">
        <v>46217</v>
      </c>
      <c r="F252" t="inlineStr">
        <is>
          <t>NORRBOTTENS LÄN</t>
        </is>
      </c>
      <c r="G252" t="inlineStr">
        <is>
          <t>ÖVERTORNEÅ</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49299-2024</t>
        </is>
      </c>
      <c r="B253" t="inlineStr">
        <is>
          <t>avverkningsanmälan</t>
        </is>
      </c>
      <c r="C253" t="inlineStr">
        <is>
          <t>Föryngringsavverkning</t>
        </is>
      </c>
      <c r="D253" s="1" t="n">
        <v>45595</v>
      </c>
      <c r="E253" s="1" t="n">
        <v>46217</v>
      </c>
      <c r="F253" t="inlineStr">
        <is>
          <t>NORRBOTTENS LÄN</t>
        </is>
      </c>
      <c r="G253" t="inlineStr">
        <is>
          <t>ÖVERTORNEÅ</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4250-2025</t>
        </is>
      </c>
      <c r="B254" t="inlineStr">
        <is>
          <t>avverkningsanmälan</t>
        </is>
      </c>
      <c r="C254" t="inlineStr">
        <is>
          <t>Föryngringsavverkning</t>
        </is>
      </c>
      <c r="D254" s="1" t="n">
        <v>45685</v>
      </c>
      <c r="E254" s="1" t="n">
        <v>46217</v>
      </c>
      <c r="F254" t="inlineStr">
        <is>
          <t>NORRBOTTENS LÄN</t>
        </is>
      </c>
      <c r="G254" t="inlineStr">
        <is>
          <t>ÖVERTORNEÅ</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44096-2023</t>
        </is>
      </c>
      <c r="B255" t="inlineStr">
        <is>
          <t>avverkningsanmälan</t>
        </is>
      </c>
      <c r="C255" t="inlineStr">
        <is>
          <t>Föryngringsavverkning</t>
        </is>
      </c>
      <c r="D255" s="1" t="n">
        <v>45188</v>
      </c>
      <c r="E255" s="1" t="n">
        <v>46217</v>
      </c>
      <c r="F255" t="inlineStr">
        <is>
          <t>NORRBOTTENS LÄN</t>
        </is>
      </c>
      <c r="G255" t="inlineStr">
        <is>
          <t>ÖVERTORNEÅ</t>
        </is>
      </c>
      <c r="I255" t="n">
        <v>16.2</v>
      </c>
      <c r="J255" t="n">
        <v>0</v>
      </c>
      <c r="K255" t="n">
        <v>0</v>
      </c>
      <c r="L255" t="n">
        <v>0</v>
      </c>
      <c r="M255" t="n">
        <v>0</v>
      </c>
      <c r="N255" t="n">
        <v>0</v>
      </c>
      <c r="O255" t="n">
        <v>0</v>
      </c>
      <c r="P255" t="n">
        <v>0</v>
      </c>
      <c r="Q255" t="n">
        <v>0</v>
      </c>
      <c r="R255" t="n">
        <v>0</v>
      </c>
      <c r="S255" t="n">
        <v>0</v>
      </c>
      <c r="T255" t="n">
        <v>0</v>
      </c>
      <c r="U255" s="2" t="inlineStr"/>
    </row>
    <row r="256" ht="15" customHeight="1">
      <c r="A256" t="inlineStr">
        <is>
          <t>A 34798-2025</t>
        </is>
      </c>
      <c r="B256" t="inlineStr">
        <is>
          <t>avverkningsanmälan</t>
        </is>
      </c>
      <c r="C256" t="inlineStr">
        <is>
          <t>Föryngringsavverkning</t>
        </is>
      </c>
      <c r="D256" s="1" t="n">
        <v>45848</v>
      </c>
      <c r="E256" s="1" t="n">
        <v>46217</v>
      </c>
      <c r="F256" t="inlineStr">
        <is>
          <t>NORRBOTTENS LÄN</t>
        </is>
      </c>
      <c r="G256" t="inlineStr">
        <is>
          <t>ÖVERTORNEÅ</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23055-2024</t>
        </is>
      </c>
      <c r="B257" t="inlineStr">
        <is>
          <t>avverkningsanmälan</t>
        </is>
      </c>
      <c r="C257" t="inlineStr">
        <is>
          <t>Föryngringsavverkning</t>
        </is>
      </c>
      <c r="D257" s="1" t="n">
        <v>45449</v>
      </c>
      <c r="E257" s="1" t="n">
        <v>46217</v>
      </c>
      <c r="F257" t="inlineStr">
        <is>
          <t>NORRBOTTENS LÄN</t>
        </is>
      </c>
      <c r="G257" t="inlineStr">
        <is>
          <t>ÖVERTORNEÅ</t>
        </is>
      </c>
      <c r="I257" t="n">
        <v>4.2</v>
      </c>
      <c r="J257" t="n">
        <v>0</v>
      </c>
      <c r="K257" t="n">
        <v>0</v>
      </c>
      <c r="L257" t="n">
        <v>0</v>
      </c>
      <c r="M257" t="n">
        <v>0</v>
      </c>
      <c r="N257" t="n">
        <v>0</v>
      </c>
      <c r="O257" t="n">
        <v>0</v>
      </c>
      <c r="P257" t="n">
        <v>0</v>
      </c>
      <c r="Q257" t="n">
        <v>0</v>
      </c>
      <c r="R257" t="n">
        <v>0</v>
      </c>
      <c r="S257" t="n">
        <v>0</v>
      </c>
      <c r="T257" t="n">
        <v>0</v>
      </c>
      <c r="U257" s="2" t="inlineStr"/>
    </row>
    <row r="258" ht="15" customHeight="1">
      <c r="A258" t="inlineStr">
        <is>
          <t>A 48036-2024</t>
        </is>
      </c>
      <c r="B258" t="inlineStr">
        <is>
          <t>avverkningsanmälan</t>
        </is>
      </c>
      <c r="C258" t="inlineStr">
        <is>
          <t>Föryngringsavverkning</t>
        </is>
      </c>
      <c r="D258" s="1" t="n">
        <v>45589</v>
      </c>
      <c r="E258" s="1" t="n">
        <v>46217</v>
      </c>
      <c r="F258" t="inlineStr">
        <is>
          <t>NORRBOTTENS LÄN</t>
        </is>
      </c>
      <c r="G258" t="inlineStr">
        <is>
          <t>ÖVERTORNEÅ</t>
        </is>
      </c>
      <c r="H258" t="inlineStr">
        <is>
          <t>Kommuner</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16028-2024</t>
        </is>
      </c>
      <c r="B259" t="inlineStr">
        <is>
          <t>avverkningsanmälan</t>
        </is>
      </c>
      <c r="C259" t="inlineStr">
        <is>
          <t>Föryngringsavverkning</t>
        </is>
      </c>
      <c r="D259" s="1" t="n">
        <v>45405</v>
      </c>
      <c r="E259" s="1" t="n">
        <v>46217</v>
      </c>
      <c r="F259" t="inlineStr">
        <is>
          <t>NORRBOTTENS LÄN</t>
        </is>
      </c>
      <c r="G259" t="inlineStr">
        <is>
          <t>ÖVERTORNEÅ</t>
        </is>
      </c>
      <c r="I259" t="n">
        <v>3</v>
      </c>
      <c r="J259" t="n">
        <v>0</v>
      </c>
      <c r="K259" t="n">
        <v>0</v>
      </c>
      <c r="L259" t="n">
        <v>0</v>
      </c>
      <c r="M259" t="n">
        <v>0</v>
      </c>
      <c r="N259" t="n">
        <v>0</v>
      </c>
      <c r="O259" t="n">
        <v>0</v>
      </c>
      <c r="P259" t="n">
        <v>0</v>
      </c>
      <c r="Q259" t="n">
        <v>0</v>
      </c>
      <c r="R259" t="n">
        <v>0</v>
      </c>
      <c r="S259" t="n">
        <v>0</v>
      </c>
      <c r="T259" t="n">
        <v>0</v>
      </c>
      <c r="U259" s="2" t="inlineStr"/>
    </row>
    <row r="260" ht="15" customHeight="1">
      <c r="A260" t="inlineStr">
        <is>
          <t>A 22600-2026</t>
        </is>
      </c>
      <c r="B260" t="inlineStr">
        <is>
          <t>avverkningsanmälan</t>
        </is>
      </c>
      <c r="C260" t="inlineStr">
        <is>
          <t>Föryngringsavverkning</t>
        </is>
      </c>
      <c r="D260" s="1" t="n">
        <v>46155</v>
      </c>
      <c r="E260" s="1" t="n">
        <v>46217</v>
      </c>
      <c r="F260" t="inlineStr">
        <is>
          <t>NORRBOTTENS LÄN</t>
        </is>
      </c>
      <c r="G260" t="inlineStr">
        <is>
          <t>ÖVERTORNEÅ</t>
        </is>
      </c>
      <c r="I260" t="n">
        <v>2.5</v>
      </c>
      <c r="J260" t="n">
        <v>0</v>
      </c>
      <c r="K260" t="n">
        <v>0</v>
      </c>
      <c r="L260" t="n">
        <v>0</v>
      </c>
      <c r="M260" t="n">
        <v>0</v>
      </c>
      <c r="N260" t="n">
        <v>0</v>
      </c>
      <c r="O260" t="n">
        <v>0</v>
      </c>
      <c r="P260" t="n">
        <v>0</v>
      </c>
      <c r="Q260" t="n">
        <v>0</v>
      </c>
      <c r="R260" t="n">
        <v>0</v>
      </c>
      <c r="S260" t="n">
        <v>0</v>
      </c>
      <c r="T260" t="n">
        <v>0</v>
      </c>
      <c r="U260" s="2" t="inlineStr"/>
    </row>
    <row r="261" ht="15" customHeight="1">
      <c r="A261" t="inlineStr">
        <is>
          <t>A 28927-2024</t>
        </is>
      </c>
      <c r="B261" t="inlineStr">
        <is>
          <t>avverkningsanmälan</t>
        </is>
      </c>
      <c r="C261" t="inlineStr">
        <is>
          <t>Föryngringsavverkning</t>
        </is>
      </c>
      <c r="D261" s="1" t="n">
        <v>45481</v>
      </c>
      <c r="E261" s="1" t="n">
        <v>46217</v>
      </c>
      <c r="F261" t="inlineStr">
        <is>
          <t>NORRBOTTENS LÄN</t>
        </is>
      </c>
      <c r="G261" t="inlineStr">
        <is>
          <t>ÖVERTORNEÅ</t>
        </is>
      </c>
      <c r="H261" t="inlineStr">
        <is>
          <t>Sveaskog</t>
        </is>
      </c>
      <c r="I261" t="n">
        <v>7.8</v>
      </c>
      <c r="J261" t="n">
        <v>0</v>
      </c>
      <c r="K261" t="n">
        <v>0</v>
      </c>
      <c r="L261" t="n">
        <v>0</v>
      </c>
      <c r="M261" t="n">
        <v>0</v>
      </c>
      <c r="N261" t="n">
        <v>0</v>
      </c>
      <c r="O261" t="n">
        <v>0</v>
      </c>
      <c r="P261" t="n">
        <v>0</v>
      </c>
      <c r="Q261" t="n">
        <v>0</v>
      </c>
      <c r="R261" t="n">
        <v>0</v>
      </c>
      <c r="S261" t="n">
        <v>0</v>
      </c>
      <c r="T261" t="n">
        <v>0</v>
      </c>
      <c r="U261" s="2" t="inlineStr"/>
    </row>
    <row r="262" ht="15" customHeight="1">
      <c r="A262" t="inlineStr">
        <is>
          <t>A 1775-2026</t>
        </is>
      </c>
      <c r="B262" t="inlineStr">
        <is>
          <t>avverkningsanmälan</t>
        </is>
      </c>
      <c r="C262" t="inlineStr">
        <is>
          <t>Avverkning för annat ändamål</t>
        </is>
      </c>
      <c r="D262" s="1" t="n">
        <v>46034</v>
      </c>
      <c r="E262" s="1" t="n">
        <v>46217</v>
      </c>
      <c r="F262" t="inlineStr">
        <is>
          <t>NORRBOTTENS LÄN</t>
        </is>
      </c>
      <c r="G262" t="inlineStr">
        <is>
          <t>ÖVERTORNEÅ</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1779-2026</t>
        </is>
      </c>
      <c r="B263" t="inlineStr">
        <is>
          <t>avverkningsanmälan</t>
        </is>
      </c>
      <c r="C263" t="inlineStr">
        <is>
          <t>Föryngringsavverkning</t>
        </is>
      </c>
      <c r="D263" s="1" t="n">
        <v>46034</v>
      </c>
      <c r="E263" s="1" t="n">
        <v>46217</v>
      </c>
      <c r="F263" t="inlineStr">
        <is>
          <t>NORRBOTTENS LÄN</t>
        </is>
      </c>
      <c r="G263" t="inlineStr">
        <is>
          <t>ÖVERTORNEÅ</t>
        </is>
      </c>
      <c r="I263" t="n">
        <v>4.6</v>
      </c>
      <c r="J263" t="n">
        <v>0</v>
      </c>
      <c r="K263" t="n">
        <v>0</v>
      </c>
      <c r="L263" t="n">
        <v>0</v>
      </c>
      <c r="M263" t="n">
        <v>0</v>
      </c>
      <c r="N263" t="n">
        <v>0</v>
      </c>
      <c r="O263" t="n">
        <v>0</v>
      </c>
      <c r="P263" t="n">
        <v>0</v>
      </c>
      <c r="Q263" t="n">
        <v>0</v>
      </c>
      <c r="R263" t="n">
        <v>0</v>
      </c>
      <c r="S263" t="n">
        <v>0</v>
      </c>
      <c r="T263" t="n">
        <v>0</v>
      </c>
      <c r="U263" s="2" t="inlineStr"/>
    </row>
    <row r="264" ht="15" customHeight="1">
      <c r="A264" t="inlineStr">
        <is>
          <t>A 2421-2026</t>
        </is>
      </c>
      <c r="B264" t="inlineStr">
        <is>
          <t>avverkningsanmälan</t>
        </is>
      </c>
      <c r="C264" t="inlineStr">
        <is>
          <t>Föryngringsavverkning</t>
        </is>
      </c>
      <c r="D264" s="1" t="n">
        <v>46034</v>
      </c>
      <c r="E264" s="1" t="n">
        <v>46217</v>
      </c>
      <c r="F264" t="inlineStr">
        <is>
          <t>NORRBOTTENS LÄN</t>
        </is>
      </c>
      <c r="G264" t="inlineStr">
        <is>
          <t>ÖVERTORNEÅ</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2422-2026</t>
        </is>
      </c>
      <c r="B265" t="inlineStr">
        <is>
          <t>avverkningsanmälan</t>
        </is>
      </c>
      <c r="C265" t="inlineStr">
        <is>
          <t>Föryngringsavverkning</t>
        </is>
      </c>
      <c r="D265" s="1" t="n">
        <v>46034</v>
      </c>
      <c r="E265" s="1" t="n">
        <v>46217</v>
      </c>
      <c r="F265" t="inlineStr">
        <is>
          <t>NORRBOTTENS LÄN</t>
        </is>
      </c>
      <c r="G265" t="inlineStr">
        <is>
          <t>ÖVERTORNEÅ</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1783-2026</t>
        </is>
      </c>
      <c r="B266" t="inlineStr">
        <is>
          <t>avverkningsanmälan</t>
        </is>
      </c>
      <c r="C266" t="inlineStr">
        <is>
          <t>Föryngringsavverkning</t>
        </is>
      </c>
      <c r="D266" s="1" t="n">
        <v>46034</v>
      </c>
      <c r="E266" s="1" t="n">
        <v>46217</v>
      </c>
      <c r="F266" t="inlineStr">
        <is>
          <t>NORRBOTTENS LÄN</t>
        </is>
      </c>
      <c r="G266" t="inlineStr">
        <is>
          <t>ÖVERTORNEÅ</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1444-2026</t>
        </is>
      </c>
      <c r="B267" t="inlineStr">
        <is>
          <t>avverkningsanmälan</t>
        </is>
      </c>
      <c r="C267" t="inlineStr">
        <is>
          <t>Föryngringsavverkning</t>
        </is>
      </c>
      <c r="D267" s="1" t="n">
        <v>46032</v>
      </c>
      <c r="E267" s="1" t="n">
        <v>46217</v>
      </c>
      <c r="F267" t="inlineStr">
        <is>
          <t>NORRBOTTENS LÄN</t>
        </is>
      </c>
      <c r="G267" t="inlineStr">
        <is>
          <t>ÖVERTORNEÅ</t>
        </is>
      </c>
      <c r="I267" t="n">
        <v>6</v>
      </c>
      <c r="J267" t="n">
        <v>0</v>
      </c>
      <c r="K267" t="n">
        <v>0</v>
      </c>
      <c r="L267" t="n">
        <v>0</v>
      </c>
      <c r="M267" t="n">
        <v>0</v>
      </c>
      <c r="N267" t="n">
        <v>0</v>
      </c>
      <c r="O267" t="n">
        <v>0</v>
      </c>
      <c r="P267" t="n">
        <v>0</v>
      </c>
      <c r="Q267" t="n">
        <v>0</v>
      </c>
      <c r="R267" t="n">
        <v>0</v>
      </c>
      <c r="S267" t="n">
        <v>0</v>
      </c>
      <c r="T267" t="n">
        <v>0</v>
      </c>
      <c r="U267" s="2" t="inlineStr"/>
    </row>
    <row r="268" ht="15" customHeight="1">
      <c r="A268" t="inlineStr">
        <is>
          <t>A 1558-2026</t>
        </is>
      </c>
      <c r="B268" t="inlineStr">
        <is>
          <t>avverkningsanmälan</t>
        </is>
      </c>
      <c r="C268" t="inlineStr">
        <is>
          <t>Föryngringsavverkning</t>
        </is>
      </c>
      <c r="D268" s="1" t="n">
        <v>46034</v>
      </c>
      <c r="E268" s="1" t="n">
        <v>46217</v>
      </c>
      <c r="F268" t="inlineStr">
        <is>
          <t>NORRBOTTENS LÄN</t>
        </is>
      </c>
      <c r="G268" t="inlineStr">
        <is>
          <t>ÖVERTORNEÅ</t>
        </is>
      </c>
      <c r="I268" t="n">
        <v>2.9</v>
      </c>
      <c r="J268" t="n">
        <v>0</v>
      </c>
      <c r="K268" t="n">
        <v>0</v>
      </c>
      <c r="L268" t="n">
        <v>0</v>
      </c>
      <c r="M268" t="n">
        <v>0</v>
      </c>
      <c r="N268" t="n">
        <v>0</v>
      </c>
      <c r="O268" t="n">
        <v>0</v>
      </c>
      <c r="P268" t="n">
        <v>0</v>
      </c>
      <c r="Q268" t="n">
        <v>0</v>
      </c>
      <c r="R268" t="n">
        <v>0</v>
      </c>
      <c r="S268" t="n">
        <v>0</v>
      </c>
      <c r="T268" t="n">
        <v>0</v>
      </c>
      <c r="U268" s="2" t="inlineStr"/>
    </row>
    <row r="269" ht="15" customHeight="1">
      <c r="A269" t="inlineStr">
        <is>
          <t>A 1782-2026</t>
        </is>
      </c>
      <c r="B269" t="inlineStr">
        <is>
          <t>avverkningsanmälan</t>
        </is>
      </c>
      <c r="C269" t="inlineStr">
        <is>
          <t>Föryngringsavverkning</t>
        </is>
      </c>
      <c r="D269" s="1" t="n">
        <v>46034</v>
      </c>
      <c r="E269" s="1" t="n">
        <v>46217</v>
      </c>
      <c r="F269" t="inlineStr">
        <is>
          <t>NORRBOTTENS LÄN</t>
        </is>
      </c>
      <c r="G269" t="inlineStr">
        <is>
          <t>ÖVERTORNEÅ</t>
        </is>
      </c>
      <c r="I269" t="n">
        <v>5.2</v>
      </c>
      <c r="J269" t="n">
        <v>0</v>
      </c>
      <c r="K269" t="n">
        <v>0</v>
      </c>
      <c r="L269" t="n">
        <v>0</v>
      </c>
      <c r="M269" t="n">
        <v>0</v>
      </c>
      <c r="N269" t="n">
        <v>0</v>
      </c>
      <c r="O269" t="n">
        <v>0</v>
      </c>
      <c r="P269" t="n">
        <v>0</v>
      </c>
      <c r="Q269" t="n">
        <v>0</v>
      </c>
      <c r="R269" t="n">
        <v>0</v>
      </c>
      <c r="S269" t="n">
        <v>0</v>
      </c>
      <c r="T269" t="n">
        <v>0</v>
      </c>
      <c r="U269" s="2" t="inlineStr"/>
    </row>
    <row r="270" ht="15" customHeight="1">
      <c r="A270" t="inlineStr">
        <is>
          <t>A 12653-2025</t>
        </is>
      </c>
      <c r="B270" t="inlineStr">
        <is>
          <t>avverkningsanmälan</t>
        </is>
      </c>
      <c r="C270" t="inlineStr">
        <is>
          <t>Föryngringsavverkning</t>
        </is>
      </c>
      <c r="D270" s="1" t="n">
        <v>45733</v>
      </c>
      <c r="E270" s="1" t="n">
        <v>46217</v>
      </c>
      <c r="F270" t="inlineStr">
        <is>
          <t>NORRBOTTENS LÄN</t>
        </is>
      </c>
      <c r="G270" t="inlineStr">
        <is>
          <t>ÖVERTORNEÅ</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33518-2023</t>
        </is>
      </c>
      <c r="B271" t="inlineStr">
        <is>
          <t>avverkningsanmälan</t>
        </is>
      </c>
      <c r="C271" t="inlineStr">
        <is>
          <t>Föryngringsavverkning</t>
        </is>
      </c>
      <c r="D271" s="1" t="n">
        <v>45118</v>
      </c>
      <c r="E271" s="1" t="n">
        <v>46217</v>
      </c>
      <c r="F271" t="inlineStr">
        <is>
          <t>NORRBOTTENS LÄN</t>
        </is>
      </c>
      <c r="G271" t="inlineStr">
        <is>
          <t>ÖVERTORNEÅ</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31827-2024</t>
        </is>
      </c>
      <c r="B272" t="inlineStr">
        <is>
          <t>avverkningsanmälan</t>
        </is>
      </c>
      <c r="C272" t="inlineStr">
        <is>
          <t>Föryngringsavverkning</t>
        </is>
      </c>
      <c r="D272" s="1" t="n">
        <v>45509</v>
      </c>
      <c r="E272" s="1" t="n">
        <v>46217</v>
      </c>
      <c r="F272" t="inlineStr">
        <is>
          <t>NORRBOTTENS LÄN</t>
        </is>
      </c>
      <c r="G272" t="inlineStr">
        <is>
          <t>ÖVERTORNEÅ</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28457-2026</t>
        </is>
      </c>
      <c r="B273" t="inlineStr">
        <is>
          <t>avverkningsanmälan</t>
        </is>
      </c>
      <c r="C273" t="inlineStr">
        <is>
          <t>Föryngringsavverkning</t>
        </is>
      </c>
      <c r="D273" s="1" t="n">
        <v>46197</v>
      </c>
      <c r="E273" s="1" t="n">
        <v>46217</v>
      </c>
      <c r="F273" t="inlineStr">
        <is>
          <t>NORRBOTTENS LÄN</t>
        </is>
      </c>
      <c r="G273" t="inlineStr">
        <is>
          <t>ÖVERTORNEÅ</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59662-2024</t>
        </is>
      </c>
      <c r="B274" t="inlineStr">
        <is>
          <t>avverkningsanmälan</t>
        </is>
      </c>
      <c r="C274" t="inlineStr">
        <is>
          <t>Föryngringsavverkning</t>
        </is>
      </c>
      <c r="D274" s="1" t="n">
        <v>45639</v>
      </c>
      <c r="E274" s="1" t="n">
        <v>46217</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2904-2026</t>
        </is>
      </c>
      <c r="B275" t="inlineStr">
        <is>
          <t>avverkningsanmälan</t>
        </is>
      </c>
      <c r="C275" t="inlineStr">
        <is>
          <t>Föryngringsavverkning</t>
        </is>
      </c>
      <c r="D275" s="1" t="n">
        <v>46038</v>
      </c>
      <c r="E275" s="1" t="n">
        <v>46217</v>
      </c>
      <c r="F275" t="inlineStr">
        <is>
          <t>NORRBOTTENS LÄN</t>
        </is>
      </c>
      <c r="G275" t="inlineStr">
        <is>
          <t>ÖVERTORNEÅ</t>
        </is>
      </c>
      <c r="I275" t="n">
        <v>7.3</v>
      </c>
      <c r="J275" t="n">
        <v>0</v>
      </c>
      <c r="K275" t="n">
        <v>0</v>
      </c>
      <c r="L275" t="n">
        <v>0</v>
      </c>
      <c r="M275" t="n">
        <v>0</v>
      </c>
      <c r="N275" t="n">
        <v>0</v>
      </c>
      <c r="O275" t="n">
        <v>0</v>
      </c>
      <c r="P275" t="n">
        <v>0</v>
      </c>
      <c r="Q275" t="n">
        <v>0</v>
      </c>
      <c r="R275" t="n">
        <v>0</v>
      </c>
      <c r="S275" t="n">
        <v>0</v>
      </c>
      <c r="T275" t="n">
        <v>0</v>
      </c>
      <c r="U275" s="2" t="inlineStr"/>
    </row>
    <row r="276" ht="15" customHeight="1">
      <c r="A276" t="inlineStr">
        <is>
          <t>A 2894-2026</t>
        </is>
      </c>
      <c r="B276" t="inlineStr">
        <is>
          <t>avverkningsanmälan</t>
        </is>
      </c>
      <c r="C276" t="inlineStr">
        <is>
          <t>Föryngringsavverkning</t>
        </is>
      </c>
      <c r="D276" s="1" t="n">
        <v>46038</v>
      </c>
      <c r="E276" s="1" t="n">
        <v>46217</v>
      </c>
      <c r="F276" t="inlineStr">
        <is>
          <t>NORRBOTTENS LÄN</t>
        </is>
      </c>
      <c r="G276" t="inlineStr">
        <is>
          <t>ÖVERTORNEÅ</t>
        </is>
      </c>
      <c r="I276" t="n">
        <v>6.6</v>
      </c>
      <c r="J276" t="n">
        <v>0</v>
      </c>
      <c r="K276" t="n">
        <v>0</v>
      </c>
      <c r="L276" t="n">
        <v>0</v>
      </c>
      <c r="M276" t="n">
        <v>0</v>
      </c>
      <c r="N276" t="n">
        <v>0</v>
      </c>
      <c r="O276" t="n">
        <v>0</v>
      </c>
      <c r="P276" t="n">
        <v>0</v>
      </c>
      <c r="Q276" t="n">
        <v>0</v>
      </c>
      <c r="R276" t="n">
        <v>0</v>
      </c>
      <c r="S276" t="n">
        <v>0</v>
      </c>
      <c r="T276" t="n">
        <v>0</v>
      </c>
      <c r="U276" s="2" t="inlineStr"/>
    </row>
    <row r="277" ht="15" customHeight="1">
      <c r="A277" t="inlineStr">
        <is>
          <t>A 2918-2026</t>
        </is>
      </c>
      <c r="B277" t="inlineStr">
        <is>
          <t>avverkningsanmälan</t>
        </is>
      </c>
      <c r="C277" t="inlineStr">
        <is>
          <t>Föryngringsavverkning</t>
        </is>
      </c>
      <c r="D277" s="1" t="n">
        <v>46038</v>
      </c>
      <c r="E277" s="1" t="n">
        <v>46217</v>
      </c>
      <c r="F277" t="inlineStr">
        <is>
          <t>NORRBOTTENS LÄN</t>
        </is>
      </c>
      <c r="G277" t="inlineStr">
        <is>
          <t>ÖVERTORNEÅ</t>
        </is>
      </c>
      <c r="I277" t="n">
        <v>4</v>
      </c>
      <c r="J277" t="n">
        <v>0</v>
      </c>
      <c r="K277" t="n">
        <v>0</v>
      </c>
      <c r="L277" t="n">
        <v>0</v>
      </c>
      <c r="M277" t="n">
        <v>0</v>
      </c>
      <c r="N277" t="n">
        <v>0</v>
      </c>
      <c r="O277" t="n">
        <v>0</v>
      </c>
      <c r="P277" t="n">
        <v>0</v>
      </c>
      <c r="Q277" t="n">
        <v>0</v>
      </c>
      <c r="R277" t="n">
        <v>0</v>
      </c>
      <c r="S277" t="n">
        <v>0</v>
      </c>
      <c r="T277" t="n">
        <v>0</v>
      </c>
      <c r="U277" s="2" t="inlineStr"/>
    </row>
    <row r="278" ht="15" customHeight="1">
      <c r="A278" t="inlineStr">
        <is>
          <t>A 2883-2026</t>
        </is>
      </c>
      <c r="B278" t="inlineStr">
        <is>
          <t>avverkningsanmälan</t>
        </is>
      </c>
      <c r="C278" t="inlineStr">
        <is>
          <t>Föryngringsavverkning</t>
        </is>
      </c>
      <c r="D278" s="1" t="n">
        <v>46038</v>
      </c>
      <c r="E278" s="1" t="n">
        <v>46217</v>
      </c>
      <c r="F278" t="inlineStr">
        <is>
          <t>NORRBOTTENS LÄN</t>
        </is>
      </c>
      <c r="G278" t="inlineStr">
        <is>
          <t>ÖVERTORNEÅ</t>
        </is>
      </c>
      <c r="I278" t="n">
        <v>5.6</v>
      </c>
      <c r="J278" t="n">
        <v>0</v>
      </c>
      <c r="K278" t="n">
        <v>0</v>
      </c>
      <c r="L278" t="n">
        <v>0</v>
      </c>
      <c r="M278" t="n">
        <v>0</v>
      </c>
      <c r="N278" t="n">
        <v>0</v>
      </c>
      <c r="O278" t="n">
        <v>0</v>
      </c>
      <c r="P278" t="n">
        <v>0</v>
      </c>
      <c r="Q278" t="n">
        <v>0</v>
      </c>
      <c r="R278" t="n">
        <v>0</v>
      </c>
      <c r="S278" t="n">
        <v>0</v>
      </c>
      <c r="T278" t="n">
        <v>0</v>
      </c>
      <c r="U278" s="2" t="inlineStr"/>
    </row>
    <row r="279" ht="15" customHeight="1">
      <c r="A279" t="inlineStr">
        <is>
          <t>A 2887-2026</t>
        </is>
      </c>
      <c r="B279" t="inlineStr">
        <is>
          <t>avverkningsanmälan</t>
        </is>
      </c>
      <c r="C279" t="inlineStr">
        <is>
          <t>Föryngringsavverkning</t>
        </is>
      </c>
      <c r="D279" s="1" t="n">
        <v>46038</v>
      </c>
      <c r="E279" s="1" t="n">
        <v>46217</v>
      </c>
      <c r="F279" t="inlineStr">
        <is>
          <t>NORRBOTTENS LÄN</t>
        </is>
      </c>
      <c r="G279" t="inlineStr">
        <is>
          <t>ÖVERTORNEÅ</t>
        </is>
      </c>
      <c r="I279" t="n">
        <v>5</v>
      </c>
      <c r="J279" t="n">
        <v>0</v>
      </c>
      <c r="K279" t="n">
        <v>0</v>
      </c>
      <c r="L279" t="n">
        <v>0</v>
      </c>
      <c r="M279" t="n">
        <v>0</v>
      </c>
      <c r="N279" t="n">
        <v>0</v>
      </c>
      <c r="O279" t="n">
        <v>0</v>
      </c>
      <c r="P279" t="n">
        <v>0</v>
      </c>
      <c r="Q279" t="n">
        <v>0</v>
      </c>
      <c r="R279" t="n">
        <v>0</v>
      </c>
      <c r="S279" t="n">
        <v>0</v>
      </c>
      <c r="T279" t="n">
        <v>0</v>
      </c>
      <c r="U279" s="2" t="inlineStr"/>
    </row>
    <row r="280" ht="15" customHeight="1">
      <c r="A280" t="inlineStr">
        <is>
          <t>A 57111-2024</t>
        </is>
      </c>
      <c r="B280" t="inlineStr">
        <is>
          <t>avverkningsanmälan</t>
        </is>
      </c>
      <c r="C280" t="inlineStr">
        <is>
          <t>Föryngringsavverkning</t>
        </is>
      </c>
      <c r="D280" s="1" t="n">
        <v>45629</v>
      </c>
      <c r="E280" s="1" t="n">
        <v>46217</v>
      </c>
      <c r="F280" t="inlineStr">
        <is>
          <t>NORRBOTTENS LÄN</t>
        </is>
      </c>
      <c r="G280" t="inlineStr">
        <is>
          <t>ÖVERTORNEÅ</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22908-2026</t>
        </is>
      </c>
      <c r="B281" t="inlineStr">
        <is>
          <t>avverkningsanmälan</t>
        </is>
      </c>
      <c r="C281" t="inlineStr">
        <is>
          <t>Föryngringsavverkning</t>
        </is>
      </c>
      <c r="D281" s="1" t="n">
        <v>46160</v>
      </c>
      <c r="E281" s="1" t="n">
        <v>46217</v>
      </c>
      <c r="F281" t="inlineStr">
        <is>
          <t>NORRBOTTENS LÄN</t>
        </is>
      </c>
      <c r="G281" t="inlineStr">
        <is>
          <t>ÖVERTORNEÅ</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22910-2026</t>
        </is>
      </c>
      <c r="B282" t="inlineStr">
        <is>
          <t>avverkningsanmälan</t>
        </is>
      </c>
      <c r="C282" t="inlineStr">
        <is>
          <t>Föryngringsavverkning</t>
        </is>
      </c>
      <c r="D282" s="1" t="n">
        <v>46160</v>
      </c>
      <c r="E282" s="1" t="n">
        <v>46217</v>
      </c>
      <c r="F282" t="inlineStr">
        <is>
          <t>NORRBOTTENS LÄN</t>
        </is>
      </c>
      <c r="G282" t="inlineStr">
        <is>
          <t>ÖVERTORNEÅ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23259-2024</t>
        </is>
      </c>
      <c r="B283" t="inlineStr">
        <is>
          <t>avverkningsanmälan</t>
        </is>
      </c>
      <c r="C283" t="inlineStr">
        <is>
          <t>Föryngringsavverkning</t>
        </is>
      </c>
      <c r="D283" s="1" t="n">
        <v>45453</v>
      </c>
      <c r="E283" s="1" t="n">
        <v>46217</v>
      </c>
      <c r="F283" t="inlineStr">
        <is>
          <t>NORRBOTTENS LÄN</t>
        </is>
      </c>
      <c r="G283" t="inlineStr">
        <is>
          <t>ÖVERTORNEÅ</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74228-2021</t>
        </is>
      </c>
      <c r="B284" t="inlineStr">
        <is>
          <t>avverkningsanmälan</t>
        </is>
      </c>
      <c r="C284" t="inlineStr">
        <is>
          <t>Föryngringsavverkning</t>
        </is>
      </c>
      <c r="D284" s="1" t="n">
        <v>44553</v>
      </c>
      <c r="E284" s="1" t="n">
        <v>46217</v>
      </c>
      <c r="F284" t="inlineStr">
        <is>
          <t>NORRBOTTENS LÄN</t>
        </is>
      </c>
      <c r="G284" t="inlineStr">
        <is>
          <t>ÖVERTORNEÅ</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4688-2026</t>
        </is>
      </c>
      <c r="B285" t="inlineStr">
        <is>
          <t>avverkningsanmälan</t>
        </is>
      </c>
      <c r="C285" t="inlineStr">
        <is>
          <t>Föryngringsavverkning</t>
        </is>
      </c>
      <c r="D285" s="1" t="n">
        <v>46048</v>
      </c>
      <c r="E285" s="1" t="n">
        <v>46217</v>
      </c>
      <c r="F285" t="inlineStr">
        <is>
          <t>NORRBOTTENS LÄN</t>
        </is>
      </c>
      <c r="G285" t="inlineStr">
        <is>
          <t>ÖVERTORNEÅ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11622-2025</t>
        </is>
      </c>
      <c r="B286" t="inlineStr">
        <is>
          <t>avverkningsanmälan</t>
        </is>
      </c>
      <c r="C286" t="inlineStr">
        <is>
          <t>Föryngringsavverkning</t>
        </is>
      </c>
      <c r="D286" s="1" t="n">
        <v>45727</v>
      </c>
      <c r="E286" s="1" t="n">
        <v>46217</v>
      </c>
      <c r="F286" t="inlineStr">
        <is>
          <t>NORRBOTTENS LÄN</t>
        </is>
      </c>
      <c r="G286" t="inlineStr">
        <is>
          <t>ÖVERTORNEÅ</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5922-2026</t>
        </is>
      </c>
      <c r="B287" t="inlineStr">
        <is>
          <t>avverkningsanmälan</t>
        </is>
      </c>
      <c r="C287" t="inlineStr">
        <is>
          <t>Föryngringsavverkning</t>
        </is>
      </c>
      <c r="D287" s="1" t="n">
        <v>46049</v>
      </c>
      <c r="E287" s="1" t="n">
        <v>46217</v>
      </c>
      <c r="F287" t="inlineStr">
        <is>
          <t>NORRBOTTENS LÄN</t>
        </is>
      </c>
      <c r="G287" t="inlineStr">
        <is>
          <t>ÖVERTORNEÅ</t>
        </is>
      </c>
      <c r="I287" t="n">
        <v>7.6</v>
      </c>
      <c r="J287" t="n">
        <v>0</v>
      </c>
      <c r="K287" t="n">
        <v>0</v>
      </c>
      <c r="L287" t="n">
        <v>0</v>
      </c>
      <c r="M287" t="n">
        <v>0</v>
      </c>
      <c r="N287" t="n">
        <v>0</v>
      </c>
      <c r="O287" t="n">
        <v>0</v>
      </c>
      <c r="P287" t="n">
        <v>0</v>
      </c>
      <c r="Q287" t="n">
        <v>0</v>
      </c>
      <c r="R287" t="n">
        <v>0</v>
      </c>
      <c r="S287" t="n">
        <v>0</v>
      </c>
      <c r="T287" t="n">
        <v>0</v>
      </c>
      <c r="U287" s="2" t="inlineStr"/>
    </row>
    <row r="288" ht="15" customHeight="1">
      <c r="A288" t="inlineStr">
        <is>
          <t>A 5937-2026</t>
        </is>
      </c>
      <c r="B288" t="inlineStr">
        <is>
          <t>avverkningsanmälan</t>
        </is>
      </c>
      <c r="C288" t="inlineStr">
        <is>
          <t>Föryngringsavverkning</t>
        </is>
      </c>
      <c r="D288" s="1" t="n">
        <v>46049</v>
      </c>
      <c r="E288" s="1" t="n">
        <v>46217</v>
      </c>
      <c r="F288" t="inlineStr">
        <is>
          <t>NORRBOTTENS LÄN</t>
        </is>
      </c>
      <c r="G288" t="inlineStr">
        <is>
          <t>ÖVERTORNEÅ</t>
        </is>
      </c>
      <c r="I288" t="n">
        <v>7.4</v>
      </c>
      <c r="J288" t="n">
        <v>0</v>
      </c>
      <c r="K288" t="n">
        <v>0</v>
      </c>
      <c r="L288" t="n">
        <v>0</v>
      </c>
      <c r="M288" t="n">
        <v>0</v>
      </c>
      <c r="N288" t="n">
        <v>0</v>
      </c>
      <c r="O288" t="n">
        <v>0</v>
      </c>
      <c r="P288" t="n">
        <v>0</v>
      </c>
      <c r="Q288" t="n">
        <v>0</v>
      </c>
      <c r="R288" t="n">
        <v>0</v>
      </c>
      <c r="S288" t="n">
        <v>0</v>
      </c>
      <c r="T288" t="n">
        <v>0</v>
      </c>
      <c r="U288" s="2" t="inlineStr"/>
    </row>
    <row r="289" ht="15" customHeight="1">
      <c r="A289" t="inlineStr">
        <is>
          <t>A 55545-2024</t>
        </is>
      </c>
      <c r="B289" t="inlineStr">
        <is>
          <t>avverkningsanmälan</t>
        </is>
      </c>
      <c r="C289" t="inlineStr">
        <is>
          <t>Föryngringsavverkning</t>
        </is>
      </c>
      <c r="D289" s="1" t="n">
        <v>45622</v>
      </c>
      <c r="E289" s="1" t="n">
        <v>46217</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47475-2023</t>
        </is>
      </c>
      <c r="B290" t="inlineStr">
        <is>
          <t>avverkningsanmälan</t>
        </is>
      </c>
      <c r="C290" t="inlineStr">
        <is>
          <t>Föryngringsavverkning</t>
        </is>
      </c>
      <c r="D290" s="1" t="n">
        <v>45202</v>
      </c>
      <c r="E290" s="1" t="n">
        <v>46217</v>
      </c>
      <c r="F290" t="inlineStr">
        <is>
          <t>NORRBOTTENS LÄN</t>
        </is>
      </c>
      <c r="G290" t="inlineStr">
        <is>
          <t>ÖVERTORNEÅ</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6722-2026</t>
        </is>
      </c>
      <c r="B291" t="inlineStr">
        <is>
          <t>avverkningsanmälan</t>
        </is>
      </c>
      <c r="C291" t="inlineStr">
        <is>
          <t>Föryngringsavverkning</t>
        </is>
      </c>
      <c r="D291" s="1" t="n">
        <v>46056</v>
      </c>
      <c r="E291" s="1" t="n">
        <v>46217</v>
      </c>
      <c r="F291" t="inlineStr">
        <is>
          <t>NORRBOTTENS LÄN</t>
        </is>
      </c>
      <c r="G291" t="inlineStr">
        <is>
          <t>ÖVERTORNEÅ</t>
        </is>
      </c>
      <c r="I291" t="n">
        <v>5.6</v>
      </c>
      <c r="J291" t="n">
        <v>0</v>
      </c>
      <c r="K291" t="n">
        <v>0</v>
      </c>
      <c r="L291" t="n">
        <v>0</v>
      </c>
      <c r="M291" t="n">
        <v>0</v>
      </c>
      <c r="N291" t="n">
        <v>0</v>
      </c>
      <c r="O291" t="n">
        <v>0</v>
      </c>
      <c r="P291" t="n">
        <v>0</v>
      </c>
      <c r="Q291" t="n">
        <v>0</v>
      </c>
      <c r="R291" t="n">
        <v>0</v>
      </c>
      <c r="S291" t="n">
        <v>0</v>
      </c>
      <c r="T291" t="n">
        <v>0</v>
      </c>
      <c r="U291" s="2" t="inlineStr"/>
    </row>
    <row r="292" ht="15" customHeight="1">
      <c r="A292" t="inlineStr">
        <is>
          <t>A 1319-2025</t>
        </is>
      </c>
      <c r="B292" t="inlineStr">
        <is>
          <t>avverkningsanmälan</t>
        </is>
      </c>
      <c r="C292" t="inlineStr">
        <is>
          <t>Föryngringsavverkning</t>
        </is>
      </c>
      <c r="D292" s="1" t="n">
        <v>45667</v>
      </c>
      <c r="E292" s="1" t="n">
        <v>46217</v>
      </c>
      <c r="F292" t="inlineStr">
        <is>
          <t>NORRBOTTENS LÄN</t>
        </is>
      </c>
      <c r="G292" t="inlineStr">
        <is>
          <t>ÖVERTORNEÅ</t>
        </is>
      </c>
      <c r="I292" t="n">
        <v>5.5</v>
      </c>
      <c r="J292" t="n">
        <v>0</v>
      </c>
      <c r="K292" t="n">
        <v>0</v>
      </c>
      <c r="L292" t="n">
        <v>0</v>
      </c>
      <c r="M292" t="n">
        <v>0</v>
      </c>
      <c r="N292" t="n">
        <v>0</v>
      </c>
      <c r="O292" t="n">
        <v>0</v>
      </c>
      <c r="P292" t="n">
        <v>0</v>
      </c>
      <c r="Q292" t="n">
        <v>0</v>
      </c>
      <c r="R292" t="n">
        <v>0</v>
      </c>
      <c r="S292" t="n">
        <v>0</v>
      </c>
      <c r="T292" t="n">
        <v>0</v>
      </c>
      <c r="U292" s="2" t="inlineStr"/>
    </row>
    <row r="293" ht="15" customHeight="1">
      <c r="A293" t="inlineStr">
        <is>
          <t>A 7136-2026</t>
        </is>
      </c>
      <c r="B293" t="inlineStr">
        <is>
          <t>avverkningsanmälan</t>
        </is>
      </c>
      <c r="C293" t="inlineStr">
        <is>
          <t>Föryngringsavverkning</t>
        </is>
      </c>
      <c r="D293" s="1" t="n">
        <v>46058</v>
      </c>
      <c r="E293" s="1" t="n">
        <v>46217</v>
      </c>
      <c r="F293" t="inlineStr">
        <is>
          <t>NORRBOTTENS LÄN</t>
        </is>
      </c>
      <c r="G293" t="inlineStr">
        <is>
          <t>ÖVERTORNEÅ</t>
        </is>
      </c>
      <c r="I293" t="n">
        <v>8.6</v>
      </c>
      <c r="J293" t="n">
        <v>0</v>
      </c>
      <c r="K293" t="n">
        <v>0</v>
      </c>
      <c r="L293" t="n">
        <v>0</v>
      </c>
      <c r="M293" t="n">
        <v>0</v>
      </c>
      <c r="N293" t="n">
        <v>0</v>
      </c>
      <c r="O293" t="n">
        <v>0</v>
      </c>
      <c r="P293" t="n">
        <v>0</v>
      </c>
      <c r="Q293" t="n">
        <v>0</v>
      </c>
      <c r="R293" t="n">
        <v>0</v>
      </c>
      <c r="S293" t="n">
        <v>0</v>
      </c>
      <c r="T293" t="n">
        <v>0</v>
      </c>
      <c r="U293" s="2" t="inlineStr"/>
    </row>
    <row r="294" ht="15" customHeight="1">
      <c r="A294" t="inlineStr">
        <is>
          <t>A 5095-2025</t>
        </is>
      </c>
      <c r="B294" t="inlineStr">
        <is>
          <t>avverkningsanmälan</t>
        </is>
      </c>
      <c r="C294" t="inlineStr">
        <is>
          <t>Avverkning för annat ändamål</t>
        </is>
      </c>
      <c r="D294" s="1" t="n">
        <v>45691</v>
      </c>
      <c r="E294" s="1" t="n">
        <v>46217</v>
      </c>
      <c r="F294" t="inlineStr">
        <is>
          <t>NORRBOTTENS LÄN</t>
        </is>
      </c>
      <c r="G294" t="inlineStr">
        <is>
          <t>ÖVERTORNEÅ</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6922-2026</t>
        </is>
      </c>
      <c r="B295" t="inlineStr">
        <is>
          <t>avverkningsanmälan</t>
        </is>
      </c>
      <c r="C295" t="inlineStr">
        <is>
          <t>Föryngringsavverkning</t>
        </is>
      </c>
      <c r="D295" s="1" t="n">
        <v>46057</v>
      </c>
      <c r="E295" s="1" t="n">
        <v>46217</v>
      </c>
      <c r="F295" t="inlineStr">
        <is>
          <t>NORRBOTTENS LÄN</t>
        </is>
      </c>
      <c r="G295" t="inlineStr">
        <is>
          <t>ÖVERTORNEÅ</t>
        </is>
      </c>
      <c r="I295" t="n">
        <v>7.3</v>
      </c>
      <c r="J295" t="n">
        <v>0</v>
      </c>
      <c r="K295" t="n">
        <v>0</v>
      </c>
      <c r="L295" t="n">
        <v>0</v>
      </c>
      <c r="M295" t="n">
        <v>0</v>
      </c>
      <c r="N295" t="n">
        <v>0</v>
      </c>
      <c r="O295" t="n">
        <v>0</v>
      </c>
      <c r="P295" t="n">
        <v>0</v>
      </c>
      <c r="Q295" t="n">
        <v>0</v>
      </c>
      <c r="R295" t="n">
        <v>0</v>
      </c>
      <c r="S295" t="n">
        <v>0</v>
      </c>
      <c r="T295" t="n">
        <v>0</v>
      </c>
      <c r="U295" s="2" t="inlineStr"/>
    </row>
    <row r="296" ht="15" customHeight="1">
      <c r="A296" t="inlineStr">
        <is>
          <t>A 7539-2026</t>
        </is>
      </c>
      <c r="B296" t="inlineStr">
        <is>
          <t>avverkningsanmälan</t>
        </is>
      </c>
      <c r="C296" t="inlineStr">
        <is>
          <t>Föryngringsavverkning</t>
        </is>
      </c>
      <c r="D296" s="1" t="n">
        <v>46059</v>
      </c>
      <c r="E296" s="1" t="n">
        <v>46217</v>
      </c>
      <c r="F296" t="inlineStr">
        <is>
          <t>NORRBOTTENS LÄN</t>
        </is>
      </c>
      <c r="G296" t="inlineStr">
        <is>
          <t>ÖVERTORNEÅ</t>
        </is>
      </c>
      <c r="I296" t="n">
        <v>6.5</v>
      </c>
      <c r="J296" t="n">
        <v>0</v>
      </c>
      <c r="K296" t="n">
        <v>0</v>
      </c>
      <c r="L296" t="n">
        <v>0</v>
      </c>
      <c r="M296" t="n">
        <v>0</v>
      </c>
      <c r="N296" t="n">
        <v>0</v>
      </c>
      <c r="O296" t="n">
        <v>0</v>
      </c>
      <c r="P296" t="n">
        <v>0</v>
      </c>
      <c r="Q296" t="n">
        <v>0</v>
      </c>
      <c r="R296" t="n">
        <v>0</v>
      </c>
      <c r="S296" t="n">
        <v>0</v>
      </c>
      <c r="T296" t="n">
        <v>0</v>
      </c>
      <c r="U296" s="2" t="inlineStr"/>
    </row>
    <row r="297" ht="15" customHeight="1">
      <c r="A297" t="inlineStr">
        <is>
          <t>A 7804-2026</t>
        </is>
      </c>
      <c r="B297" t="inlineStr">
        <is>
          <t>avverkningsanmälan</t>
        </is>
      </c>
      <c r="C297" t="inlineStr">
        <is>
          <t>Föryngringsavverkning</t>
        </is>
      </c>
      <c r="D297" s="1" t="n">
        <v>46062</v>
      </c>
      <c r="E297" s="1" t="n">
        <v>46217</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8062-2026</t>
        </is>
      </c>
      <c r="B298" t="inlineStr">
        <is>
          <t>avverkningsanmälan</t>
        </is>
      </c>
      <c r="C298" t="inlineStr">
        <is>
          <t>Föryngringsavverkning</t>
        </is>
      </c>
      <c r="D298" s="1" t="n">
        <v>46062</v>
      </c>
      <c r="E298" s="1" t="n">
        <v>46217</v>
      </c>
      <c r="F298" t="inlineStr">
        <is>
          <t>NORRBOTTENS LÄN</t>
        </is>
      </c>
      <c r="G298" t="inlineStr">
        <is>
          <t>ÖVERTORNEÅ</t>
        </is>
      </c>
      <c r="I298" t="n">
        <v>6.8</v>
      </c>
      <c r="J298" t="n">
        <v>0</v>
      </c>
      <c r="K298" t="n">
        <v>0</v>
      </c>
      <c r="L298" t="n">
        <v>0</v>
      </c>
      <c r="M298" t="n">
        <v>0</v>
      </c>
      <c r="N298" t="n">
        <v>0</v>
      </c>
      <c r="O298" t="n">
        <v>0</v>
      </c>
      <c r="P298" t="n">
        <v>0</v>
      </c>
      <c r="Q298" t="n">
        <v>0</v>
      </c>
      <c r="R298" t="n">
        <v>0</v>
      </c>
      <c r="S298" t="n">
        <v>0</v>
      </c>
      <c r="T298" t="n">
        <v>0</v>
      </c>
      <c r="U298" s="2" t="inlineStr"/>
    </row>
    <row r="299" ht="15" customHeight="1">
      <c r="A299" t="inlineStr">
        <is>
          <t>A 7534-2026</t>
        </is>
      </c>
      <c r="B299" t="inlineStr">
        <is>
          <t>avverkningsanmälan</t>
        </is>
      </c>
      <c r="C299" t="inlineStr">
        <is>
          <t>Föryngringsavverkning</t>
        </is>
      </c>
      <c r="D299" s="1" t="n">
        <v>46059</v>
      </c>
      <c r="E299" s="1" t="n">
        <v>46217</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7536-2026</t>
        </is>
      </c>
      <c r="B300" t="inlineStr">
        <is>
          <t>avverkningsanmälan</t>
        </is>
      </c>
      <c r="C300" t="inlineStr">
        <is>
          <t>Föryngringsavverkning</t>
        </is>
      </c>
      <c r="D300" s="1" t="n">
        <v>46059</v>
      </c>
      <c r="E300" s="1" t="n">
        <v>46217</v>
      </c>
      <c r="F300" t="inlineStr">
        <is>
          <t>NORRBOTTENS LÄN</t>
        </is>
      </c>
      <c r="G300" t="inlineStr">
        <is>
          <t>ÖVERTORNEÅ</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55245-2024</t>
        </is>
      </c>
      <c r="B301" t="inlineStr">
        <is>
          <t>avverkningsanmälan</t>
        </is>
      </c>
      <c r="C301" t="inlineStr">
        <is>
          <t>Föryngringsavverkning</t>
        </is>
      </c>
      <c r="D301" s="1" t="n">
        <v>45621</v>
      </c>
      <c r="E301" s="1" t="n">
        <v>46217</v>
      </c>
      <c r="F301" t="inlineStr">
        <is>
          <t>NORRBOTTENS LÄN</t>
        </is>
      </c>
      <c r="G301" t="inlineStr">
        <is>
          <t>ÖVERTORNEÅ</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11831-2022</t>
        </is>
      </c>
      <c r="B302" t="inlineStr">
        <is>
          <t>avverkningsanmälan</t>
        </is>
      </c>
      <c r="C302" t="inlineStr">
        <is>
          <t>Föryngringsavverkning</t>
        </is>
      </c>
      <c r="D302" s="1" t="n">
        <v>44634</v>
      </c>
      <c r="E302" s="1" t="n">
        <v>46217</v>
      </c>
      <c r="F302" t="inlineStr">
        <is>
          <t>NORRBOTTENS LÄN</t>
        </is>
      </c>
      <c r="G302" t="inlineStr">
        <is>
          <t>ÖVERTORNEÅ</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46644-2023</t>
        </is>
      </c>
      <c r="B303" t="inlineStr">
        <is>
          <t>avverkningsanmälan</t>
        </is>
      </c>
      <c r="C303" t="inlineStr">
        <is>
          <t>Föryngringsavverkning</t>
        </is>
      </c>
      <c r="D303" s="1" t="n">
        <v>45194</v>
      </c>
      <c r="E303" s="1" t="n">
        <v>46217</v>
      </c>
      <c r="F303" t="inlineStr">
        <is>
          <t>NORRBOTTENS LÄN</t>
        </is>
      </c>
      <c r="G303" t="inlineStr">
        <is>
          <t>ÖVERTORNEÅ</t>
        </is>
      </c>
      <c r="I303" t="n">
        <v>5.3</v>
      </c>
      <c r="J303" t="n">
        <v>0</v>
      </c>
      <c r="K303" t="n">
        <v>0</v>
      </c>
      <c r="L303" t="n">
        <v>0</v>
      </c>
      <c r="M303" t="n">
        <v>0</v>
      </c>
      <c r="N303" t="n">
        <v>0</v>
      </c>
      <c r="O303" t="n">
        <v>0</v>
      </c>
      <c r="P303" t="n">
        <v>0</v>
      </c>
      <c r="Q303" t="n">
        <v>0</v>
      </c>
      <c r="R303" t="n">
        <v>0</v>
      </c>
      <c r="S303" t="n">
        <v>0</v>
      </c>
      <c r="T303" t="n">
        <v>0</v>
      </c>
      <c r="U303" s="2" t="inlineStr"/>
    </row>
    <row r="304" ht="15" customHeight="1">
      <c r="A304" t="inlineStr">
        <is>
          <t>A 23363-2026</t>
        </is>
      </c>
      <c r="B304" t="inlineStr">
        <is>
          <t>avverkningsanmälan</t>
        </is>
      </c>
      <c r="C304" t="inlineStr">
        <is>
          <t>Föryngringsavverkning</t>
        </is>
      </c>
      <c r="D304" s="1" t="n">
        <v>46162</v>
      </c>
      <c r="E304" s="1" t="n">
        <v>46217</v>
      </c>
      <c r="F304" t="inlineStr">
        <is>
          <t>NORRBOTTENS LÄN</t>
        </is>
      </c>
      <c r="G304" t="inlineStr">
        <is>
          <t>ÖVERTORNEÅ</t>
        </is>
      </c>
      <c r="H304" t="inlineStr">
        <is>
          <t>Sveaskog</t>
        </is>
      </c>
      <c r="I304" t="n">
        <v>12.2</v>
      </c>
      <c r="J304" t="n">
        <v>0</v>
      </c>
      <c r="K304" t="n">
        <v>0</v>
      </c>
      <c r="L304" t="n">
        <v>0</v>
      </c>
      <c r="M304" t="n">
        <v>0</v>
      </c>
      <c r="N304" t="n">
        <v>0</v>
      </c>
      <c r="O304" t="n">
        <v>0</v>
      </c>
      <c r="P304" t="n">
        <v>0</v>
      </c>
      <c r="Q304" t="n">
        <v>0</v>
      </c>
      <c r="R304" t="n">
        <v>0</v>
      </c>
      <c r="S304" t="n">
        <v>0</v>
      </c>
      <c r="T304" t="n">
        <v>0</v>
      </c>
      <c r="U304" s="2" t="inlineStr"/>
    </row>
    <row r="305" ht="15" customHeight="1">
      <c r="A305" t="inlineStr">
        <is>
          <t>A 24647-2024</t>
        </is>
      </c>
      <c r="B305" t="inlineStr">
        <is>
          <t>avverkningsanmälan</t>
        </is>
      </c>
      <c r="C305" t="inlineStr">
        <is>
          <t>Föryngringsavverkning</t>
        </is>
      </c>
      <c r="D305" s="1" t="n">
        <v>45460</v>
      </c>
      <c r="E305" s="1" t="n">
        <v>46217</v>
      </c>
      <c r="F305" t="inlineStr">
        <is>
          <t>NORRBOTTENS LÄN</t>
        </is>
      </c>
      <c r="G305" t="inlineStr">
        <is>
          <t>ÖVERTORNEÅ</t>
        </is>
      </c>
      <c r="H305" t="inlineStr">
        <is>
          <t>Sveaskog</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32741-2024</t>
        </is>
      </c>
      <c r="B306" t="inlineStr">
        <is>
          <t>avverkningsanmälan</t>
        </is>
      </c>
      <c r="C306" t="inlineStr">
        <is>
          <t>Föryngringsavverkning</t>
        </is>
      </c>
      <c r="D306" s="1" t="n">
        <v>45516</v>
      </c>
      <c r="E306" s="1" t="n">
        <v>46217</v>
      </c>
      <c r="F306" t="inlineStr">
        <is>
          <t>NORRBOTTENS LÄN</t>
        </is>
      </c>
      <c r="G306" t="inlineStr">
        <is>
          <t>ÖVERTORNEÅ</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23423-2025</t>
        </is>
      </c>
      <c r="B307" t="inlineStr">
        <is>
          <t>avverkningsanmälan</t>
        </is>
      </c>
      <c r="C307" t="inlineStr">
        <is>
          <t>Föryngringsavverkning</t>
        </is>
      </c>
      <c r="D307" s="1" t="n">
        <v>45792</v>
      </c>
      <c r="E307" s="1" t="n">
        <v>46217</v>
      </c>
      <c r="F307" t="inlineStr">
        <is>
          <t>NORRBOTTENS LÄN</t>
        </is>
      </c>
      <c r="G307" t="inlineStr">
        <is>
          <t>ÖVERTORNEÅ</t>
        </is>
      </c>
      <c r="I307" t="n">
        <v>3.3</v>
      </c>
      <c r="J307" t="n">
        <v>0</v>
      </c>
      <c r="K307" t="n">
        <v>0</v>
      </c>
      <c r="L307" t="n">
        <v>0</v>
      </c>
      <c r="M307" t="n">
        <v>0</v>
      </c>
      <c r="N307" t="n">
        <v>0</v>
      </c>
      <c r="O307" t="n">
        <v>0</v>
      </c>
      <c r="P307" t="n">
        <v>0</v>
      </c>
      <c r="Q307" t="n">
        <v>0</v>
      </c>
      <c r="R307" t="n">
        <v>0</v>
      </c>
      <c r="S307" t="n">
        <v>0</v>
      </c>
      <c r="T307" t="n">
        <v>0</v>
      </c>
      <c r="U307" s="2" t="inlineStr"/>
    </row>
    <row r="308" ht="15" customHeight="1">
      <c r="A308" t="inlineStr">
        <is>
          <t>A 10921-2026</t>
        </is>
      </c>
      <c r="B308" t="inlineStr">
        <is>
          <t>avverkningsanmälan</t>
        </is>
      </c>
      <c r="C308" t="inlineStr">
        <is>
          <t>Föryngringsavverkning</t>
        </is>
      </c>
      <c r="D308" s="1" t="n">
        <v>46079</v>
      </c>
      <c r="E308" s="1" t="n">
        <v>46217</v>
      </c>
      <c r="F308" t="inlineStr">
        <is>
          <t>NORRBOTTENS LÄN</t>
        </is>
      </c>
      <c r="G308" t="inlineStr">
        <is>
          <t>ÖVERTORNEÅ</t>
        </is>
      </c>
      <c r="I308" t="n">
        <v>5.4</v>
      </c>
      <c r="J308" t="n">
        <v>0</v>
      </c>
      <c r="K308" t="n">
        <v>0</v>
      </c>
      <c r="L308" t="n">
        <v>0</v>
      </c>
      <c r="M308" t="n">
        <v>0</v>
      </c>
      <c r="N308" t="n">
        <v>0</v>
      </c>
      <c r="O308" t="n">
        <v>0</v>
      </c>
      <c r="P308" t="n">
        <v>0</v>
      </c>
      <c r="Q308" t="n">
        <v>0</v>
      </c>
      <c r="R308" t="n">
        <v>0</v>
      </c>
      <c r="S308" t="n">
        <v>0</v>
      </c>
      <c r="T308" t="n">
        <v>0</v>
      </c>
      <c r="U308" s="2" t="inlineStr"/>
    </row>
    <row r="309" ht="15" customHeight="1">
      <c r="A309" t="inlineStr">
        <is>
          <t>A 11280-2026</t>
        </is>
      </c>
      <c r="B309" t="inlineStr">
        <is>
          <t>avverkningsanmälan</t>
        </is>
      </c>
      <c r="C309" t="inlineStr">
        <is>
          <t>Föryngringsavverkning</t>
        </is>
      </c>
      <c r="D309" s="1" t="n">
        <v>46080</v>
      </c>
      <c r="E309" s="1" t="n">
        <v>46217</v>
      </c>
      <c r="F309" t="inlineStr">
        <is>
          <t>NORRBOTTENS LÄN</t>
        </is>
      </c>
      <c r="G309" t="inlineStr">
        <is>
          <t>ÖVERTORNEÅ</t>
        </is>
      </c>
      <c r="I309" t="n">
        <v>7.8</v>
      </c>
      <c r="J309" t="n">
        <v>0</v>
      </c>
      <c r="K309" t="n">
        <v>0</v>
      </c>
      <c r="L309" t="n">
        <v>0</v>
      </c>
      <c r="M309" t="n">
        <v>0</v>
      </c>
      <c r="N309" t="n">
        <v>0</v>
      </c>
      <c r="O309" t="n">
        <v>0</v>
      </c>
      <c r="P309" t="n">
        <v>0</v>
      </c>
      <c r="Q309" t="n">
        <v>0</v>
      </c>
      <c r="R309" t="n">
        <v>0</v>
      </c>
      <c r="S309" t="n">
        <v>0</v>
      </c>
      <c r="T309" t="n">
        <v>0</v>
      </c>
      <c r="U309" s="2" t="inlineStr"/>
    </row>
    <row r="310" ht="15" customHeight="1">
      <c r="A310" t="inlineStr">
        <is>
          <t>A 11203-2026</t>
        </is>
      </c>
      <c r="B310" t="inlineStr">
        <is>
          <t>avverkningsanmälan</t>
        </is>
      </c>
      <c r="C310" t="inlineStr">
        <is>
          <t>Föryngringsavverkning</t>
        </is>
      </c>
      <c r="D310" s="1" t="n">
        <v>46080</v>
      </c>
      <c r="E310" s="1" t="n">
        <v>46217</v>
      </c>
      <c r="F310" t="inlineStr">
        <is>
          <t>NORRBOTTENS LÄN</t>
        </is>
      </c>
      <c r="G310" t="inlineStr">
        <is>
          <t>ÖVERTORNEÅ</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23538-2026</t>
        </is>
      </c>
      <c r="B311" t="inlineStr">
        <is>
          <t>avverkningsanmälan</t>
        </is>
      </c>
      <c r="C311" t="inlineStr">
        <is>
          <t>Föryngringsavverkning</t>
        </is>
      </c>
      <c r="D311" s="1" t="n">
        <v>46163</v>
      </c>
      <c r="E311" s="1" t="n">
        <v>46217</v>
      </c>
      <c r="F311" t="inlineStr">
        <is>
          <t>NORRBOTTENS LÄN</t>
        </is>
      </c>
      <c r="G311" t="inlineStr">
        <is>
          <t>ÖVERTORNEÅ</t>
        </is>
      </c>
      <c r="I311" t="n">
        <v>11.5</v>
      </c>
      <c r="J311" t="n">
        <v>0</v>
      </c>
      <c r="K311" t="n">
        <v>0</v>
      </c>
      <c r="L311" t="n">
        <v>0</v>
      </c>
      <c r="M311" t="n">
        <v>0</v>
      </c>
      <c r="N311" t="n">
        <v>0</v>
      </c>
      <c r="O311" t="n">
        <v>0</v>
      </c>
      <c r="P311" t="n">
        <v>0</v>
      </c>
      <c r="Q311" t="n">
        <v>0</v>
      </c>
      <c r="R311" t="n">
        <v>0</v>
      </c>
      <c r="S311" t="n">
        <v>0</v>
      </c>
      <c r="T311" t="n">
        <v>0</v>
      </c>
      <c r="U311" s="2" t="inlineStr"/>
    </row>
    <row r="312" ht="15" customHeight="1">
      <c r="A312" t="inlineStr">
        <is>
          <t>A 19358-2022</t>
        </is>
      </c>
      <c r="B312" t="inlineStr">
        <is>
          <t>avverkningsanmälan</t>
        </is>
      </c>
      <c r="C312" t="inlineStr">
        <is>
          <t>Avverkning för annat ändamål</t>
        </is>
      </c>
      <c r="D312" s="1" t="n">
        <v>44692</v>
      </c>
      <c r="E312" s="1" t="n">
        <v>46217</v>
      </c>
      <c r="F312" t="inlineStr">
        <is>
          <t>NORRBOTTENS LÄN</t>
        </is>
      </c>
      <c r="G312" t="inlineStr">
        <is>
          <t>ÖVERTORNEÅ</t>
        </is>
      </c>
      <c r="H312" t="inlineStr">
        <is>
          <t>Sveaskog</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30062-2026</t>
        </is>
      </c>
      <c r="B313" t="inlineStr">
        <is>
          <t>avverkningsanmälan</t>
        </is>
      </c>
      <c r="C313" t="inlineStr">
        <is>
          <t>Föryngringsavverkning</t>
        </is>
      </c>
      <c r="D313" s="1" t="n">
        <v>46206</v>
      </c>
      <c r="E313" s="1" t="n">
        <v>46217</v>
      </c>
      <c r="F313" t="inlineStr">
        <is>
          <t>NORRBOTTENS LÄN</t>
        </is>
      </c>
      <c r="G313" t="inlineStr">
        <is>
          <t>ÖVERTORNEÅ</t>
        </is>
      </c>
      <c r="H313" t="inlineStr">
        <is>
          <t>Sveaskog</t>
        </is>
      </c>
      <c r="I313" t="n">
        <v>10.2</v>
      </c>
      <c r="J313" t="n">
        <v>0</v>
      </c>
      <c r="K313" t="n">
        <v>0</v>
      </c>
      <c r="L313" t="n">
        <v>0</v>
      </c>
      <c r="M313" t="n">
        <v>0</v>
      </c>
      <c r="N313" t="n">
        <v>0</v>
      </c>
      <c r="O313" t="n">
        <v>0</v>
      </c>
      <c r="P313" t="n">
        <v>0</v>
      </c>
      <c r="Q313" t="n">
        <v>0</v>
      </c>
      <c r="R313" t="n">
        <v>0</v>
      </c>
      <c r="S313" t="n">
        <v>0</v>
      </c>
      <c r="T313" t="n">
        <v>0</v>
      </c>
      <c r="U313" s="2" t="inlineStr"/>
    </row>
    <row r="314" ht="15" customHeight="1">
      <c r="A314" t="inlineStr">
        <is>
          <t>A 23813-2026</t>
        </is>
      </c>
      <c r="B314" t="inlineStr">
        <is>
          <t>avverkningsanmälan</t>
        </is>
      </c>
      <c r="C314" t="inlineStr">
        <is>
          <t>Föryngringsavverkning</t>
        </is>
      </c>
      <c r="D314" s="1" t="n">
        <v>46164</v>
      </c>
      <c r="E314" s="1" t="n">
        <v>46217</v>
      </c>
      <c r="F314" t="inlineStr">
        <is>
          <t>NORRBOTTENS LÄN</t>
        </is>
      </c>
      <c r="G314" t="inlineStr">
        <is>
          <t>ÖVERTORNEÅ</t>
        </is>
      </c>
      <c r="I314" t="n">
        <v>12.5</v>
      </c>
      <c r="J314" t="n">
        <v>0</v>
      </c>
      <c r="K314" t="n">
        <v>0</v>
      </c>
      <c r="L314" t="n">
        <v>0</v>
      </c>
      <c r="M314" t="n">
        <v>0</v>
      </c>
      <c r="N314" t="n">
        <v>0</v>
      </c>
      <c r="O314" t="n">
        <v>0</v>
      </c>
      <c r="P314" t="n">
        <v>0</v>
      </c>
      <c r="Q314" t="n">
        <v>0</v>
      </c>
      <c r="R314" t="n">
        <v>0</v>
      </c>
      <c r="S314" t="n">
        <v>0</v>
      </c>
      <c r="T314" t="n">
        <v>0</v>
      </c>
      <c r="U314" s="2" t="inlineStr"/>
    </row>
    <row r="315" ht="15" customHeight="1">
      <c r="A315" t="inlineStr">
        <is>
          <t>A 12456-2026</t>
        </is>
      </c>
      <c r="B315" t="inlineStr">
        <is>
          <t>avverkningsanmälan</t>
        </is>
      </c>
      <c r="C315" t="inlineStr">
        <is>
          <t>Föryngringsavverkning</t>
        </is>
      </c>
      <c r="D315" s="1" t="n">
        <v>46090</v>
      </c>
      <c r="E315" s="1" t="n">
        <v>46217</v>
      </c>
      <c r="F315" t="inlineStr">
        <is>
          <t>NORRBOTTENS LÄN</t>
        </is>
      </c>
      <c r="G315" t="inlineStr">
        <is>
          <t>ÖVERTORNEÅ</t>
        </is>
      </c>
      <c r="I315" t="n">
        <v>3.9</v>
      </c>
      <c r="J315" t="n">
        <v>0</v>
      </c>
      <c r="K315" t="n">
        <v>0</v>
      </c>
      <c r="L315" t="n">
        <v>0</v>
      </c>
      <c r="M315" t="n">
        <v>0</v>
      </c>
      <c r="N315" t="n">
        <v>0</v>
      </c>
      <c r="O315" t="n">
        <v>0</v>
      </c>
      <c r="P315" t="n">
        <v>0</v>
      </c>
      <c r="Q315" t="n">
        <v>0</v>
      </c>
      <c r="R315" t="n">
        <v>0</v>
      </c>
      <c r="S315" t="n">
        <v>0</v>
      </c>
      <c r="T315" t="n">
        <v>0</v>
      </c>
      <c r="U315" s="2" t="inlineStr"/>
    </row>
    <row r="316" ht="15" customHeight="1">
      <c r="A316" t="inlineStr">
        <is>
          <t>A 25149-2022</t>
        </is>
      </c>
      <c r="B316" t="inlineStr">
        <is>
          <t>avverkningsanmälan</t>
        </is>
      </c>
      <c r="C316" t="inlineStr">
        <is>
          <t>Föryngringsavverkning</t>
        </is>
      </c>
      <c r="D316" s="1" t="n">
        <v>44729</v>
      </c>
      <c r="E316" s="1" t="n">
        <v>46217</v>
      </c>
      <c r="F316" t="inlineStr">
        <is>
          <t>NORRBOTTENS LÄN</t>
        </is>
      </c>
      <c r="G316" t="inlineStr">
        <is>
          <t>ÖVERTORNEÅ</t>
        </is>
      </c>
      <c r="I316" t="n">
        <v>7</v>
      </c>
      <c r="J316" t="n">
        <v>0</v>
      </c>
      <c r="K316" t="n">
        <v>0</v>
      </c>
      <c r="L316" t="n">
        <v>0</v>
      </c>
      <c r="M316" t="n">
        <v>0</v>
      </c>
      <c r="N316" t="n">
        <v>0</v>
      </c>
      <c r="O316" t="n">
        <v>0</v>
      </c>
      <c r="P316" t="n">
        <v>0</v>
      </c>
      <c r="Q316" t="n">
        <v>0</v>
      </c>
      <c r="R316" t="n">
        <v>0</v>
      </c>
      <c r="S316" t="n">
        <v>0</v>
      </c>
      <c r="T316" t="n">
        <v>0</v>
      </c>
      <c r="U316" s="2" t="inlineStr"/>
    </row>
    <row r="317" ht="15" customHeight="1">
      <c r="A317" t="inlineStr">
        <is>
          <t>A 30079-2026</t>
        </is>
      </c>
      <c r="B317" t="inlineStr">
        <is>
          <t>avverkningsanmälan</t>
        </is>
      </c>
      <c r="C317" t="inlineStr">
        <is>
          <t>Föryngringsavverkning</t>
        </is>
      </c>
      <c r="D317" s="1" t="n">
        <v>46206</v>
      </c>
      <c r="E317" s="1" t="n">
        <v>46217</v>
      </c>
      <c r="F317" t="inlineStr">
        <is>
          <t>NORRBOTTENS LÄN</t>
        </is>
      </c>
      <c r="G317" t="inlineStr">
        <is>
          <t>ÖVERTORNEÅ</t>
        </is>
      </c>
      <c r="H317" t="inlineStr">
        <is>
          <t>Sveaskog</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6423-2025</t>
        </is>
      </c>
      <c r="B318" t="inlineStr">
        <is>
          <t>avverkningsanmälan</t>
        </is>
      </c>
      <c r="C318" t="inlineStr">
        <is>
          <t>Föryngringsavverkning</t>
        </is>
      </c>
      <c r="D318" s="1" t="n">
        <v>45699</v>
      </c>
      <c r="E318" s="1" t="n">
        <v>46217</v>
      </c>
      <c r="F318" t="inlineStr">
        <is>
          <t>NORRBOTTENS LÄN</t>
        </is>
      </c>
      <c r="G318" t="inlineStr">
        <is>
          <t>ÖVERTORNEÅ</t>
        </is>
      </c>
      <c r="I318" t="n">
        <v>16.5</v>
      </c>
      <c r="J318" t="n">
        <v>0</v>
      </c>
      <c r="K318" t="n">
        <v>0</v>
      </c>
      <c r="L318" t="n">
        <v>0</v>
      </c>
      <c r="M318" t="n">
        <v>0</v>
      </c>
      <c r="N318" t="n">
        <v>0</v>
      </c>
      <c r="O318" t="n">
        <v>0</v>
      </c>
      <c r="P318" t="n">
        <v>0</v>
      </c>
      <c r="Q318" t="n">
        <v>0</v>
      </c>
      <c r="R318" t="n">
        <v>0</v>
      </c>
      <c r="S318" t="n">
        <v>0</v>
      </c>
      <c r="T318" t="n">
        <v>0</v>
      </c>
      <c r="U318" s="2" t="inlineStr"/>
    </row>
    <row r="319" ht="15" customHeight="1">
      <c r="A319" t="inlineStr">
        <is>
          <t>A 16471-2022</t>
        </is>
      </c>
      <c r="B319" t="inlineStr">
        <is>
          <t>avverkningsanmälan</t>
        </is>
      </c>
      <c r="C319" t="inlineStr">
        <is>
          <t>Föryngringsavverkning</t>
        </is>
      </c>
      <c r="D319" s="1" t="n">
        <v>44671</v>
      </c>
      <c r="E319" s="1" t="n">
        <v>46217</v>
      </c>
      <c r="F319" t="inlineStr">
        <is>
          <t>NORRBOTTENS LÄN</t>
        </is>
      </c>
      <c r="G319" t="inlineStr">
        <is>
          <t>ÖVERTORNEÅ</t>
        </is>
      </c>
      <c r="I319" t="n">
        <v>4.2</v>
      </c>
      <c r="J319" t="n">
        <v>0</v>
      </c>
      <c r="K319" t="n">
        <v>0</v>
      </c>
      <c r="L319" t="n">
        <v>0</v>
      </c>
      <c r="M319" t="n">
        <v>0</v>
      </c>
      <c r="N319" t="n">
        <v>0</v>
      </c>
      <c r="O319" t="n">
        <v>0</v>
      </c>
      <c r="P319" t="n">
        <v>0</v>
      </c>
      <c r="Q319" t="n">
        <v>0</v>
      </c>
      <c r="R319" t="n">
        <v>0</v>
      </c>
      <c r="S319" t="n">
        <v>0</v>
      </c>
      <c r="T319" t="n">
        <v>0</v>
      </c>
      <c r="U319" s="2" t="inlineStr"/>
    </row>
    <row r="320" ht="15" customHeight="1">
      <c r="A320" t="inlineStr">
        <is>
          <t>A 16566-2022</t>
        </is>
      </c>
      <c r="B320" t="inlineStr">
        <is>
          <t>avverkningsanmälan</t>
        </is>
      </c>
      <c r="C320" t="inlineStr">
        <is>
          <t>Avverkning för annat ändamål</t>
        </is>
      </c>
      <c r="D320" s="1" t="n">
        <v>44672</v>
      </c>
      <c r="E320" s="1" t="n">
        <v>46217</v>
      </c>
      <c r="F320" t="inlineStr">
        <is>
          <t>NORRBOTTENS LÄN</t>
        </is>
      </c>
      <c r="G320" t="inlineStr">
        <is>
          <t>ÖVERTORNEÅ</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38500-2021</t>
        </is>
      </c>
      <c r="B321" t="inlineStr">
        <is>
          <t>avverkningsanmälan</t>
        </is>
      </c>
      <c r="C321" t="inlineStr">
        <is>
          <t>Föryngringsavverkning</t>
        </is>
      </c>
      <c r="D321" s="1" t="n">
        <v>44406</v>
      </c>
      <c r="E321" s="1" t="n">
        <v>46217</v>
      </c>
      <c r="F321" t="inlineStr">
        <is>
          <t>NORRBOTTENS LÄN</t>
        </is>
      </c>
      <c r="G321" t="inlineStr">
        <is>
          <t>ÖVERTORNEÅ</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28658-2022</t>
        </is>
      </c>
      <c r="B322" t="inlineStr">
        <is>
          <t>avverkningsanmälan</t>
        </is>
      </c>
      <c r="C322" t="inlineStr">
        <is>
          <t>Föryngringsavverkning</t>
        </is>
      </c>
      <c r="D322" s="1" t="n">
        <v>44748</v>
      </c>
      <c r="E322" s="1" t="n">
        <v>46217</v>
      </c>
      <c r="F322" t="inlineStr">
        <is>
          <t>NORRBOTTENS LÄN</t>
        </is>
      </c>
      <c r="G322" t="inlineStr">
        <is>
          <t>ÖVERTORNEÅ</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63475-2023</t>
        </is>
      </c>
      <c r="B323" t="inlineStr">
        <is>
          <t>avverkningsanmälan</t>
        </is>
      </c>
      <c r="C323" t="inlineStr">
        <is>
          <t>Föryngringsavverkning</t>
        </is>
      </c>
      <c r="D323" s="1" t="n">
        <v>45274</v>
      </c>
      <c r="E323" s="1" t="n">
        <v>46217</v>
      </c>
      <c r="F323" t="inlineStr">
        <is>
          <t>NORRBOTTENS LÄN</t>
        </is>
      </c>
      <c r="G323" t="inlineStr">
        <is>
          <t>ÖVERTORNEÅ</t>
        </is>
      </c>
      <c r="I323" t="n">
        <v>4.3</v>
      </c>
      <c r="J323" t="n">
        <v>0</v>
      </c>
      <c r="K323" t="n">
        <v>0</v>
      </c>
      <c r="L323" t="n">
        <v>0</v>
      </c>
      <c r="M323" t="n">
        <v>0</v>
      </c>
      <c r="N323" t="n">
        <v>0</v>
      </c>
      <c r="O323" t="n">
        <v>0</v>
      </c>
      <c r="P323" t="n">
        <v>0</v>
      </c>
      <c r="Q323" t="n">
        <v>0</v>
      </c>
      <c r="R323" t="n">
        <v>0</v>
      </c>
      <c r="S323" t="n">
        <v>0</v>
      </c>
      <c r="T323" t="n">
        <v>0</v>
      </c>
      <c r="U323" s="2" t="inlineStr"/>
    </row>
    <row r="324" ht="15" customHeight="1">
      <c r="A324" t="inlineStr">
        <is>
          <t>A 1859-2026</t>
        </is>
      </c>
      <c r="B324" t="inlineStr">
        <is>
          <t>avverkningsanmälan</t>
        </is>
      </c>
      <c r="C324" t="inlineStr">
        <is>
          <t>Föryngringsavverkning</t>
        </is>
      </c>
      <c r="D324" s="1" t="n">
        <v>46035</v>
      </c>
      <c r="E324" s="1" t="n">
        <v>46217</v>
      </c>
      <c r="F324" t="inlineStr">
        <is>
          <t>NORRBOTTENS LÄN</t>
        </is>
      </c>
      <c r="G324" t="inlineStr">
        <is>
          <t>ÖVERTORNEÅ</t>
        </is>
      </c>
      <c r="I324" t="n">
        <v>5.3</v>
      </c>
      <c r="J324" t="n">
        <v>0</v>
      </c>
      <c r="K324" t="n">
        <v>0</v>
      </c>
      <c r="L324" t="n">
        <v>0</v>
      </c>
      <c r="M324" t="n">
        <v>0</v>
      </c>
      <c r="N324" t="n">
        <v>0</v>
      </c>
      <c r="O324" t="n">
        <v>0</v>
      </c>
      <c r="P324" t="n">
        <v>0</v>
      </c>
      <c r="Q324" t="n">
        <v>0</v>
      </c>
      <c r="R324" t="n">
        <v>0</v>
      </c>
      <c r="S324" t="n">
        <v>0</v>
      </c>
      <c r="T324" t="n">
        <v>0</v>
      </c>
      <c r="U324" s="2" t="inlineStr"/>
    </row>
    <row r="325" ht="15" customHeight="1">
      <c r="A325" t="inlineStr">
        <is>
          <t>A 13371-2026</t>
        </is>
      </c>
      <c r="B325" t="inlineStr">
        <is>
          <t>avverkningsanmälan</t>
        </is>
      </c>
      <c r="C325" t="inlineStr">
        <is>
          <t>Föryngringsavverkning</t>
        </is>
      </c>
      <c r="D325" s="1" t="n">
        <v>46094</v>
      </c>
      <c r="E325" s="1" t="n">
        <v>46217</v>
      </c>
      <c r="F325" t="inlineStr">
        <is>
          <t>NORRBOTTENS LÄN</t>
        </is>
      </c>
      <c r="G325" t="inlineStr">
        <is>
          <t>ÖVERTORNEÅ</t>
        </is>
      </c>
      <c r="I325" t="n">
        <v>6.9</v>
      </c>
      <c r="J325" t="n">
        <v>0</v>
      </c>
      <c r="K325" t="n">
        <v>0</v>
      </c>
      <c r="L325" t="n">
        <v>0</v>
      </c>
      <c r="M325" t="n">
        <v>0</v>
      </c>
      <c r="N325" t="n">
        <v>0</v>
      </c>
      <c r="O325" t="n">
        <v>0</v>
      </c>
      <c r="P325" t="n">
        <v>0</v>
      </c>
      <c r="Q325" t="n">
        <v>0</v>
      </c>
      <c r="R325" t="n">
        <v>0</v>
      </c>
      <c r="S325" t="n">
        <v>0</v>
      </c>
      <c r="T325" t="n">
        <v>0</v>
      </c>
      <c r="U325" s="2" t="inlineStr"/>
    </row>
    <row r="326" ht="15" customHeight="1">
      <c r="A326" t="inlineStr">
        <is>
          <t>A 13374-2026</t>
        </is>
      </c>
      <c r="B326" t="inlineStr">
        <is>
          <t>avverkningsanmälan</t>
        </is>
      </c>
      <c r="C326" t="inlineStr">
        <is>
          <t>Föryngringsavverkning</t>
        </is>
      </c>
      <c r="D326" s="1" t="n">
        <v>46094</v>
      </c>
      <c r="E326" s="1" t="n">
        <v>46217</v>
      </c>
      <c r="F326" t="inlineStr">
        <is>
          <t>NORRBOTTENS LÄN</t>
        </is>
      </c>
      <c r="G326" t="inlineStr">
        <is>
          <t>ÖVERTORNEÅ</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13383-2026</t>
        </is>
      </c>
      <c r="B327" t="inlineStr">
        <is>
          <t>avverkningsanmälan</t>
        </is>
      </c>
      <c r="C327" t="inlineStr">
        <is>
          <t>Föryngringsavverkning</t>
        </is>
      </c>
      <c r="D327" s="1" t="n">
        <v>46094</v>
      </c>
      <c r="E327" s="1" t="n">
        <v>46217</v>
      </c>
      <c r="F327" t="inlineStr">
        <is>
          <t>NORRBOTTENS LÄN</t>
        </is>
      </c>
      <c r="G327" t="inlineStr">
        <is>
          <t>ÖVERTORNEÅ</t>
        </is>
      </c>
      <c r="I327" t="n">
        <v>16.5</v>
      </c>
      <c r="J327" t="n">
        <v>0</v>
      </c>
      <c r="K327" t="n">
        <v>0</v>
      </c>
      <c r="L327" t="n">
        <v>0</v>
      </c>
      <c r="M327" t="n">
        <v>0</v>
      </c>
      <c r="N327" t="n">
        <v>0</v>
      </c>
      <c r="O327" t="n">
        <v>0</v>
      </c>
      <c r="P327" t="n">
        <v>0</v>
      </c>
      <c r="Q327" t="n">
        <v>0</v>
      </c>
      <c r="R327" t="n">
        <v>0</v>
      </c>
      <c r="S327" t="n">
        <v>0</v>
      </c>
      <c r="T327" t="n">
        <v>0</v>
      </c>
      <c r="U327" s="2" t="inlineStr"/>
    </row>
    <row r="328" ht="15" customHeight="1">
      <c r="A328" t="inlineStr">
        <is>
          <t>A 24644-2024</t>
        </is>
      </c>
      <c r="B328" t="inlineStr">
        <is>
          <t>avverkningsanmälan</t>
        </is>
      </c>
      <c r="C328" t="inlineStr">
        <is>
          <t>Föryngringsavverkning</t>
        </is>
      </c>
      <c r="D328" s="1" t="n">
        <v>45460</v>
      </c>
      <c r="E328" s="1" t="n">
        <v>46217</v>
      </c>
      <c r="F328" t="inlineStr">
        <is>
          <t>NORRBOTTENS LÄN</t>
        </is>
      </c>
      <c r="G328" t="inlineStr">
        <is>
          <t>ÖVERTORNEÅ</t>
        </is>
      </c>
      <c r="H328" t="inlineStr">
        <is>
          <t>Sveaskog</t>
        </is>
      </c>
      <c r="I328" t="n">
        <v>5.4</v>
      </c>
      <c r="J328" t="n">
        <v>0</v>
      </c>
      <c r="K328" t="n">
        <v>0</v>
      </c>
      <c r="L328" t="n">
        <v>0</v>
      </c>
      <c r="M328" t="n">
        <v>0</v>
      </c>
      <c r="N328" t="n">
        <v>0</v>
      </c>
      <c r="O328" t="n">
        <v>0</v>
      </c>
      <c r="P328" t="n">
        <v>0</v>
      </c>
      <c r="Q328" t="n">
        <v>0</v>
      </c>
      <c r="R328" t="n">
        <v>0</v>
      </c>
      <c r="S328" t="n">
        <v>0</v>
      </c>
      <c r="T328" t="n">
        <v>0</v>
      </c>
      <c r="U328" s="2" t="inlineStr"/>
    </row>
    <row r="329" ht="15" customHeight="1">
      <c r="A329" t="inlineStr">
        <is>
          <t>A 1470-2025</t>
        </is>
      </c>
      <c r="B329" t="inlineStr">
        <is>
          <t>avverkningsanmälan</t>
        </is>
      </c>
      <c r="C329" t="inlineStr">
        <is>
          <t>Föryngringsavverkning</t>
        </is>
      </c>
      <c r="D329" s="1" t="n">
        <v>45670</v>
      </c>
      <c r="E329" s="1" t="n">
        <v>46217</v>
      </c>
      <c r="F329" t="inlineStr">
        <is>
          <t>NORRBOTTENS LÄN</t>
        </is>
      </c>
      <c r="G329" t="inlineStr">
        <is>
          <t>ÖVERTORNEÅ</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23913-2026</t>
        </is>
      </c>
      <c r="B330" t="inlineStr">
        <is>
          <t>avverkningsanmälan</t>
        </is>
      </c>
      <c r="C330" t="inlineStr">
        <is>
          <t>Föryngringsavverkning</t>
        </is>
      </c>
      <c r="D330" s="1" t="n">
        <v>46167</v>
      </c>
      <c r="E330" s="1" t="n">
        <v>46217</v>
      </c>
      <c r="F330" t="inlineStr">
        <is>
          <t>NORRBOTTENS LÄN</t>
        </is>
      </c>
      <c r="G330" t="inlineStr">
        <is>
          <t>ÖVERTORNEÅ</t>
        </is>
      </c>
      <c r="I330" t="n">
        <v>2</v>
      </c>
      <c r="J330" t="n">
        <v>0</v>
      </c>
      <c r="K330" t="n">
        <v>0</v>
      </c>
      <c r="L330" t="n">
        <v>0</v>
      </c>
      <c r="M330" t="n">
        <v>0</v>
      </c>
      <c r="N330" t="n">
        <v>0</v>
      </c>
      <c r="O330" t="n">
        <v>0</v>
      </c>
      <c r="P330" t="n">
        <v>0</v>
      </c>
      <c r="Q330" t="n">
        <v>0</v>
      </c>
      <c r="R330" t="n">
        <v>0</v>
      </c>
      <c r="S330" t="n">
        <v>0</v>
      </c>
      <c r="T330" t="n">
        <v>0</v>
      </c>
      <c r="U330" s="2" t="inlineStr"/>
    </row>
    <row r="331" ht="15" customHeight="1">
      <c r="A331" t="inlineStr">
        <is>
          <t>A 14418-2026</t>
        </is>
      </c>
      <c r="B331" t="inlineStr">
        <is>
          <t>avverkningsanmälan</t>
        </is>
      </c>
      <c r="C331" t="inlineStr">
        <is>
          <t>Föryngringsavverkning</t>
        </is>
      </c>
      <c r="D331" s="1" t="n">
        <v>46100</v>
      </c>
      <c r="E331" s="1" t="n">
        <v>46217</v>
      </c>
      <c r="F331" t="inlineStr">
        <is>
          <t>NORRBOTTENS LÄN</t>
        </is>
      </c>
      <c r="G331" t="inlineStr">
        <is>
          <t>ÖVERTORNEÅ</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23991-2026</t>
        </is>
      </c>
      <c r="B332" t="inlineStr">
        <is>
          <t>avverkningsanmälan</t>
        </is>
      </c>
      <c r="C332" t="inlineStr">
        <is>
          <t>Föryngringsavverkning</t>
        </is>
      </c>
      <c r="D332" s="1" t="n">
        <v>46167</v>
      </c>
      <c r="E332" s="1" t="n">
        <v>46217</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s="2" t="inlineStr"/>
    </row>
    <row r="333" ht="15" customHeight="1">
      <c r="A333" t="inlineStr">
        <is>
          <t>A 23911-2026</t>
        </is>
      </c>
      <c r="B333" t="inlineStr">
        <is>
          <t>avverkningsanmälan</t>
        </is>
      </c>
      <c r="C333" t="inlineStr">
        <is>
          <t>Föryngringsavverkning</t>
        </is>
      </c>
      <c r="D333" s="1" t="n">
        <v>46167</v>
      </c>
      <c r="E333" s="1" t="n">
        <v>46217</v>
      </c>
      <c r="F333" t="inlineStr">
        <is>
          <t>NORRBOTTENS LÄN</t>
        </is>
      </c>
      <c r="G333" t="inlineStr">
        <is>
          <t>ÖVERTORNEÅ</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23954-2026</t>
        </is>
      </c>
      <c r="B334" t="inlineStr">
        <is>
          <t>avverkningsanmälan</t>
        </is>
      </c>
      <c r="C334" t="inlineStr">
        <is>
          <t>Föryngringsavverkning</t>
        </is>
      </c>
      <c r="D334" s="1" t="n">
        <v>46167</v>
      </c>
      <c r="E334" s="1" t="n">
        <v>46217</v>
      </c>
      <c r="F334" t="inlineStr">
        <is>
          <t>NORRBOTTENS LÄN</t>
        </is>
      </c>
      <c r="G334" t="inlineStr">
        <is>
          <t>ÖVERTORNEÅ</t>
        </is>
      </c>
      <c r="I334" t="n">
        <v>12.2</v>
      </c>
      <c r="J334" t="n">
        <v>0</v>
      </c>
      <c r="K334" t="n">
        <v>0</v>
      </c>
      <c r="L334" t="n">
        <v>0</v>
      </c>
      <c r="M334" t="n">
        <v>0</v>
      </c>
      <c r="N334" t="n">
        <v>0</v>
      </c>
      <c r="O334" t="n">
        <v>0</v>
      </c>
      <c r="P334" t="n">
        <v>0</v>
      </c>
      <c r="Q334" t="n">
        <v>0</v>
      </c>
      <c r="R334" t="n">
        <v>0</v>
      </c>
      <c r="S334" t="n">
        <v>0</v>
      </c>
      <c r="T334" t="n">
        <v>0</v>
      </c>
      <c r="U334" s="2" t="inlineStr"/>
    </row>
    <row r="335" ht="15" customHeight="1">
      <c r="A335" t="inlineStr">
        <is>
          <t>A 14420-2026</t>
        </is>
      </c>
      <c r="B335" t="inlineStr">
        <is>
          <t>avverkningsanmälan</t>
        </is>
      </c>
      <c r="C335" t="inlineStr">
        <is>
          <t>Föryngringsavverkning</t>
        </is>
      </c>
      <c r="D335" s="1" t="n">
        <v>46100</v>
      </c>
      <c r="E335" s="1" t="n">
        <v>46217</v>
      </c>
      <c r="F335" t="inlineStr">
        <is>
          <t>NORRBOTTENS LÄN</t>
        </is>
      </c>
      <c r="G335" t="inlineStr">
        <is>
          <t>ÖVERTORNEÅ</t>
        </is>
      </c>
      <c r="I335" t="n">
        <v>4.5</v>
      </c>
      <c r="J335" t="n">
        <v>0</v>
      </c>
      <c r="K335" t="n">
        <v>0</v>
      </c>
      <c r="L335" t="n">
        <v>0</v>
      </c>
      <c r="M335" t="n">
        <v>0</v>
      </c>
      <c r="N335" t="n">
        <v>0</v>
      </c>
      <c r="O335" t="n">
        <v>0</v>
      </c>
      <c r="P335" t="n">
        <v>0</v>
      </c>
      <c r="Q335" t="n">
        <v>0</v>
      </c>
      <c r="R335" t="n">
        <v>0</v>
      </c>
      <c r="S335" t="n">
        <v>0</v>
      </c>
      <c r="T335" t="n">
        <v>0</v>
      </c>
      <c r="U335" s="2" t="inlineStr"/>
    </row>
    <row r="336" ht="15" customHeight="1">
      <c r="A336" t="inlineStr">
        <is>
          <t>A 23955-2026</t>
        </is>
      </c>
      <c r="B336" t="inlineStr">
        <is>
          <t>avverkningsanmälan</t>
        </is>
      </c>
      <c r="C336" t="inlineStr">
        <is>
          <t>Föryngringsavverkning</t>
        </is>
      </c>
      <c r="D336" s="1" t="n">
        <v>46167</v>
      </c>
      <c r="E336" s="1" t="n">
        <v>46217</v>
      </c>
      <c r="F336" t="inlineStr">
        <is>
          <t>NORRBOTTENS LÄN</t>
        </is>
      </c>
      <c r="G336" t="inlineStr">
        <is>
          <t>ÖVERTORNEÅ</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14985-2026</t>
        </is>
      </c>
      <c r="B337" t="inlineStr">
        <is>
          <t>avverkningsanmälan</t>
        </is>
      </c>
      <c r="C337" t="inlineStr">
        <is>
          <t>Föryngringsavverkning</t>
        </is>
      </c>
      <c r="D337" s="1" t="n">
        <v>46104</v>
      </c>
      <c r="E337" s="1" t="n">
        <v>46217</v>
      </c>
      <c r="F337" t="inlineStr">
        <is>
          <t>NORRBOTTENS LÄN</t>
        </is>
      </c>
      <c r="G337" t="inlineStr">
        <is>
          <t>ÖVERTORNEÅ</t>
        </is>
      </c>
      <c r="I337" t="n">
        <v>20</v>
      </c>
      <c r="J337" t="n">
        <v>0</v>
      </c>
      <c r="K337" t="n">
        <v>0</v>
      </c>
      <c r="L337" t="n">
        <v>0</v>
      </c>
      <c r="M337" t="n">
        <v>0</v>
      </c>
      <c r="N337" t="n">
        <v>0</v>
      </c>
      <c r="O337" t="n">
        <v>0</v>
      </c>
      <c r="P337" t="n">
        <v>0</v>
      </c>
      <c r="Q337" t="n">
        <v>0</v>
      </c>
      <c r="R337" t="n">
        <v>0</v>
      </c>
      <c r="S337" t="n">
        <v>0</v>
      </c>
      <c r="T337" t="n">
        <v>0</v>
      </c>
      <c r="U337" s="2" t="inlineStr"/>
    </row>
    <row r="338" ht="15" customHeight="1">
      <c r="A338" t="inlineStr">
        <is>
          <t>A 15043-2025</t>
        </is>
      </c>
      <c r="B338" t="inlineStr">
        <is>
          <t>avverkningsanmälan</t>
        </is>
      </c>
      <c r="C338" t="inlineStr">
        <is>
          <t>Föryngringsavverkning</t>
        </is>
      </c>
      <c r="D338" s="1" t="n">
        <v>45743</v>
      </c>
      <c r="E338" s="1" t="n">
        <v>46217</v>
      </c>
      <c r="F338" t="inlineStr">
        <is>
          <t>NORRBOTTENS LÄN</t>
        </is>
      </c>
      <c r="G338" t="inlineStr">
        <is>
          <t>ÖVERTORNEÅ</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24388-2026</t>
        </is>
      </c>
      <c r="B339" t="inlineStr">
        <is>
          <t>avverkningsanmälan</t>
        </is>
      </c>
      <c r="C339" t="inlineStr">
        <is>
          <t>Föryngringsavverkning</t>
        </is>
      </c>
      <c r="D339" s="1" t="n">
        <v>46167</v>
      </c>
      <c r="E339" s="1" t="n">
        <v>46217</v>
      </c>
      <c r="F339" t="inlineStr">
        <is>
          <t>NORRBOTTENS LÄN</t>
        </is>
      </c>
      <c r="G339" t="inlineStr">
        <is>
          <t>ÖVERTORNEÅ</t>
        </is>
      </c>
      <c r="I339" t="n">
        <v>25</v>
      </c>
      <c r="J339" t="n">
        <v>0</v>
      </c>
      <c r="K339" t="n">
        <v>0</v>
      </c>
      <c r="L339" t="n">
        <v>0</v>
      </c>
      <c r="M339" t="n">
        <v>0</v>
      </c>
      <c r="N339" t="n">
        <v>0</v>
      </c>
      <c r="O339" t="n">
        <v>0</v>
      </c>
      <c r="P339" t="n">
        <v>0</v>
      </c>
      <c r="Q339" t="n">
        <v>0</v>
      </c>
      <c r="R339" t="n">
        <v>0</v>
      </c>
      <c r="S339" t="n">
        <v>0</v>
      </c>
      <c r="T339" t="n">
        <v>0</v>
      </c>
      <c r="U339" s="2" t="inlineStr"/>
    </row>
    <row r="340" ht="15" customHeight="1">
      <c r="A340" t="inlineStr">
        <is>
          <t>A 1469-2025</t>
        </is>
      </c>
      <c r="B340" t="inlineStr">
        <is>
          <t>avverkningsanmälan</t>
        </is>
      </c>
      <c r="C340" t="inlineStr">
        <is>
          <t>Föryngringsavverkning</t>
        </is>
      </c>
      <c r="D340" s="1" t="n">
        <v>45670</v>
      </c>
      <c r="E340" s="1" t="n">
        <v>46217</v>
      </c>
      <c r="F340" t="inlineStr">
        <is>
          <t>NORRBOTTENS LÄN</t>
        </is>
      </c>
      <c r="G340" t="inlineStr">
        <is>
          <t>ÖVERTORNEÅ</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35218-2022</t>
        </is>
      </c>
      <c r="B341" t="inlineStr">
        <is>
          <t>avverkningsanmälan</t>
        </is>
      </c>
      <c r="C341" t="inlineStr">
        <is>
          <t>Föryngringsavverkning</t>
        </is>
      </c>
      <c r="D341" s="1" t="n">
        <v>44797</v>
      </c>
      <c r="E341" s="1" t="n">
        <v>46217</v>
      </c>
      <c r="F341" t="inlineStr">
        <is>
          <t>NORRBOTTENS LÄN</t>
        </is>
      </c>
      <c r="G341" t="inlineStr">
        <is>
          <t>ÖVERTORNEÅ</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16152-2026</t>
        </is>
      </c>
      <c r="B342" t="inlineStr">
        <is>
          <t>avverkningsanmälan</t>
        </is>
      </c>
      <c r="C342" t="inlineStr">
        <is>
          <t>Föryngringsavverkning</t>
        </is>
      </c>
      <c r="D342" s="1" t="n">
        <v>46108</v>
      </c>
      <c r="E342" s="1" t="n">
        <v>46217</v>
      </c>
      <c r="F342" t="inlineStr">
        <is>
          <t>NORRBOTTENS LÄN</t>
        </is>
      </c>
      <c r="G342" t="inlineStr">
        <is>
          <t>ÖVERTORNEÅ</t>
        </is>
      </c>
      <c r="I342" t="n">
        <v>11.1</v>
      </c>
      <c r="J342" t="n">
        <v>0</v>
      </c>
      <c r="K342" t="n">
        <v>0</v>
      </c>
      <c r="L342" t="n">
        <v>0</v>
      </c>
      <c r="M342" t="n">
        <v>0</v>
      </c>
      <c r="N342" t="n">
        <v>0</v>
      </c>
      <c r="O342" t="n">
        <v>0</v>
      </c>
      <c r="P342" t="n">
        <v>0</v>
      </c>
      <c r="Q342" t="n">
        <v>0</v>
      </c>
      <c r="R342" t="n">
        <v>0</v>
      </c>
      <c r="S342" t="n">
        <v>0</v>
      </c>
      <c r="T342" t="n">
        <v>0</v>
      </c>
      <c r="U342" s="2" t="inlineStr"/>
    </row>
    <row r="343" ht="15" customHeight="1">
      <c r="A343" t="inlineStr">
        <is>
          <t>A 16148-2026</t>
        </is>
      </c>
      <c r="B343" t="inlineStr">
        <is>
          <t>avverkningsanmälan</t>
        </is>
      </c>
      <c r="C343" t="inlineStr">
        <is>
          <t>Föryngringsavverkning</t>
        </is>
      </c>
      <c r="D343" s="1" t="n">
        <v>46108</v>
      </c>
      <c r="E343" s="1" t="n">
        <v>46217</v>
      </c>
      <c r="F343" t="inlineStr">
        <is>
          <t>NORRBOTTENS LÄN</t>
        </is>
      </c>
      <c r="G343" t="inlineStr">
        <is>
          <t>ÖVERTORNEÅ</t>
        </is>
      </c>
      <c r="I343" t="n">
        <v>4.8</v>
      </c>
      <c r="J343" t="n">
        <v>0</v>
      </c>
      <c r="K343" t="n">
        <v>0</v>
      </c>
      <c r="L343" t="n">
        <v>0</v>
      </c>
      <c r="M343" t="n">
        <v>0</v>
      </c>
      <c r="N343" t="n">
        <v>0</v>
      </c>
      <c r="O343" t="n">
        <v>0</v>
      </c>
      <c r="P343" t="n">
        <v>0</v>
      </c>
      <c r="Q343" t="n">
        <v>0</v>
      </c>
      <c r="R343" t="n">
        <v>0</v>
      </c>
      <c r="S343" t="n">
        <v>0</v>
      </c>
      <c r="T343" t="n">
        <v>0</v>
      </c>
      <c r="U343" s="2" t="inlineStr"/>
    </row>
    <row r="344" ht="15" customHeight="1">
      <c r="A344" t="inlineStr">
        <is>
          <t>A 23196-2024</t>
        </is>
      </c>
      <c r="B344" t="inlineStr">
        <is>
          <t>avverkningsanmälan</t>
        </is>
      </c>
      <c r="C344" t="inlineStr">
        <is>
          <t>Föryngringsavverkning</t>
        </is>
      </c>
      <c r="D344" s="1" t="n">
        <v>45451</v>
      </c>
      <c r="E344" s="1" t="n">
        <v>46217</v>
      </c>
      <c r="F344" t="inlineStr">
        <is>
          <t>NORRBOTTENS LÄN</t>
        </is>
      </c>
      <c r="G344" t="inlineStr">
        <is>
          <t>ÖVERTORNEÅ</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46026-2021</t>
        </is>
      </c>
      <c r="B345" t="inlineStr">
        <is>
          <t>avverkningsanmälan</t>
        </is>
      </c>
      <c r="C345" t="inlineStr">
        <is>
          <t>Föryngringsavverkning</t>
        </is>
      </c>
      <c r="D345" s="1" t="n">
        <v>44441</v>
      </c>
      <c r="E345" s="1" t="n">
        <v>46217</v>
      </c>
      <c r="F345" t="inlineStr">
        <is>
          <t>NORRBOTTENS LÄN</t>
        </is>
      </c>
      <c r="G345" t="inlineStr">
        <is>
          <t>ÖVERTORNEÅ</t>
        </is>
      </c>
      <c r="I345" t="n">
        <v>2.9</v>
      </c>
      <c r="J345" t="n">
        <v>0</v>
      </c>
      <c r="K345" t="n">
        <v>0</v>
      </c>
      <c r="L345" t="n">
        <v>0</v>
      </c>
      <c r="M345" t="n">
        <v>0</v>
      </c>
      <c r="N345" t="n">
        <v>0</v>
      </c>
      <c r="O345" t="n">
        <v>0</v>
      </c>
      <c r="P345" t="n">
        <v>0</v>
      </c>
      <c r="Q345" t="n">
        <v>0</v>
      </c>
      <c r="R345" t="n">
        <v>0</v>
      </c>
      <c r="S345" t="n">
        <v>0</v>
      </c>
      <c r="T345" t="n">
        <v>0</v>
      </c>
      <c r="U345" s="2" t="inlineStr"/>
    </row>
    <row r="346" ht="15" customHeight="1">
      <c r="A346" t="inlineStr">
        <is>
          <t>A 46035-2021</t>
        </is>
      </c>
      <c r="B346" t="inlineStr">
        <is>
          <t>avverkningsanmälan</t>
        </is>
      </c>
      <c r="C346" t="inlineStr">
        <is>
          <t>Föryngringsavverkning</t>
        </is>
      </c>
      <c r="D346" s="1" t="n">
        <v>44441</v>
      </c>
      <c r="E346" s="1" t="n">
        <v>46217</v>
      </c>
      <c r="F346" t="inlineStr">
        <is>
          <t>NORRBOTTENS LÄN</t>
        </is>
      </c>
      <c r="G346" t="inlineStr">
        <is>
          <t>ÖVERTORNEÅ</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16150-2026</t>
        </is>
      </c>
      <c r="B347" t="inlineStr">
        <is>
          <t>avverkningsanmälan</t>
        </is>
      </c>
      <c r="C347" t="inlineStr">
        <is>
          <t>Föryngringsavverkning</t>
        </is>
      </c>
      <c r="D347" s="1" t="n">
        <v>46108</v>
      </c>
      <c r="E347" s="1" t="n">
        <v>46217</v>
      </c>
      <c r="F347" t="inlineStr">
        <is>
          <t>NORRBOTTENS LÄN</t>
        </is>
      </c>
      <c r="G347" t="inlineStr">
        <is>
          <t>ÖVERTORNEÅ</t>
        </is>
      </c>
      <c r="I347" t="n">
        <v>14.9</v>
      </c>
      <c r="J347" t="n">
        <v>0</v>
      </c>
      <c r="K347" t="n">
        <v>0</v>
      </c>
      <c r="L347" t="n">
        <v>0</v>
      </c>
      <c r="M347" t="n">
        <v>0</v>
      </c>
      <c r="N347" t="n">
        <v>0</v>
      </c>
      <c r="O347" t="n">
        <v>0</v>
      </c>
      <c r="P347" t="n">
        <v>0</v>
      </c>
      <c r="Q347" t="n">
        <v>0</v>
      </c>
      <c r="R347" t="n">
        <v>0</v>
      </c>
      <c r="S347" t="n">
        <v>0</v>
      </c>
      <c r="T347" t="n">
        <v>0</v>
      </c>
      <c r="U347" s="2" t="inlineStr"/>
    </row>
    <row r="348" ht="15" customHeight="1">
      <c r="A348" t="inlineStr">
        <is>
          <t>A 24381-2026</t>
        </is>
      </c>
      <c r="B348" t="inlineStr">
        <is>
          <t>avverkningsanmälan</t>
        </is>
      </c>
      <c r="C348" t="inlineStr">
        <is>
          <t>Föryngringsavverkning</t>
        </is>
      </c>
      <c r="D348" s="1" t="n">
        <v>46167</v>
      </c>
      <c r="E348" s="1" t="n">
        <v>46217</v>
      </c>
      <c r="F348" t="inlineStr">
        <is>
          <t>NORRBOTTENS LÄN</t>
        </is>
      </c>
      <c r="G348" t="inlineStr">
        <is>
          <t>ÖVERTORNEÅ</t>
        </is>
      </c>
      <c r="I348" t="n">
        <v>6.8</v>
      </c>
      <c r="J348" t="n">
        <v>0</v>
      </c>
      <c r="K348" t="n">
        <v>0</v>
      </c>
      <c r="L348" t="n">
        <v>0</v>
      </c>
      <c r="M348" t="n">
        <v>0</v>
      </c>
      <c r="N348" t="n">
        <v>0</v>
      </c>
      <c r="O348" t="n">
        <v>0</v>
      </c>
      <c r="P348" t="n">
        <v>0</v>
      </c>
      <c r="Q348" t="n">
        <v>0</v>
      </c>
      <c r="R348" t="n">
        <v>0</v>
      </c>
      <c r="S348" t="n">
        <v>0</v>
      </c>
      <c r="T348" t="n">
        <v>0</v>
      </c>
      <c r="U348" s="2" t="inlineStr"/>
    </row>
    <row r="349" ht="15" customHeight="1">
      <c r="A349" t="inlineStr">
        <is>
          <t>A 24396-2026</t>
        </is>
      </c>
      <c r="B349" t="inlineStr">
        <is>
          <t>avverkningsanmälan</t>
        </is>
      </c>
      <c r="C349" t="inlineStr">
        <is>
          <t>Föryngringsavverkning</t>
        </is>
      </c>
      <c r="D349" s="1" t="n">
        <v>46167</v>
      </c>
      <c r="E349" s="1" t="n">
        <v>46217</v>
      </c>
      <c r="F349" t="inlineStr">
        <is>
          <t>NORRBOTTENS LÄN</t>
        </is>
      </c>
      <c r="G349" t="inlineStr">
        <is>
          <t>ÖVERTORNEÅ</t>
        </is>
      </c>
      <c r="I349" t="n">
        <v>4.5</v>
      </c>
      <c r="J349" t="n">
        <v>0</v>
      </c>
      <c r="K349" t="n">
        <v>0</v>
      </c>
      <c r="L349" t="n">
        <v>0</v>
      </c>
      <c r="M349" t="n">
        <v>0</v>
      </c>
      <c r="N349" t="n">
        <v>0</v>
      </c>
      <c r="O349" t="n">
        <v>0</v>
      </c>
      <c r="P349" t="n">
        <v>0</v>
      </c>
      <c r="Q349" t="n">
        <v>0</v>
      </c>
      <c r="R349" t="n">
        <v>0</v>
      </c>
      <c r="S349" t="n">
        <v>0</v>
      </c>
      <c r="T349" t="n">
        <v>0</v>
      </c>
      <c r="U349" s="2" t="inlineStr"/>
    </row>
    <row r="350" ht="15" customHeight="1">
      <c r="A350" t="inlineStr">
        <is>
          <t>A 24401-2026</t>
        </is>
      </c>
      <c r="B350" t="inlineStr">
        <is>
          <t>avverkningsanmälan</t>
        </is>
      </c>
      <c r="C350" t="inlineStr">
        <is>
          <t>Föryngringsavverkning</t>
        </is>
      </c>
      <c r="D350" s="1" t="n">
        <v>46167</v>
      </c>
      <c r="E350" s="1" t="n">
        <v>46217</v>
      </c>
      <c r="F350" t="inlineStr">
        <is>
          <t>NORRBOTTENS LÄN</t>
        </is>
      </c>
      <c r="G350" t="inlineStr">
        <is>
          <t>ÖVERTORNEÅ</t>
        </is>
      </c>
      <c r="I350" t="n">
        <v>16.5</v>
      </c>
      <c r="J350" t="n">
        <v>0</v>
      </c>
      <c r="K350" t="n">
        <v>0</v>
      </c>
      <c r="L350" t="n">
        <v>0</v>
      </c>
      <c r="M350" t="n">
        <v>0</v>
      </c>
      <c r="N350" t="n">
        <v>0</v>
      </c>
      <c r="O350" t="n">
        <v>0</v>
      </c>
      <c r="P350" t="n">
        <v>0</v>
      </c>
      <c r="Q350" t="n">
        <v>0</v>
      </c>
      <c r="R350" t="n">
        <v>0</v>
      </c>
      <c r="S350" t="n">
        <v>0</v>
      </c>
      <c r="T350" t="n">
        <v>0</v>
      </c>
      <c r="U350" s="2" t="inlineStr"/>
    </row>
    <row r="351" ht="15" customHeight="1">
      <c r="A351" t="inlineStr">
        <is>
          <t>A 30567-2026</t>
        </is>
      </c>
      <c r="B351" t="inlineStr">
        <is>
          <t>avverkningsanmälan</t>
        </is>
      </c>
      <c r="C351" t="inlineStr">
        <is>
          <t>Föryngringsavverkning</t>
        </is>
      </c>
      <c r="D351" s="1" t="n">
        <v>46210</v>
      </c>
      <c r="E351" s="1" t="n">
        <v>46217</v>
      </c>
      <c r="F351" t="inlineStr">
        <is>
          <t>NORRBOTTENS LÄN</t>
        </is>
      </c>
      <c r="G351" t="inlineStr">
        <is>
          <t>ÖVERTORNEÅ</t>
        </is>
      </c>
      <c r="I351" t="n">
        <v>20.4</v>
      </c>
      <c r="J351" t="n">
        <v>0</v>
      </c>
      <c r="K351" t="n">
        <v>0</v>
      </c>
      <c r="L351" t="n">
        <v>0</v>
      </c>
      <c r="M351" t="n">
        <v>0</v>
      </c>
      <c r="N351" t="n">
        <v>0</v>
      </c>
      <c r="O351" t="n">
        <v>0</v>
      </c>
      <c r="P351" t="n">
        <v>0</v>
      </c>
      <c r="Q351" t="n">
        <v>0</v>
      </c>
      <c r="R351" t="n">
        <v>0</v>
      </c>
      <c r="S351" t="n">
        <v>0</v>
      </c>
      <c r="T351" t="n">
        <v>0</v>
      </c>
      <c r="U351" s="2" t="inlineStr"/>
    </row>
    <row r="352" ht="15" customHeight="1">
      <c r="A352" t="inlineStr">
        <is>
          <t>A 14591-2024</t>
        </is>
      </c>
      <c r="B352" t="inlineStr">
        <is>
          <t>avverkningsanmälan</t>
        </is>
      </c>
      <c r="C352" t="inlineStr">
        <is>
          <t>Föryngringsavverkning</t>
        </is>
      </c>
      <c r="D352" s="1" t="n">
        <v>45395</v>
      </c>
      <c r="E352" s="1" t="n">
        <v>46217</v>
      </c>
      <c r="F352" t="inlineStr">
        <is>
          <t>NORRBOTTENS LÄN</t>
        </is>
      </c>
      <c r="G352" t="inlineStr">
        <is>
          <t>ÖVERTORNEÅ</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15201-2023</t>
        </is>
      </c>
      <c r="B353" t="inlineStr">
        <is>
          <t>avverkningsanmälan</t>
        </is>
      </c>
      <c r="C353" t="inlineStr">
        <is>
          <t>Föryngringsavverkning</t>
        </is>
      </c>
      <c r="D353" s="1" t="n">
        <v>45017</v>
      </c>
      <c r="E353" s="1" t="n">
        <v>46217</v>
      </c>
      <c r="F353" t="inlineStr">
        <is>
          <t>NORRBOTTENS LÄN</t>
        </is>
      </c>
      <c r="G353" t="inlineStr">
        <is>
          <t>ÖVERTORNEÅ</t>
        </is>
      </c>
      <c r="I353" t="n">
        <v>6.9</v>
      </c>
      <c r="J353" t="n">
        <v>0</v>
      </c>
      <c r="K353" t="n">
        <v>0</v>
      </c>
      <c r="L353" t="n">
        <v>0</v>
      </c>
      <c r="M353" t="n">
        <v>0</v>
      </c>
      <c r="N353" t="n">
        <v>0</v>
      </c>
      <c r="O353" t="n">
        <v>0</v>
      </c>
      <c r="P353" t="n">
        <v>0</v>
      </c>
      <c r="Q353" t="n">
        <v>0</v>
      </c>
      <c r="R353" t="n">
        <v>0</v>
      </c>
      <c r="S353" t="n">
        <v>0</v>
      </c>
      <c r="T353" t="n">
        <v>0</v>
      </c>
      <c r="U353" s="2" t="inlineStr"/>
    </row>
    <row r="354" ht="15" customHeight="1">
      <c r="A354" t="inlineStr">
        <is>
          <t>A 39775-2023</t>
        </is>
      </c>
      <c r="B354" t="inlineStr">
        <is>
          <t>avverkningsanmälan</t>
        </is>
      </c>
      <c r="C354" t="inlineStr">
        <is>
          <t>Avverkning för annat ändamål</t>
        </is>
      </c>
      <c r="D354" s="1" t="n">
        <v>45167</v>
      </c>
      <c r="E354" s="1" t="n">
        <v>46217</v>
      </c>
      <c r="F354" t="inlineStr">
        <is>
          <t>NORRBOTTENS LÄN</t>
        </is>
      </c>
      <c r="G354" t="inlineStr">
        <is>
          <t>ÖVERTORNEÅ</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34142-2023</t>
        </is>
      </c>
      <c r="B355" t="inlineStr">
        <is>
          <t>avverkningsanmälan</t>
        </is>
      </c>
      <c r="C355" t="inlineStr">
        <is>
          <t>Föryngringsavverkning</t>
        </is>
      </c>
      <c r="D355" s="1" t="n">
        <v>45136</v>
      </c>
      <c r="E355" s="1" t="n">
        <v>46217</v>
      </c>
      <c r="F355" t="inlineStr">
        <is>
          <t>NORRBOTTENS LÄN</t>
        </is>
      </c>
      <c r="G355" t="inlineStr">
        <is>
          <t>ÖVERTORNEÅ</t>
        </is>
      </c>
      <c r="I355" t="n">
        <v>22.5</v>
      </c>
      <c r="J355" t="n">
        <v>0</v>
      </c>
      <c r="K355" t="n">
        <v>0</v>
      </c>
      <c r="L355" t="n">
        <v>0</v>
      </c>
      <c r="M355" t="n">
        <v>0</v>
      </c>
      <c r="N355" t="n">
        <v>0</v>
      </c>
      <c r="O355" t="n">
        <v>0</v>
      </c>
      <c r="P355" t="n">
        <v>0</v>
      </c>
      <c r="Q355" t="n">
        <v>0</v>
      </c>
      <c r="R355" t="n">
        <v>0</v>
      </c>
      <c r="S355" t="n">
        <v>0</v>
      </c>
      <c r="T355" t="n">
        <v>0</v>
      </c>
      <c r="U355" s="2" t="inlineStr"/>
    </row>
    <row r="356" ht="15" customHeight="1">
      <c r="A356" t="inlineStr">
        <is>
          <t>A 17987-2026</t>
        </is>
      </c>
      <c r="B356" t="inlineStr">
        <is>
          <t>avverkningsanmälan</t>
        </is>
      </c>
      <c r="C356" t="inlineStr">
        <is>
          <t>Föryngringsavverkning</t>
        </is>
      </c>
      <c r="D356" s="1" t="n">
        <v>46124</v>
      </c>
      <c r="E356" s="1" t="n">
        <v>46217</v>
      </c>
      <c r="F356" t="inlineStr">
        <is>
          <t>NORRBOTTENS LÄN</t>
        </is>
      </c>
      <c r="G356" t="inlineStr">
        <is>
          <t>ÖVERTORNEÅ</t>
        </is>
      </c>
      <c r="I356" t="n">
        <v>12.3</v>
      </c>
      <c r="J356" t="n">
        <v>0</v>
      </c>
      <c r="K356" t="n">
        <v>0</v>
      </c>
      <c r="L356" t="n">
        <v>0</v>
      </c>
      <c r="M356" t="n">
        <v>0</v>
      </c>
      <c r="N356" t="n">
        <v>0</v>
      </c>
      <c r="O356" t="n">
        <v>0</v>
      </c>
      <c r="P356" t="n">
        <v>0</v>
      </c>
      <c r="Q356" t="n">
        <v>0</v>
      </c>
      <c r="R356" t="n">
        <v>0</v>
      </c>
      <c r="S356" t="n">
        <v>0</v>
      </c>
      <c r="T356" t="n">
        <v>0</v>
      </c>
      <c r="U356" s="2" t="inlineStr"/>
    </row>
    <row r="357" ht="15" customHeight="1">
      <c r="A357" t="inlineStr">
        <is>
          <t>A 35593-2025</t>
        </is>
      </c>
      <c r="B357" t="inlineStr">
        <is>
          <t>avverkningsanmälan</t>
        </is>
      </c>
      <c r="C357" t="inlineStr">
        <is>
          <t>Föryngringsavverkning</t>
        </is>
      </c>
      <c r="D357" s="1" t="n">
        <v>45857</v>
      </c>
      <c r="E357" s="1" t="n">
        <v>46217</v>
      </c>
      <c r="F357" t="inlineStr">
        <is>
          <t>NORRBOTTENS LÄN</t>
        </is>
      </c>
      <c r="G357" t="inlineStr">
        <is>
          <t>ÖVERTORNEÅ</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23014-2024</t>
        </is>
      </c>
      <c r="B358" t="inlineStr">
        <is>
          <t>avverkningsanmälan</t>
        </is>
      </c>
      <c r="C358" t="inlineStr">
        <is>
          <t>Föryngringsavverkning</t>
        </is>
      </c>
      <c r="D358" s="1" t="n">
        <v>45449</v>
      </c>
      <c r="E358" s="1" t="n">
        <v>46217</v>
      </c>
      <c r="F358" t="inlineStr">
        <is>
          <t>NORRBOTTENS LÄN</t>
        </is>
      </c>
      <c r="G358" t="inlineStr">
        <is>
          <t>ÖVERTORNEÅ</t>
        </is>
      </c>
      <c r="I358" t="n">
        <v>13.8</v>
      </c>
      <c r="J358" t="n">
        <v>0</v>
      </c>
      <c r="K358" t="n">
        <v>0</v>
      </c>
      <c r="L358" t="n">
        <v>0</v>
      </c>
      <c r="M358" t="n">
        <v>0</v>
      </c>
      <c r="N358" t="n">
        <v>0</v>
      </c>
      <c r="O358" t="n">
        <v>0</v>
      </c>
      <c r="P358" t="n">
        <v>0</v>
      </c>
      <c r="Q358" t="n">
        <v>0</v>
      </c>
      <c r="R358" t="n">
        <v>0</v>
      </c>
      <c r="S358" t="n">
        <v>0</v>
      </c>
      <c r="T358" t="n">
        <v>0</v>
      </c>
      <c r="U358" s="2" t="inlineStr"/>
    </row>
    <row r="359" ht="15" customHeight="1">
      <c r="A359" t="inlineStr">
        <is>
          <t>A 34145-2023</t>
        </is>
      </c>
      <c r="B359" t="inlineStr">
        <is>
          <t>avverkningsanmälan</t>
        </is>
      </c>
      <c r="C359" t="inlineStr">
        <is>
          <t>Avverkning för annat ändamål</t>
        </is>
      </c>
      <c r="D359" s="1" t="n">
        <v>45136</v>
      </c>
      <c r="E359" s="1" t="n">
        <v>46217</v>
      </c>
      <c r="F359" t="inlineStr">
        <is>
          <t>NORRBOTTENS LÄN</t>
        </is>
      </c>
      <c r="G359" t="inlineStr">
        <is>
          <t>ÖVERTORNEÅ</t>
        </is>
      </c>
      <c r="I359" t="n">
        <v>0.2</v>
      </c>
      <c r="J359" t="n">
        <v>0</v>
      </c>
      <c r="K359" t="n">
        <v>0</v>
      </c>
      <c r="L359" t="n">
        <v>0</v>
      </c>
      <c r="M359" t="n">
        <v>0</v>
      </c>
      <c r="N359" t="n">
        <v>0</v>
      </c>
      <c r="O359" t="n">
        <v>0</v>
      </c>
      <c r="P359" t="n">
        <v>0</v>
      </c>
      <c r="Q359" t="n">
        <v>0</v>
      </c>
      <c r="R359" t="n">
        <v>0</v>
      </c>
      <c r="S359" t="n">
        <v>0</v>
      </c>
      <c r="T359" t="n">
        <v>0</v>
      </c>
      <c r="U359" s="2" t="inlineStr"/>
    </row>
    <row r="360" ht="15" customHeight="1">
      <c r="A360" t="inlineStr">
        <is>
          <t>A 16006-2024</t>
        </is>
      </c>
      <c r="B360" t="inlineStr">
        <is>
          <t>avverkningsanmälan</t>
        </is>
      </c>
      <c r="C360" t="inlineStr">
        <is>
          <t>Föryngringsavverkning</t>
        </is>
      </c>
      <c r="D360" s="1" t="n">
        <v>45405</v>
      </c>
      <c r="E360" s="1" t="n">
        <v>46217</v>
      </c>
      <c r="F360" t="inlineStr">
        <is>
          <t>NORRBOTTENS LÄN</t>
        </is>
      </c>
      <c r="G360" t="inlineStr">
        <is>
          <t>ÖVERTORNEÅ</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61040-2022</t>
        </is>
      </c>
      <c r="B361" t="inlineStr">
        <is>
          <t>avverkningsanmälan</t>
        </is>
      </c>
      <c r="C361" t="inlineStr">
        <is>
          <t>Föryngringsavverkning</t>
        </is>
      </c>
      <c r="D361" s="1" t="n">
        <v>44914</v>
      </c>
      <c r="E361" s="1" t="n">
        <v>46217</v>
      </c>
      <c r="F361" t="inlineStr">
        <is>
          <t>NORRBOTTENS LÄN</t>
        </is>
      </c>
      <c r="G361" t="inlineStr">
        <is>
          <t>ÖVERTORNEÅ</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18925-2026</t>
        </is>
      </c>
      <c r="B362" t="inlineStr">
        <is>
          <t>avverkningsanmälan</t>
        </is>
      </c>
      <c r="C362" t="inlineStr">
        <is>
          <t>Föryngringsavverkning</t>
        </is>
      </c>
      <c r="D362" s="1" t="n">
        <v>46129</v>
      </c>
      <c r="E362" s="1" t="n">
        <v>46217</v>
      </c>
      <c r="F362" t="inlineStr">
        <is>
          <t>NORRBOTTENS LÄN</t>
        </is>
      </c>
      <c r="G362" t="inlineStr">
        <is>
          <t>ÖVERTORNEÅ</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24972-2026</t>
        </is>
      </c>
      <c r="B363" t="inlineStr">
        <is>
          <t>avverkningsanmälan</t>
        </is>
      </c>
      <c r="C363" t="inlineStr">
        <is>
          <t>Föryngringsavverkning</t>
        </is>
      </c>
      <c r="D363" s="1" t="n">
        <v>46174</v>
      </c>
      <c r="E363" s="1" t="n">
        <v>46217</v>
      </c>
      <c r="F363" t="inlineStr">
        <is>
          <t>NORRBOTTENS LÄN</t>
        </is>
      </c>
      <c r="G363" t="inlineStr">
        <is>
          <t>ÖVERTORNEÅ</t>
        </is>
      </c>
      <c r="I363" t="n">
        <v>10.1</v>
      </c>
      <c r="J363" t="n">
        <v>0</v>
      </c>
      <c r="K363" t="n">
        <v>0</v>
      </c>
      <c r="L363" t="n">
        <v>0</v>
      </c>
      <c r="M363" t="n">
        <v>0</v>
      </c>
      <c r="N363" t="n">
        <v>0</v>
      </c>
      <c r="O363" t="n">
        <v>0</v>
      </c>
      <c r="P363" t="n">
        <v>0</v>
      </c>
      <c r="Q363" t="n">
        <v>0</v>
      </c>
      <c r="R363" t="n">
        <v>0</v>
      </c>
      <c r="S363" t="n">
        <v>0</v>
      </c>
      <c r="T363" t="n">
        <v>0</v>
      </c>
      <c r="U363" s="2" t="inlineStr"/>
    </row>
    <row r="364" ht="15" customHeight="1">
      <c r="A364" t="inlineStr">
        <is>
          <t>A 19100-2026</t>
        </is>
      </c>
      <c r="B364" t="inlineStr">
        <is>
          <t>avverkningsanmälan</t>
        </is>
      </c>
      <c r="C364" t="inlineStr">
        <is>
          <t>Föryngringsavverkning</t>
        </is>
      </c>
      <c r="D364" s="1" t="n">
        <v>46132</v>
      </c>
      <c r="E364" s="1" t="n">
        <v>46217</v>
      </c>
      <c r="F364" t="inlineStr">
        <is>
          <t>NORRBOTTENS LÄN</t>
        </is>
      </c>
      <c r="G364" t="inlineStr">
        <is>
          <t>ÖVERTORNEÅ</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12202-2025</t>
        </is>
      </c>
      <c r="B365" t="inlineStr">
        <is>
          <t>avverkningsanmälan</t>
        </is>
      </c>
      <c r="C365" t="inlineStr">
        <is>
          <t>Föryngringsavverkning</t>
        </is>
      </c>
      <c r="D365" s="1" t="n">
        <v>45729</v>
      </c>
      <c r="E365" s="1" t="n">
        <v>46217</v>
      </c>
      <c r="F365" t="inlineStr">
        <is>
          <t>NORRBOTTENS LÄN</t>
        </is>
      </c>
      <c r="G365" t="inlineStr">
        <is>
          <t>ÖVERTORNEÅ</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16000-2024</t>
        </is>
      </c>
      <c r="B366" t="inlineStr">
        <is>
          <t>avverkningsanmälan</t>
        </is>
      </c>
      <c r="C366" t="inlineStr">
        <is>
          <t>Föryngringsavverkning</t>
        </is>
      </c>
      <c r="D366" s="1" t="n">
        <v>45405</v>
      </c>
      <c r="E366" s="1" t="n">
        <v>46217</v>
      </c>
      <c r="F366" t="inlineStr">
        <is>
          <t>NORRBOTTENS LÄN</t>
        </is>
      </c>
      <c r="G366" t="inlineStr">
        <is>
          <t>ÖVERTORNEÅ</t>
        </is>
      </c>
      <c r="I366" t="n">
        <v>3.8</v>
      </c>
      <c r="J366" t="n">
        <v>0</v>
      </c>
      <c r="K366" t="n">
        <v>0</v>
      </c>
      <c r="L366" t="n">
        <v>0</v>
      </c>
      <c r="M366" t="n">
        <v>0</v>
      </c>
      <c r="N366" t="n">
        <v>0</v>
      </c>
      <c r="O366" t="n">
        <v>0</v>
      </c>
      <c r="P366" t="n">
        <v>0</v>
      </c>
      <c r="Q366" t="n">
        <v>0</v>
      </c>
      <c r="R366" t="n">
        <v>0</v>
      </c>
      <c r="S366" t="n">
        <v>0</v>
      </c>
      <c r="T366" t="n">
        <v>0</v>
      </c>
      <c r="U366" s="2" t="inlineStr"/>
    </row>
    <row r="367" ht="15" customHeight="1">
      <c r="A367" t="inlineStr">
        <is>
          <t>A 4274-2025</t>
        </is>
      </c>
      <c r="B367" t="inlineStr">
        <is>
          <t>avverkningsanmälan</t>
        </is>
      </c>
      <c r="C367" t="inlineStr">
        <is>
          <t>Föryngringsavverkning</t>
        </is>
      </c>
      <c r="D367" s="1" t="n">
        <v>45685</v>
      </c>
      <c r="E367" s="1" t="n">
        <v>46217</v>
      </c>
      <c r="F367" t="inlineStr">
        <is>
          <t>NORRBOTTENS LÄN</t>
        </is>
      </c>
      <c r="G367" t="inlineStr">
        <is>
          <t>ÖVERTORNEÅ</t>
        </is>
      </c>
      <c r="I367" t="n">
        <v>7.1</v>
      </c>
      <c r="J367" t="n">
        <v>0</v>
      </c>
      <c r="K367" t="n">
        <v>0</v>
      </c>
      <c r="L367" t="n">
        <v>0</v>
      </c>
      <c r="M367" t="n">
        <v>0</v>
      </c>
      <c r="N367" t="n">
        <v>0</v>
      </c>
      <c r="O367" t="n">
        <v>0</v>
      </c>
      <c r="P367" t="n">
        <v>0</v>
      </c>
      <c r="Q367" t="n">
        <v>0</v>
      </c>
      <c r="R367" t="n">
        <v>0</v>
      </c>
      <c r="S367" t="n">
        <v>0</v>
      </c>
      <c r="T367" t="n">
        <v>0</v>
      </c>
      <c r="U367" s="2" t="inlineStr"/>
    </row>
    <row r="368" ht="15" customHeight="1">
      <c r="A368" t="inlineStr">
        <is>
          <t>A 24803-2026</t>
        </is>
      </c>
      <c r="B368" t="inlineStr">
        <is>
          <t>avverkningsanmälan</t>
        </is>
      </c>
      <c r="C368" t="inlineStr">
        <is>
          <t>Föryngringsavverkning</t>
        </is>
      </c>
      <c r="D368" s="1" t="n">
        <v>46171</v>
      </c>
      <c r="E368" s="1" t="n">
        <v>46217</v>
      </c>
      <c r="F368" t="inlineStr">
        <is>
          <t>NORRBOTTENS LÄN</t>
        </is>
      </c>
      <c r="G368" t="inlineStr">
        <is>
          <t>ÖVERTORNEÅ</t>
        </is>
      </c>
      <c r="H368" t="inlineStr">
        <is>
          <t>Sveaskog</t>
        </is>
      </c>
      <c r="I368" t="n">
        <v>1.6</v>
      </c>
      <c r="J368" t="n">
        <v>0</v>
      </c>
      <c r="K368" t="n">
        <v>0</v>
      </c>
      <c r="L368" t="n">
        <v>0</v>
      </c>
      <c r="M368" t="n">
        <v>0</v>
      </c>
      <c r="N368" t="n">
        <v>0</v>
      </c>
      <c r="O368" t="n">
        <v>0</v>
      </c>
      <c r="P368" t="n">
        <v>0</v>
      </c>
      <c r="Q368" t="n">
        <v>0</v>
      </c>
      <c r="R368" t="n">
        <v>0</v>
      </c>
      <c r="S368" t="n">
        <v>0</v>
      </c>
      <c r="T368" t="n">
        <v>0</v>
      </c>
      <c r="U368" s="2" t="inlineStr"/>
    </row>
    <row r="369" ht="15" customHeight="1">
      <c r="A369" t="inlineStr">
        <is>
          <t>A 45431-2024</t>
        </is>
      </c>
      <c r="B369" t="inlineStr">
        <is>
          <t>avverkningsanmälan</t>
        </is>
      </c>
      <c r="C369" t="inlineStr">
        <is>
          <t>Föryngringsavverkning</t>
        </is>
      </c>
      <c r="D369" s="1" t="n">
        <v>45576</v>
      </c>
      <c r="E369" s="1" t="n">
        <v>46217</v>
      </c>
      <c r="F369" t="inlineStr">
        <is>
          <t>NORRBOTTENS LÄN</t>
        </is>
      </c>
      <c r="G369" t="inlineStr">
        <is>
          <t>ÖVERTORNEÅ</t>
        </is>
      </c>
      <c r="H369" t="inlineStr">
        <is>
          <t>Sveaskog</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48037-2024</t>
        </is>
      </c>
      <c r="B370" t="inlineStr">
        <is>
          <t>avverkningsanmälan</t>
        </is>
      </c>
      <c r="C370" t="inlineStr">
        <is>
          <t>Föryngringsavverkning</t>
        </is>
      </c>
      <c r="D370" s="1" t="n">
        <v>45589</v>
      </c>
      <c r="E370" s="1" t="n">
        <v>46217</v>
      </c>
      <c r="F370" t="inlineStr">
        <is>
          <t>NORRBOTTENS LÄN</t>
        </is>
      </c>
      <c r="G370" t="inlineStr">
        <is>
          <t>ÖVERTORNEÅ</t>
        </is>
      </c>
      <c r="H370" t="inlineStr">
        <is>
          <t>Kommuner</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4011-2022</t>
        </is>
      </c>
      <c r="B371" t="inlineStr">
        <is>
          <t>avverkningsanmälan</t>
        </is>
      </c>
      <c r="C371" t="inlineStr">
        <is>
          <t>Avverkning för att bevara och utveckla /försöksver</t>
        </is>
      </c>
      <c r="D371" s="1" t="n">
        <v>44587</v>
      </c>
      <c r="E371" s="1" t="n">
        <v>46217</v>
      </c>
      <c r="F371" t="inlineStr">
        <is>
          <t>NORRBOTTENS LÄN</t>
        </is>
      </c>
      <c r="G371" t="inlineStr">
        <is>
          <t>ÖVERTORNEÅ</t>
        </is>
      </c>
      <c r="H371" t="inlineStr">
        <is>
          <t>Kommuner</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44431-2024</t>
        </is>
      </c>
      <c r="B372" t="inlineStr">
        <is>
          <t>avverkningsanmälan</t>
        </is>
      </c>
      <c r="C372" t="inlineStr">
        <is>
          <t>Föryngringsavverkning</t>
        </is>
      </c>
      <c r="D372" s="1" t="n">
        <v>45574</v>
      </c>
      <c r="E372" s="1" t="n">
        <v>46217</v>
      </c>
      <c r="F372" t="inlineStr">
        <is>
          <t>NORRBOTTENS LÄN</t>
        </is>
      </c>
      <c r="G372" t="inlineStr">
        <is>
          <t>ÖVERTORNEÅ</t>
        </is>
      </c>
      <c r="I372" t="n">
        <v>1.9</v>
      </c>
      <c r="J372" t="n">
        <v>0</v>
      </c>
      <c r="K372" t="n">
        <v>0</v>
      </c>
      <c r="L372" t="n">
        <v>0</v>
      </c>
      <c r="M372" t="n">
        <v>0</v>
      </c>
      <c r="N372" t="n">
        <v>0</v>
      </c>
      <c r="O372" t="n">
        <v>0</v>
      </c>
      <c r="P372" t="n">
        <v>0</v>
      </c>
      <c r="Q372" t="n">
        <v>0</v>
      </c>
      <c r="R372" t="n">
        <v>0</v>
      </c>
      <c r="S372" t="n">
        <v>0</v>
      </c>
      <c r="T372" t="n">
        <v>0</v>
      </c>
      <c r="U372" s="2" t="inlineStr"/>
    </row>
    <row r="373" ht="15" customHeight="1">
      <c r="A373" t="inlineStr">
        <is>
          <t>A 64554-2023</t>
        </is>
      </c>
      <c r="B373" t="inlineStr">
        <is>
          <t>avverkningsanmälan</t>
        </is>
      </c>
      <c r="C373" t="inlineStr">
        <is>
          <t>Föryngringsavverkning</t>
        </is>
      </c>
      <c r="D373" s="1" t="n">
        <v>45281</v>
      </c>
      <c r="E373" s="1" t="n">
        <v>46217</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45698-2024</t>
        </is>
      </c>
      <c r="B374" t="inlineStr">
        <is>
          <t>avverkningsanmälan</t>
        </is>
      </c>
      <c r="C374" t="inlineStr">
        <is>
          <t>Föryngringsavverkning</t>
        </is>
      </c>
      <c r="D374" s="1" t="n">
        <v>45579</v>
      </c>
      <c r="E374" s="1" t="n">
        <v>46217</v>
      </c>
      <c r="F374" t="inlineStr">
        <is>
          <t>NORRBOTTENS LÄN</t>
        </is>
      </c>
      <c r="G374" t="inlineStr">
        <is>
          <t>ÖVERTORNEÅ</t>
        </is>
      </c>
      <c r="I374" t="n">
        <v>3.4</v>
      </c>
      <c r="J374" t="n">
        <v>0</v>
      </c>
      <c r="K374" t="n">
        <v>0</v>
      </c>
      <c r="L374" t="n">
        <v>0</v>
      </c>
      <c r="M374" t="n">
        <v>0</v>
      </c>
      <c r="N374" t="n">
        <v>0</v>
      </c>
      <c r="O374" t="n">
        <v>0</v>
      </c>
      <c r="P374" t="n">
        <v>0</v>
      </c>
      <c r="Q374" t="n">
        <v>0</v>
      </c>
      <c r="R374" t="n">
        <v>0</v>
      </c>
      <c r="S374" t="n">
        <v>0</v>
      </c>
      <c r="T374" t="n">
        <v>0</v>
      </c>
      <c r="U374" s="2" t="inlineStr"/>
    </row>
    <row r="375" ht="15" customHeight="1">
      <c r="A375" t="inlineStr">
        <is>
          <t>A 49157-2022</t>
        </is>
      </c>
      <c r="B375" t="inlineStr">
        <is>
          <t>avverkningsanmälan</t>
        </is>
      </c>
      <c r="C375" t="inlineStr">
        <is>
          <t>Föryngringsavverkning</t>
        </is>
      </c>
      <c r="D375" s="1" t="n">
        <v>44860</v>
      </c>
      <c r="E375" s="1" t="n">
        <v>46217</v>
      </c>
      <c r="F375" t="inlineStr">
        <is>
          <t>NORRBOTTENS LÄN</t>
        </is>
      </c>
      <c r="G375" t="inlineStr">
        <is>
          <t>ÖVERTORNEÅ</t>
        </is>
      </c>
      <c r="I375" t="n">
        <v>5.6</v>
      </c>
      <c r="J375" t="n">
        <v>0</v>
      </c>
      <c r="K375" t="n">
        <v>0</v>
      </c>
      <c r="L375" t="n">
        <v>0</v>
      </c>
      <c r="M375" t="n">
        <v>0</v>
      </c>
      <c r="N375" t="n">
        <v>0</v>
      </c>
      <c r="O375" t="n">
        <v>0</v>
      </c>
      <c r="P375" t="n">
        <v>0</v>
      </c>
      <c r="Q375" t="n">
        <v>0</v>
      </c>
      <c r="R375" t="n">
        <v>0</v>
      </c>
      <c r="S375" t="n">
        <v>0</v>
      </c>
      <c r="T375" t="n">
        <v>0</v>
      </c>
      <c r="U375" s="2" t="inlineStr"/>
    </row>
    <row r="376" ht="15" customHeight="1">
      <c r="A376" t="inlineStr">
        <is>
          <t>A 13842-2024</t>
        </is>
      </c>
      <c r="B376" t="inlineStr">
        <is>
          <t>avverkningsanmälan</t>
        </is>
      </c>
      <c r="C376" t="inlineStr">
        <is>
          <t>Föryngringsavverkning</t>
        </is>
      </c>
      <c r="D376" s="1" t="n">
        <v>45390</v>
      </c>
      <c r="E376" s="1" t="n">
        <v>46217</v>
      </c>
      <c r="F376" t="inlineStr">
        <is>
          <t>NORRBOTTENS LÄN</t>
        </is>
      </c>
      <c r="G376" t="inlineStr">
        <is>
          <t>ÖVERTORNEÅ</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30647-2023</t>
        </is>
      </c>
      <c r="B377" t="inlineStr">
        <is>
          <t>avverkningsanmälan</t>
        </is>
      </c>
      <c r="C377" t="inlineStr">
        <is>
          <t>Föryngringsavverkning</t>
        </is>
      </c>
      <c r="D377" s="1" t="n">
        <v>45112</v>
      </c>
      <c r="E377" s="1" t="n">
        <v>46217</v>
      </c>
      <c r="F377" t="inlineStr">
        <is>
          <t>NORRBOTTENS LÄN</t>
        </is>
      </c>
      <c r="G377" t="inlineStr">
        <is>
          <t>ÖVERTORNEÅ</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26209-2024</t>
        </is>
      </c>
      <c r="B378" t="inlineStr">
        <is>
          <t>avverkningsanmälan</t>
        </is>
      </c>
      <c r="C378" t="inlineStr">
        <is>
          <t>Föryngringsavverkning</t>
        </is>
      </c>
      <c r="D378" s="1" t="n">
        <v>45467</v>
      </c>
      <c r="E378" s="1" t="n">
        <v>46217</v>
      </c>
      <c r="F378" t="inlineStr">
        <is>
          <t>NORRBOTTENS LÄN</t>
        </is>
      </c>
      <c r="G378" t="inlineStr">
        <is>
          <t>ÖVERTORNEÅ</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6593-2022</t>
        </is>
      </c>
      <c r="B379" t="inlineStr">
        <is>
          <t>avverkningsanmälan</t>
        </is>
      </c>
      <c r="C379" t="inlineStr">
        <is>
          <t>Föryngringsavverkning</t>
        </is>
      </c>
      <c r="D379" s="1" t="n">
        <v>44601</v>
      </c>
      <c r="E379" s="1" t="n">
        <v>46217</v>
      </c>
      <c r="F379" t="inlineStr">
        <is>
          <t>NORRBOTTENS LÄN</t>
        </is>
      </c>
      <c r="G379" t="inlineStr">
        <is>
          <t>ÖVERTORNEÅ</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48780-2021</t>
        </is>
      </c>
      <c r="B380" t="inlineStr">
        <is>
          <t>avverkningsanmälan</t>
        </is>
      </c>
      <c r="C380" t="inlineStr">
        <is>
          <t>Föryngringsavverkning</t>
        </is>
      </c>
      <c r="D380" s="1" t="n">
        <v>44452</v>
      </c>
      <c r="E380" s="1" t="n">
        <v>46217</v>
      </c>
      <c r="F380" t="inlineStr">
        <is>
          <t>NORRBOTTENS LÄN</t>
        </is>
      </c>
      <c r="G380" t="inlineStr">
        <is>
          <t>ÖVERTORNEÅ</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26556-2023</t>
        </is>
      </c>
      <c r="B381" t="inlineStr">
        <is>
          <t>avverkningsanmälan</t>
        </is>
      </c>
      <c r="C381" t="inlineStr">
        <is>
          <t>Avverkning för annat ändamål</t>
        </is>
      </c>
      <c r="D381" s="1" t="n">
        <v>45092</v>
      </c>
      <c r="E381" s="1" t="n">
        <v>46217</v>
      </c>
      <c r="F381" t="inlineStr">
        <is>
          <t>NORRBOTTENS LÄN</t>
        </is>
      </c>
      <c r="G381" t="inlineStr">
        <is>
          <t>ÖVERTORNEÅ</t>
        </is>
      </c>
      <c r="H381" t="inlineStr">
        <is>
          <t>Sveaskog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35220-2022</t>
        </is>
      </c>
      <c r="B382" t="inlineStr">
        <is>
          <t>avverkningsanmälan</t>
        </is>
      </c>
      <c r="C382" t="inlineStr">
        <is>
          <t>Föryngringsavverkning</t>
        </is>
      </c>
      <c r="D382" s="1" t="n">
        <v>44797</v>
      </c>
      <c r="E382" s="1" t="n">
        <v>46217</v>
      </c>
      <c r="F382" t="inlineStr">
        <is>
          <t>NORRBOTTENS LÄN</t>
        </is>
      </c>
      <c r="G382" t="inlineStr">
        <is>
          <t>ÖVERTORNEÅ</t>
        </is>
      </c>
      <c r="I382" t="n">
        <v>2</v>
      </c>
      <c r="J382" t="n">
        <v>0</v>
      </c>
      <c r="K382" t="n">
        <v>0</v>
      </c>
      <c r="L382" t="n">
        <v>0</v>
      </c>
      <c r="M382" t="n">
        <v>0</v>
      </c>
      <c r="N382" t="n">
        <v>0</v>
      </c>
      <c r="O382" t="n">
        <v>0</v>
      </c>
      <c r="P382" t="n">
        <v>0</v>
      </c>
      <c r="Q382" t="n">
        <v>0</v>
      </c>
      <c r="R382" t="n">
        <v>0</v>
      </c>
      <c r="S382" t="n">
        <v>0</v>
      </c>
      <c r="T382" t="n">
        <v>0</v>
      </c>
      <c r="U382" s="2" t="inlineStr"/>
    </row>
    <row r="383" ht="15" customHeight="1">
      <c r="A383" t="inlineStr">
        <is>
          <t>A 34143-2023</t>
        </is>
      </c>
      <c r="B383" t="inlineStr">
        <is>
          <t>avverkningsanmälan</t>
        </is>
      </c>
      <c r="C383" t="inlineStr">
        <is>
          <t>Avverkning för annat ändamål</t>
        </is>
      </c>
      <c r="D383" s="1" t="n">
        <v>45136</v>
      </c>
      <c r="E383" s="1" t="n">
        <v>46217</v>
      </c>
      <c r="F383" t="inlineStr">
        <is>
          <t>NORRBOTTENS LÄN</t>
        </is>
      </c>
      <c r="G383" t="inlineStr">
        <is>
          <t>ÖVERTORNEÅ</t>
        </is>
      </c>
      <c r="I383" t="n">
        <v>4.4</v>
      </c>
      <c r="J383" t="n">
        <v>0</v>
      </c>
      <c r="K383" t="n">
        <v>0</v>
      </c>
      <c r="L383" t="n">
        <v>0</v>
      </c>
      <c r="M383" t="n">
        <v>0</v>
      </c>
      <c r="N383" t="n">
        <v>0</v>
      </c>
      <c r="O383" t="n">
        <v>0</v>
      </c>
      <c r="P383" t="n">
        <v>0</v>
      </c>
      <c r="Q383" t="n">
        <v>0</v>
      </c>
      <c r="R383" t="n">
        <v>0</v>
      </c>
      <c r="S383" t="n">
        <v>0</v>
      </c>
      <c r="T383" t="n">
        <v>0</v>
      </c>
      <c r="U383" s="2" t="inlineStr"/>
    </row>
    <row r="384" ht="15" customHeight="1">
      <c r="A384" t="inlineStr">
        <is>
          <t>A 34144-2023</t>
        </is>
      </c>
      <c r="B384" t="inlineStr">
        <is>
          <t>avverkningsanmälan</t>
        </is>
      </c>
      <c r="C384" t="inlineStr">
        <is>
          <t>Föryngringsavverkning</t>
        </is>
      </c>
      <c r="D384" s="1" t="n">
        <v>45136</v>
      </c>
      <c r="E384" s="1" t="n">
        <v>46217</v>
      </c>
      <c r="F384" t="inlineStr">
        <is>
          <t>NORRBOTTENS LÄN</t>
        </is>
      </c>
      <c r="G384" t="inlineStr">
        <is>
          <t>ÖVERTORNEÅ</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58386-2024</t>
        </is>
      </c>
      <c r="B385" t="inlineStr">
        <is>
          <t>avverkningsanmälan</t>
        </is>
      </c>
      <c r="C385" t="inlineStr">
        <is>
          <t>Föryngringsavverkning</t>
        </is>
      </c>
      <c r="D385" s="1" t="n">
        <v>45633</v>
      </c>
      <c r="E385" s="1" t="n">
        <v>46217</v>
      </c>
      <c r="F385" t="inlineStr">
        <is>
          <t>NORRBOTTENS LÄN</t>
        </is>
      </c>
      <c r="G385" t="inlineStr">
        <is>
          <t>ÖVERTORNEÅ</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33323-2023</t>
        </is>
      </c>
      <c r="B386" t="inlineStr">
        <is>
          <t>avverkningsanmälan</t>
        </is>
      </c>
      <c r="C386" t="inlineStr">
        <is>
          <t>Föryngringsavverkning</t>
        </is>
      </c>
      <c r="D386" s="1" t="n">
        <v>45127</v>
      </c>
      <c r="E386" s="1" t="n">
        <v>46217</v>
      </c>
      <c r="F386" t="inlineStr">
        <is>
          <t>NORRBOTTENS LÄN</t>
        </is>
      </c>
      <c r="G386" t="inlineStr">
        <is>
          <t>ÖVERTORNEÅ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44540-2024</t>
        </is>
      </c>
      <c r="B387" t="inlineStr">
        <is>
          <t>avverkningsanmälan</t>
        </is>
      </c>
      <c r="C387" t="inlineStr">
        <is>
          <t>Föryngringsavverkning</t>
        </is>
      </c>
      <c r="D387" s="1" t="n">
        <v>45574</v>
      </c>
      <c r="E387" s="1" t="n">
        <v>46217</v>
      </c>
      <c r="F387" t="inlineStr">
        <is>
          <t>NORRBOTTENS LÄN</t>
        </is>
      </c>
      <c r="G387" t="inlineStr">
        <is>
          <t>ÖVERTORNEÅ</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28928-2024</t>
        </is>
      </c>
      <c r="B388" t="inlineStr">
        <is>
          <t>avverkningsanmälan</t>
        </is>
      </c>
      <c r="C388" t="inlineStr">
        <is>
          <t>Avverkning för annat ändamål</t>
        </is>
      </c>
      <c r="D388" s="1" t="n">
        <v>45481</v>
      </c>
      <c r="E388" s="1" t="n">
        <v>46217</v>
      </c>
      <c r="F388" t="inlineStr">
        <is>
          <t>NORRBOTTENS LÄN</t>
        </is>
      </c>
      <c r="G388" t="inlineStr">
        <is>
          <t>ÖVERTORNEÅ</t>
        </is>
      </c>
      <c r="H388" t="inlineStr">
        <is>
          <t>Sveaskog</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58394-2024</t>
        </is>
      </c>
      <c r="B389" t="inlineStr">
        <is>
          <t>avverkningsanmälan</t>
        </is>
      </c>
      <c r="C389" t="inlineStr">
        <is>
          <t>Föryngringsavverkning</t>
        </is>
      </c>
      <c r="D389" s="1" t="n">
        <v>45633</v>
      </c>
      <c r="E389" s="1" t="n">
        <v>46217</v>
      </c>
      <c r="F389" t="inlineStr">
        <is>
          <t>NORRBOTTENS LÄN</t>
        </is>
      </c>
      <c r="G389" t="inlineStr">
        <is>
          <t>ÖVERTORNEÅ</t>
        </is>
      </c>
      <c r="I389" t="n">
        <v>4.5</v>
      </c>
      <c r="J389" t="n">
        <v>0</v>
      </c>
      <c r="K389" t="n">
        <v>0</v>
      </c>
      <c r="L389" t="n">
        <v>0</v>
      </c>
      <c r="M389" t="n">
        <v>0</v>
      </c>
      <c r="N389" t="n">
        <v>0</v>
      </c>
      <c r="O389" t="n">
        <v>0</v>
      </c>
      <c r="P389" t="n">
        <v>0</v>
      </c>
      <c r="Q389" t="n">
        <v>0</v>
      </c>
      <c r="R389" t="n">
        <v>0</v>
      </c>
      <c r="S389" t="n">
        <v>0</v>
      </c>
      <c r="T389" t="n">
        <v>0</v>
      </c>
      <c r="U389" s="2" t="inlineStr"/>
    </row>
    <row r="390" ht="15" customHeight="1">
      <c r="A390" t="inlineStr">
        <is>
          <t>A 6790-2025</t>
        </is>
      </c>
      <c r="B390" t="inlineStr">
        <is>
          <t>avverkningsanmälan</t>
        </is>
      </c>
      <c r="C390" t="inlineStr">
        <is>
          <t>Föryngringsavverkning</t>
        </is>
      </c>
      <c r="D390" s="1" t="n">
        <v>45700</v>
      </c>
      <c r="E390" s="1" t="n">
        <v>46217</v>
      </c>
      <c r="F390" t="inlineStr">
        <is>
          <t>NORRBOTTENS LÄN</t>
        </is>
      </c>
      <c r="G390" t="inlineStr">
        <is>
          <t>ÖVERTORNEÅ</t>
        </is>
      </c>
      <c r="I390" t="n">
        <v>8.1</v>
      </c>
      <c r="J390" t="n">
        <v>0</v>
      </c>
      <c r="K390" t="n">
        <v>0</v>
      </c>
      <c r="L390" t="n">
        <v>0</v>
      </c>
      <c r="M390" t="n">
        <v>0</v>
      </c>
      <c r="N390" t="n">
        <v>0</v>
      </c>
      <c r="O390" t="n">
        <v>0</v>
      </c>
      <c r="P390" t="n">
        <v>0</v>
      </c>
      <c r="Q390" t="n">
        <v>0</v>
      </c>
      <c r="R390" t="n">
        <v>0</v>
      </c>
      <c r="S390" t="n">
        <v>0</v>
      </c>
      <c r="T390" t="n">
        <v>0</v>
      </c>
      <c r="U390" s="2" t="inlineStr"/>
    </row>
    <row r="391" ht="15" customHeight="1">
      <c r="A391" t="inlineStr">
        <is>
          <t>A 34402-2023</t>
        </is>
      </c>
      <c r="B391" t="inlineStr">
        <is>
          <t>avverkningsanmälan</t>
        </is>
      </c>
      <c r="C391" t="inlineStr">
        <is>
          <t>Föryngringsavverkning</t>
        </is>
      </c>
      <c r="D391" s="1" t="n">
        <v>45139</v>
      </c>
      <c r="E391" s="1" t="n">
        <v>46217</v>
      </c>
      <c r="F391" t="inlineStr">
        <is>
          <t>NORRBOTTENS LÄN</t>
        </is>
      </c>
      <c r="G391" t="inlineStr">
        <is>
          <t>ÖVERTORNEÅ</t>
        </is>
      </c>
      <c r="I391" t="n">
        <v>7.6</v>
      </c>
      <c r="J391" t="n">
        <v>0</v>
      </c>
      <c r="K391" t="n">
        <v>0</v>
      </c>
      <c r="L391" t="n">
        <v>0</v>
      </c>
      <c r="M391" t="n">
        <v>0</v>
      </c>
      <c r="N391" t="n">
        <v>0</v>
      </c>
      <c r="O391" t="n">
        <v>0</v>
      </c>
      <c r="P391" t="n">
        <v>0</v>
      </c>
      <c r="Q391" t="n">
        <v>0</v>
      </c>
      <c r="R391" t="n">
        <v>0</v>
      </c>
      <c r="S391" t="n">
        <v>0</v>
      </c>
      <c r="T391" t="n">
        <v>0</v>
      </c>
      <c r="U391" s="2" t="inlineStr"/>
    </row>
    <row r="392" ht="15" customHeight="1">
      <c r="A392" t="inlineStr">
        <is>
          <t>A 12532-2024</t>
        </is>
      </c>
      <c r="B392" t="inlineStr">
        <is>
          <t>avverkningsanmälan</t>
        </is>
      </c>
      <c r="C392" t="inlineStr">
        <is>
          <t>Föryngringsavverkning</t>
        </is>
      </c>
      <c r="D392" s="1" t="n">
        <v>45379</v>
      </c>
      <c r="E392" s="1" t="n">
        <v>46217</v>
      </c>
      <c r="F392" t="inlineStr">
        <is>
          <t>NORRBOTTENS LÄN</t>
        </is>
      </c>
      <c r="G392" t="inlineStr">
        <is>
          <t>ÖVERTORNEÅ</t>
        </is>
      </c>
      <c r="I392" t="n">
        <v>10.3</v>
      </c>
      <c r="J392" t="n">
        <v>0</v>
      </c>
      <c r="K392" t="n">
        <v>0</v>
      </c>
      <c r="L392" t="n">
        <v>0</v>
      </c>
      <c r="M392" t="n">
        <v>0</v>
      </c>
      <c r="N392" t="n">
        <v>0</v>
      </c>
      <c r="O392" t="n">
        <v>0</v>
      </c>
      <c r="P392" t="n">
        <v>0</v>
      </c>
      <c r="Q392" t="n">
        <v>0</v>
      </c>
      <c r="R392" t="n">
        <v>0</v>
      </c>
      <c r="S392" t="n">
        <v>0</v>
      </c>
      <c r="T392" t="n">
        <v>0</v>
      </c>
      <c r="U392" s="2" t="inlineStr"/>
    </row>
    <row r="393" ht="15" customHeight="1">
      <c r="A393" t="inlineStr">
        <is>
          <t>A 16356-2025</t>
        </is>
      </c>
      <c r="B393" t="inlineStr">
        <is>
          <t>avverkningsanmälan</t>
        </is>
      </c>
      <c r="C393" t="inlineStr">
        <is>
          <t>Föryngringsavverkning</t>
        </is>
      </c>
      <c r="D393" s="1" t="n">
        <v>45750</v>
      </c>
      <c r="E393" s="1" t="n">
        <v>46217</v>
      </c>
      <c r="F393" t="inlineStr">
        <is>
          <t>NORRBOTTENS LÄN</t>
        </is>
      </c>
      <c r="G393" t="inlineStr">
        <is>
          <t>ÖVERTORNEÅ</t>
        </is>
      </c>
      <c r="I393" t="n">
        <v>9.1</v>
      </c>
      <c r="J393" t="n">
        <v>0</v>
      </c>
      <c r="K393" t="n">
        <v>0</v>
      </c>
      <c r="L393" t="n">
        <v>0</v>
      </c>
      <c r="M393" t="n">
        <v>0</v>
      </c>
      <c r="N393" t="n">
        <v>0</v>
      </c>
      <c r="O393" t="n">
        <v>0</v>
      </c>
      <c r="P393" t="n">
        <v>0</v>
      </c>
      <c r="Q393" t="n">
        <v>0</v>
      </c>
      <c r="R393" t="n">
        <v>0</v>
      </c>
      <c r="S393" t="n">
        <v>0</v>
      </c>
      <c r="T393" t="n">
        <v>0</v>
      </c>
      <c r="U393" s="2" t="inlineStr"/>
    </row>
    <row r="394" ht="15" customHeight="1">
      <c r="A394" t="inlineStr">
        <is>
          <t>A 27300-2022</t>
        </is>
      </c>
      <c r="B394" t="inlineStr">
        <is>
          <t>avverkningsanmälan</t>
        </is>
      </c>
      <c r="C394" t="inlineStr">
        <is>
          <t>Föryngringsavverkning</t>
        </is>
      </c>
      <c r="D394" s="1" t="n">
        <v>44741</v>
      </c>
      <c r="E394" s="1" t="n">
        <v>46217</v>
      </c>
      <c r="F394" t="inlineStr">
        <is>
          <t>NORRBOTTENS LÄN</t>
        </is>
      </c>
      <c r="G394" t="inlineStr">
        <is>
          <t>ÖVERTORNEÅ</t>
        </is>
      </c>
      <c r="H394" t="inlineStr">
        <is>
          <t>Sveaskog</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26299-2024</t>
        </is>
      </c>
      <c r="B395" t="inlineStr">
        <is>
          <t>avverkningsanmälan</t>
        </is>
      </c>
      <c r="C395" t="inlineStr">
        <is>
          <t>Föryngringsavverkning</t>
        </is>
      </c>
      <c r="D395" s="1" t="n">
        <v>45468</v>
      </c>
      <c r="E395" s="1" t="n">
        <v>46217</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14392-2024</t>
        </is>
      </c>
      <c r="B396" t="inlineStr">
        <is>
          <t>avverkningsanmälan</t>
        </is>
      </c>
      <c r="C396" t="inlineStr">
        <is>
          <t>Föryngringsavverkning</t>
        </is>
      </c>
      <c r="D396" s="1" t="n">
        <v>45394</v>
      </c>
      <c r="E396" s="1" t="n">
        <v>46217</v>
      </c>
      <c r="F396" t="inlineStr">
        <is>
          <t>NORRBOTTENS LÄN</t>
        </is>
      </c>
      <c r="G396" t="inlineStr">
        <is>
          <t>ÖVERTORNEÅ</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8125-2025</t>
        </is>
      </c>
      <c r="B397" t="inlineStr">
        <is>
          <t>avverkningsanmälan</t>
        </is>
      </c>
      <c r="C397" t="inlineStr">
        <is>
          <t>Föryngringsavverkning</t>
        </is>
      </c>
      <c r="D397" s="1" t="n">
        <v>45707</v>
      </c>
      <c r="E397" s="1" t="n">
        <v>46217</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35995-2023</t>
        </is>
      </c>
      <c r="B398" t="inlineStr">
        <is>
          <t>avverkningsanmälan</t>
        </is>
      </c>
      <c r="C398" t="inlineStr">
        <is>
          <t>Föryngringsavverkning</t>
        </is>
      </c>
      <c r="D398" s="1" t="n">
        <v>45149</v>
      </c>
      <c r="E398" s="1" t="n">
        <v>46217</v>
      </c>
      <c r="F398" t="inlineStr">
        <is>
          <t>NORRBOTTENS LÄN</t>
        </is>
      </c>
      <c r="G398" t="inlineStr">
        <is>
          <t>ÖVERTORNEÅ</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17068-2024</t>
        </is>
      </c>
      <c r="B399" t="inlineStr">
        <is>
          <t>avverkningsanmälan</t>
        </is>
      </c>
      <c r="C399" t="inlineStr">
        <is>
          <t>Avverkning för att bevara och utveckla /försöksver</t>
        </is>
      </c>
      <c r="D399" s="1" t="n">
        <v>45412</v>
      </c>
      <c r="E399" s="1" t="n">
        <v>46217</v>
      </c>
      <c r="F399" t="inlineStr">
        <is>
          <t>NORRBOTTENS LÄN</t>
        </is>
      </c>
      <c r="G399" t="inlineStr">
        <is>
          <t>ÖVERTORNEÅ</t>
        </is>
      </c>
      <c r="H399" t="inlineStr">
        <is>
          <t>Naturvårdsverket</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12164-2024</t>
        </is>
      </c>
      <c r="B400" t="inlineStr">
        <is>
          <t>avverkningsanmälan</t>
        </is>
      </c>
      <c r="C400" t="inlineStr">
        <is>
          <t>Föryngringsavverkning</t>
        </is>
      </c>
      <c r="D400" s="1" t="n">
        <v>45377</v>
      </c>
      <c r="E400" s="1" t="n">
        <v>46217</v>
      </c>
      <c r="F400" t="inlineStr">
        <is>
          <t>NORRBOTTENS LÄN</t>
        </is>
      </c>
      <c r="G400" t="inlineStr">
        <is>
          <t>ÖVERTORNEÅ</t>
        </is>
      </c>
      <c r="I400" t="n">
        <v>3.5</v>
      </c>
      <c r="J400" t="n">
        <v>0</v>
      </c>
      <c r="K400" t="n">
        <v>0</v>
      </c>
      <c r="L400" t="n">
        <v>0</v>
      </c>
      <c r="M400" t="n">
        <v>0</v>
      </c>
      <c r="N400" t="n">
        <v>0</v>
      </c>
      <c r="O400" t="n">
        <v>0</v>
      </c>
      <c r="P400" t="n">
        <v>0</v>
      </c>
      <c r="Q400" t="n">
        <v>0</v>
      </c>
      <c r="R400" t="n">
        <v>0</v>
      </c>
      <c r="S400" t="n">
        <v>0</v>
      </c>
      <c r="T400" t="n">
        <v>0</v>
      </c>
      <c r="U400" s="2" t="inlineStr"/>
    </row>
    <row r="401" ht="15" customHeight="1">
      <c r="A401" t="inlineStr">
        <is>
          <t>A 3982-2025</t>
        </is>
      </c>
      <c r="B401" t="inlineStr">
        <is>
          <t>avverkningsanmälan</t>
        </is>
      </c>
      <c r="C401" t="inlineStr">
        <is>
          <t>Avverkning för annat ändamål</t>
        </is>
      </c>
      <c r="D401" s="1" t="n">
        <v>45684</v>
      </c>
      <c r="E401" s="1" t="n">
        <v>46217</v>
      </c>
      <c r="F401" t="inlineStr">
        <is>
          <t>NORRBOTTENS LÄN</t>
        </is>
      </c>
      <c r="G401" t="inlineStr">
        <is>
          <t>ÖVERTORNEÅ</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17896-2023</t>
        </is>
      </c>
      <c r="B402" t="inlineStr">
        <is>
          <t>avverkningsanmälan</t>
        </is>
      </c>
      <c r="C402" t="inlineStr">
        <is>
          <t>Föryngringsavverkning</t>
        </is>
      </c>
      <c r="D402" s="1" t="n">
        <v>45039</v>
      </c>
      <c r="E402" s="1" t="n">
        <v>46217</v>
      </c>
      <c r="F402" t="inlineStr">
        <is>
          <t>NORRBOTTENS LÄN</t>
        </is>
      </c>
      <c r="G402" t="inlineStr">
        <is>
          <t>ÖVERTORNEÅ</t>
        </is>
      </c>
      <c r="I402" t="n">
        <v>0.3</v>
      </c>
      <c r="J402" t="n">
        <v>0</v>
      </c>
      <c r="K402" t="n">
        <v>0</v>
      </c>
      <c r="L402" t="n">
        <v>0</v>
      </c>
      <c r="M402" t="n">
        <v>0</v>
      </c>
      <c r="N402" t="n">
        <v>0</v>
      </c>
      <c r="O402" t="n">
        <v>0</v>
      </c>
      <c r="P402" t="n">
        <v>0</v>
      </c>
      <c r="Q402" t="n">
        <v>0</v>
      </c>
      <c r="R402" t="n">
        <v>0</v>
      </c>
      <c r="S402" t="n">
        <v>0</v>
      </c>
      <c r="T402" t="n">
        <v>0</v>
      </c>
      <c r="U402" s="2" t="inlineStr"/>
    </row>
    <row r="403" ht="15" customHeight="1">
      <c r="A403" t="inlineStr">
        <is>
          <t>A 33600-2024</t>
        </is>
      </c>
      <c r="B403" t="inlineStr">
        <is>
          <t>avverkningsanmälan</t>
        </is>
      </c>
      <c r="C403" t="inlineStr">
        <is>
          <t>Föryngringsavverkning</t>
        </is>
      </c>
      <c r="D403" s="1" t="n">
        <v>45520</v>
      </c>
      <c r="E403" s="1" t="n">
        <v>46217</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s="2" t="inlineStr"/>
    </row>
    <row r="404" ht="15" customHeight="1">
      <c r="A404" t="inlineStr">
        <is>
          <t>A 26181-2024</t>
        </is>
      </c>
      <c r="B404" t="inlineStr">
        <is>
          <t>avverkningsanmälan</t>
        </is>
      </c>
      <c r="C404" t="inlineStr">
        <is>
          <t>Föryngringsavverkning</t>
        </is>
      </c>
      <c r="D404" s="1" t="n">
        <v>45467</v>
      </c>
      <c r="E404" s="1" t="n">
        <v>46217</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s="2" t="inlineStr"/>
    </row>
    <row r="405" ht="15" customHeight="1">
      <c r="A405" t="inlineStr">
        <is>
          <t>A 21386-2025</t>
        </is>
      </c>
      <c r="B405" t="inlineStr">
        <is>
          <t>avverkningsanmälan</t>
        </is>
      </c>
      <c r="C405" t="inlineStr">
        <is>
          <t>Föryngringsavverkning</t>
        </is>
      </c>
      <c r="D405" s="1" t="n">
        <v>45782</v>
      </c>
      <c r="E405" s="1" t="n">
        <v>46217</v>
      </c>
      <c r="F405" t="inlineStr">
        <is>
          <t>NORRBOTTENS LÄN</t>
        </is>
      </c>
      <c r="G405" t="inlineStr">
        <is>
          <t>ÖVERTORNEÅ</t>
        </is>
      </c>
      <c r="I405" t="n">
        <v>30</v>
      </c>
      <c r="J405" t="n">
        <v>0</v>
      </c>
      <c r="K405" t="n">
        <v>0</v>
      </c>
      <c r="L405" t="n">
        <v>0</v>
      </c>
      <c r="M405" t="n">
        <v>0</v>
      </c>
      <c r="N405" t="n">
        <v>0</v>
      </c>
      <c r="O405" t="n">
        <v>0</v>
      </c>
      <c r="P405" t="n">
        <v>0</v>
      </c>
      <c r="Q405" t="n">
        <v>0</v>
      </c>
      <c r="R405" t="n">
        <v>0</v>
      </c>
      <c r="S405" t="n">
        <v>0</v>
      </c>
      <c r="T405" t="n">
        <v>0</v>
      </c>
      <c r="U405" s="2" t="inlineStr"/>
    </row>
    <row r="406" ht="15" customHeight="1">
      <c r="A406" t="inlineStr">
        <is>
          <t>A 22481-2025</t>
        </is>
      </c>
      <c r="B406" t="inlineStr">
        <is>
          <t>avverkningsanmälan</t>
        </is>
      </c>
      <c r="C406" t="inlineStr">
        <is>
          <t>Föryngringsavverkning</t>
        </is>
      </c>
      <c r="D406" s="1" t="n">
        <v>45786</v>
      </c>
      <c r="E406" s="1" t="n">
        <v>46217</v>
      </c>
      <c r="F406" t="inlineStr">
        <is>
          <t>NORRBOTTENS LÄN</t>
        </is>
      </c>
      <c r="G406" t="inlineStr">
        <is>
          <t>ÖVERTORNEÅ</t>
        </is>
      </c>
      <c r="H406" t="inlineStr">
        <is>
          <t>Sveaskog</t>
        </is>
      </c>
      <c r="I406" t="n">
        <v>24</v>
      </c>
      <c r="J406" t="n">
        <v>0</v>
      </c>
      <c r="K406" t="n">
        <v>0</v>
      </c>
      <c r="L406" t="n">
        <v>0</v>
      </c>
      <c r="M406" t="n">
        <v>0</v>
      </c>
      <c r="N406" t="n">
        <v>0</v>
      </c>
      <c r="O406" t="n">
        <v>0</v>
      </c>
      <c r="P406" t="n">
        <v>0</v>
      </c>
      <c r="Q406" t="n">
        <v>0</v>
      </c>
      <c r="R406" t="n">
        <v>0</v>
      </c>
      <c r="S406" t="n">
        <v>0</v>
      </c>
      <c r="T406" t="n">
        <v>0</v>
      </c>
      <c r="U406" s="2" t="inlineStr"/>
    </row>
    <row r="407" ht="15" customHeight="1">
      <c r="A407" t="inlineStr">
        <is>
          <t>A 51272-2024</t>
        </is>
      </c>
      <c r="B407" t="inlineStr">
        <is>
          <t>avverkningsanmälan</t>
        </is>
      </c>
      <c r="C407" t="inlineStr">
        <is>
          <t>Föryngringsavverkning</t>
        </is>
      </c>
      <c r="D407" s="1" t="n">
        <v>45602</v>
      </c>
      <c r="E407" s="1" t="n">
        <v>46217</v>
      </c>
      <c r="F407" t="inlineStr">
        <is>
          <t>NORRBOTTENS LÄN</t>
        </is>
      </c>
      <c r="G407" t="inlineStr">
        <is>
          <t>ÖVERTORNEÅ</t>
        </is>
      </c>
      <c r="I407" t="n">
        <v>3.2</v>
      </c>
      <c r="J407" t="n">
        <v>0</v>
      </c>
      <c r="K407" t="n">
        <v>0</v>
      </c>
      <c r="L407" t="n">
        <v>0</v>
      </c>
      <c r="M407" t="n">
        <v>0</v>
      </c>
      <c r="N407" t="n">
        <v>0</v>
      </c>
      <c r="O407" t="n">
        <v>0</v>
      </c>
      <c r="P407" t="n">
        <v>0</v>
      </c>
      <c r="Q407" t="n">
        <v>0</v>
      </c>
      <c r="R407" t="n">
        <v>0</v>
      </c>
      <c r="S407" t="n">
        <v>0</v>
      </c>
      <c r="T407" t="n">
        <v>0</v>
      </c>
      <c r="U407" s="2" t="inlineStr"/>
    </row>
    <row r="408" ht="15" customHeight="1">
      <c r="A408" t="inlineStr">
        <is>
          <t>A 10753-2024</t>
        </is>
      </c>
      <c r="B408" t="inlineStr">
        <is>
          <t>avverkningsanmälan</t>
        </is>
      </c>
      <c r="C408" t="inlineStr">
        <is>
          <t>Föryngringsavverkning</t>
        </is>
      </c>
      <c r="D408" s="1" t="n">
        <v>45369</v>
      </c>
      <c r="E408" s="1" t="n">
        <v>46217</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A 34702-2024</t>
        </is>
      </c>
      <c r="B409" t="inlineStr">
        <is>
          <t>avverkningsanmälan</t>
        </is>
      </c>
      <c r="C409" t="inlineStr">
        <is>
          <t>Föryngringsavverkning</t>
        </is>
      </c>
      <c r="D409" s="1" t="n">
        <v>45526</v>
      </c>
      <c r="E409" s="1" t="n">
        <v>46217</v>
      </c>
      <c r="F409" t="inlineStr">
        <is>
          <t>NORRBOTTENS LÄN</t>
        </is>
      </c>
      <c r="G409" t="inlineStr">
        <is>
          <t>ÖVERTORNEÅ</t>
        </is>
      </c>
      <c r="I409" t="n">
        <v>5.6</v>
      </c>
      <c r="J409" t="n">
        <v>0</v>
      </c>
      <c r="K409" t="n">
        <v>0</v>
      </c>
      <c r="L409" t="n">
        <v>0</v>
      </c>
      <c r="M409" t="n">
        <v>0</v>
      </c>
      <c r="N409" t="n">
        <v>0</v>
      </c>
      <c r="O409" t="n">
        <v>0</v>
      </c>
      <c r="P409" t="n">
        <v>0</v>
      </c>
      <c r="Q409" t="n">
        <v>0</v>
      </c>
      <c r="R409" t="n">
        <v>0</v>
      </c>
      <c r="S409" t="n">
        <v>0</v>
      </c>
      <c r="T409" t="n">
        <v>0</v>
      </c>
      <c r="U409" s="2" t="inlineStr"/>
    </row>
    <row r="410" ht="15" customHeight="1">
      <c r="A410" t="inlineStr">
        <is>
          <t>A 14264-2024</t>
        </is>
      </c>
      <c r="B410" t="inlineStr">
        <is>
          <t>avverkningsanmälan</t>
        </is>
      </c>
      <c r="C410" t="inlineStr">
        <is>
          <t>Avverkning för annat ändamål</t>
        </is>
      </c>
      <c r="D410" s="1" t="n">
        <v>45393</v>
      </c>
      <c r="E410" s="1" t="n">
        <v>46217</v>
      </c>
      <c r="F410" t="inlineStr">
        <is>
          <t>NORRBOTTENS LÄN</t>
        </is>
      </c>
      <c r="G410" t="inlineStr">
        <is>
          <t>ÖVERTORNEÅ</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7505-2025</t>
        </is>
      </c>
      <c r="B411" t="inlineStr">
        <is>
          <t>avverkningsanmälan</t>
        </is>
      </c>
      <c r="C411" t="inlineStr">
        <is>
          <t>Föryngringsavverkning</t>
        </is>
      </c>
      <c r="D411" s="1" t="n">
        <v>45705</v>
      </c>
      <c r="E411" s="1" t="n">
        <v>46217</v>
      </c>
      <c r="F411" t="inlineStr">
        <is>
          <t>NORRBOTTENS LÄN</t>
        </is>
      </c>
      <c r="G411" t="inlineStr">
        <is>
          <t>ÖVERTORNEÅ</t>
        </is>
      </c>
      <c r="I411" t="n">
        <v>8.6</v>
      </c>
      <c r="J411" t="n">
        <v>0</v>
      </c>
      <c r="K411" t="n">
        <v>0</v>
      </c>
      <c r="L411" t="n">
        <v>0</v>
      </c>
      <c r="M411" t="n">
        <v>0</v>
      </c>
      <c r="N411" t="n">
        <v>0</v>
      </c>
      <c r="O411" t="n">
        <v>0</v>
      </c>
      <c r="P411" t="n">
        <v>0</v>
      </c>
      <c r="Q411" t="n">
        <v>0</v>
      </c>
      <c r="R411" t="n">
        <v>0</v>
      </c>
      <c r="S411" t="n">
        <v>0</v>
      </c>
      <c r="T411" t="n">
        <v>0</v>
      </c>
      <c r="U411" s="2" t="inlineStr"/>
    </row>
    <row r="412" ht="15" customHeight="1">
      <c r="A412" t="inlineStr">
        <is>
          <t>A 46037-2021</t>
        </is>
      </c>
      <c r="B412" t="inlineStr">
        <is>
          <t>avverkningsanmälan</t>
        </is>
      </c>
      <c r="C412" t="inlineStr">
        <is>
          <t>Föryngringsavverkning</t>
        </is>
      </c>
      <c r="D412" s="1" t="n">
        <v>44441</v>
      </c>
      <c r="E412" s="1" t="n">
        <v>46217</v>
      </c>
      <c r="F412" t="inlineStr">
        <is>
          <t>NORRBOTTENS LÄN</t>
        </is>
      </c>
      <c r="G412" t="inlineStr">
        <is>
          <t>ÖVERTORNEÅ</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23613-2025</t>
        </is>
      </c>
      <c r="B413" t="inlineStr">
        <is>
          <t>avverkningsanmälan</t>
        </is>
      </c>
      <c r="C413" t="inlineStr">
        <is>
          <t>Föryngringsavverkning</t>
        </is>
      </c>
      <c r="D413" s="1" t="n">
        <v>45792</v>
      </c>
      <c r="E413" s="1" t="n">
        <v>46217</v>
      </c>
      <c r="F413" t="inlineStr">
        <is>
          <t>NORRBOTTENS LÄN</t>
        </is>
      </c>
      <c r="G413" t="inlineStr">
        <is>
          <t>ÖVERTORNEÅ</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25245-2025</t>
        </is>
      </c>
      <c r="B414" t="inlineStr">
        <is>
          <t>avverkningsanmälan</t>
        </is>
      </c>
      <c r="C414" t="inlineStr">
        <is>
          <t>Föryngringsavverkning</t>
        </is>
      </c>
      <c r="D414" s="1" t="n">
        <v>45799</v>
      </c>
      <c r="E414" s="1" t="n">
        <v>46217</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24877-2025</t>
        </is>
      </c>
      <c r="B415" t="inlineStr">
        <is>
          <t>avverkningsanmälan</t>
        </is>
      </c>
      <c r="C415" t="inlineStr">
        <is>
          <t>Föryngringsavverkning</t>
        </is>
      </c>
      <c r="D415" s="1" t="n">
        <v>45799</v>
      </c>
      <c r="E415" s="1" t="n">
        <v>46217</v>
      </c>
      <c r="F415" t="inlineStr">
        <is>
          <t>NORRBOTTENS LÄN</t>
        </is>
      </c>
      <c r="G415" t="inlineStr">
        <is>
          <t>ÖVERTORNEÅ</t>
        </is>
      </c>
      <c r="I415" t="n">
        <v>10.3</v>
      </c>
      <c r="J415" t="n">
        <v>0</v>
      </c>
      <c r="K415" t="n">
        <v>0</v>
      </c>
      <c r="L415" t="n">
        <v>0</v>
      </c>
      <c r="M415" t="n">
        <v>0</v>
      </c>
      <c r="N415" t="n">
        <v>0</v>
      </c>
      <c r="O415" t="n">
        <v>0</v>
      </c>
      <c r="P415" t="n">
        <v>0</v>
      </c>
      <c r="Q415" t="n">
        <v>0</v>
      </c>
      <c r="R415" t="n">
        <v>0</v>
      </c>
      <c r="S415" t="n">
        <v>0</v>
      </c>
      <c r="T415" t="n">
        <v>0</v>
      </c>
      <c r="U415" s="2" t="inlineStr"/>
    </row>
    <row r="416" ht="15" customHeight="1">
      <c r="A416" t="inlineStr">
        <is>
          <t>A 51273-2024</t>
        </is>
      </c>
      <c r="B416" t="inlineStr">
        <is>
          <t>avverkningsanmälan</t>
        </is>
      </c>
      <c r="C416" t="inlineStr">
        <is>
          <t>Föryngringsavverkning</t>
        </is>
      </c>
      <c r="D416" s="1" t="n">
        <v>45602</v>
      </c>
      <c r="E416" s="1" t="n">
        <v>46217</v>
      </c>
      <c r="F416" t="inlineStr">
        <is>
          <t>NORRBOTTENS LÄN</t>
        </is>
      </c>
      <c r="G416" t="inlineStr">
        <is>
          <t>ÖVERTORNEÅ</t>
        </is>
      </c>
      <c r="I416" t="n">
        <v>13.6</v>
      </c>
      <c r="J416" t="n">
        <v>0</v>
      </c>
      <c r="K416" t="n">
        <v>0</v>
      </c>
      <c r="L416" t="n">
        <v>0</v>
      </c>
      <c r="M416" t="n">
        <v>0</v>
      </c>
      <c r="N416" t="n">
        <v>0</v>
      </c>
      <c r="O416" t="n">
        <v>0</v>
      </c>
      <c r="P416" t="n">
        <v>0</v>
      </c>
      <c r="Q416" t="n">
        <v>0</v>
      </c>
      <c r="R416" t="n">
        <v>0</v>
      </c>
      <c r="S416" t="n">
        <v>0</v>
      </c>
      <c r="T416" t="n">
        <v>0</v>
      </c>
      <c r="U416" s="2" t="inlineStr"/>
    </row>
    <row r="417" ht="15" customHeight="1">
      <c r="A417" t="inlineStr">
        <is>
          <t>A 34154-2023</t>
        </is>
      </c>
      <c r="B417" t="inlineStr">
        <is>
          <t>avverkningsanmälan</t>
        </is>
      </c>
      <c r="C417" t="inlineStr">
        <is>
          <t>Föryngringsavverkning</t>
        </is>
      </c>
      <c r="D417" s="1" t="n">
        <v>45137</v>
      </c>
      <c r="E417" s="1" t="n">
        <v>46217</v>
      </c>
      <c r="F417" t="inlineStr">
        <is>
          <t>NORRBOTTENS LÄN</t>
        </is>
      </c>
      <c r="G417" t="inlineStr">
        <is>
          <t>ÖVERTORNEÅ</t>
        </is>
      </c>
      <c r="I417" t="n">
        <v>37.1</v>
      </c>
      <c r="J417" t="n">
        <v>0</v>
      </c>
      <c r="K417" t="n">
        <v>0</v>
      </c>
      <c r="L417" t="n">
        <v>0</v>
      </c>
      <c r="M417" t="n">
        <v>0</v>
      </c>
      <c r="N417" t="n">
        <v>0</v>
      </c>
      <c r="O417" t="n">
        <v>0</v>
      </c>
      <c r="P417" t="n">
        <v>0</v>
      </c>
      <c r="Q417" t="n">
        <v>0</v>
      </c>
      <c r="R417" t="n">
        <v>0</v>
      </c>
      <c r="S417" t="n">
        <v>0</v>
      </c>
      <c r="T417" t="n">
        <v>0</v>
      </c>
      <c r="U417" s="2" t="inlineStr"/>
    </row>
    <row r="418" ht="15" customHeight="1">
      <c r="A418" t="inlineStr">
        <is>
          <t>A 51682-2023</t>
        </is>
      </c>
      <c r="B418" t="inlineStr">
        <is>
          <t>avverkningsanmälan</t>
        </is>
      </c>
      <c r="C418" t="inlineStr">
        <is>
          <t>Föryngringsavverkning</t>
        </is>
      </c>
      <c r="D418" s="1" t="n">
        <v>45222</v>
      </c>
      <c r="E418" s="1" t="n">
        <v>46217</v>
      </c>
      <c r="F418" t="inlineStr">
        <is>
          <t>NORRBOTTENS LÄN</t>
        </is>
      </c>
      <c r="G418" t="inlineStr">
        <is>
          <t>ÖVERTORNEÅ</t>
        </is>
      </c>
      <c r="I418" t="n">
        <v>3.1</v>
      </c>
      <c r="J418" t="n">
        <v>0</v>
      </c>
      <c r="K418" t="n">
        <v>0</v>
      </c>
      <c r="L418" t="n">
        <v>0</v>
      </c>
      <c r="M418" t="n">
        <v>0</v>
      </c>
      <c r="N418" t="n">
        <v>0</v>
      </c>
      <c r="O418" t="n">
        <v>0</v>
      </c>
      <c r="P418" t="n">
        <v>0</v>
      </c>
      <c r="Q418" t="n">
        <v>0</v>
      </c>
      <c r="R418" t="n">
        <v>0</v>
      </c>
      <c r="S418" t="n">
        <v>0</v>
      </c>
      <c r="T418" t="n">
        <v>0</v>
      </c>
      <c r="U418" s="2" t="inlineStr"/>
    </row>
    <row r="419" ht="15" customHeight="1">
      <c r="A419" t="inlineStr">
        <is>
          <t>A 34398-2023</t>
        </is>
      </c>
      <c r="B419" t="inlineStr">
        <is>
          <t>avverkningsanmälan</t>
        </is>
      </c>
      <c r="C419" t="inlineStr">
        <is>
          <t>Föryngringsavverkning</t>
        </is>
      </c>
      <c r="D419" s="1" t="n">
        <v>45139</v>
      </c>
      <c r="E419" s="1" t="n">
        <v>46217</v>
      </c>
      <c r="F419" t="inlineStr">
        <is>
          <t>NORRBOTTENS LÄN</t>
        </is>
      </c>
      <c r="G419" t="inlineStr">
        <is>
          <t>ÖVERTORNEÅ</t>
        </is>
      </c>
      <c r="I419" t="n">
        <v>8.9</v>
      </c>
      <c r="J419" t="n">
        <v>0</v>
      </c>
      <c r="K419" t="n">
        <v>0</v>
      </c>
      <c r="L419" t="n">
        <v>0</v>
      </c>
      <c r="M419" t="n">
        <v>0</v>
      </c>
      <c r="N419" t="n">
        <v>0</v>
      </c>
      <c r="O419" t="n">
        <v>0</v>
      </c>
      <c r="P419" t="n">
        <v>0</v>
      </c>
      <c r="Q419" t="n">
        <v>0</v>
      </c>
      <c r="R419" t="n">
        <v>0</v>
      </c>
      <c r="S419" t="n">
        <v>0</v>
      </c>
      <c r="T419" t="n">
        <v>0</v>
      </c>
      <c r="U419" s="2" t="inlineStr"/>
    </row>
    <row r="420" ht="15" customHeight="1">
      <c r="A420" t="inlineStr">
        <is>
          <t>A 26887-2025</t>
        </is>
      </c>
      <c r="B420" t="inlineStr">
        <is>
          <t>avverkningsanmälan</t>
        </is>
      </c>
      <c r="C420" t="inlineStr">
        <is>
          <t>Föryngringsavverkning</t>
        </is>
      </c>
      <c r="D420" s="1" t="n">
        <v>45810</v>
      </c>
      <c r="E420" s="1" t="n">
        <v>46217</v>
      </c>
      <c r="F420" t="inlineStr">
        <is>
          <t>NORRBOTTENS LÄN</t>
        </is>
      </c>
      <c r="G420" t="inlineStr">
        <is>
          <t>ÖVERTORNEÅ</t>
        </is>
      </c>
      <c r="H420" t="inlineStr">
        <is>
          <t>Sveaskog</t>
        </is>
      </c>
      <c r="I420" t="n">
        <v>9.300000000000001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27497-2025</t>
        </is>
      </c>
      <c r="B421" t="inlineStr">
        <is>
          <t>avverkningsanmälan</t>
        </is>
      </c>
      <c r="C421" t="inlineStr">
        <is>
          <t>Avverkning för annat ändamål</t>
        </is>
      </c>
      <c r="D421" s="1" t="n">
        <v>45813</v>
      </c>
      <c r="E421" s="1" t="n">
        <v>46217</v>
      </c>
      <c r="F421" t="inlineStr">
        <is>
          <t>NORRBOTTENS LÄN</t>
        </is>
      </c>
      <c r="G421" t="inlineStr">
        <is>
          <t>ÖVERTORNEÅ</t>
        </is>
      </c>
      <c r="H421" t="inlineStr">
        <is>
          <t>Sveaskog</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58992-2024</t>
        </is>
      </c>
      <c r="B422" t="inlineStr">
        <is>
          <t>avverkningsanmälan</t>
        </is>
      </c>
      <c r="C422" t="inlineStr">
        <is>
          <t>Föryngringsavverkning</t>
        </is>
      </c>
      <c r="D422" s="1" t="n">
        <v>45636</v>
      </c>
      <c r="E422" s="1" t="n">
        <v>46217</v>
      </c>
      <c r="F422" t="inlineStr">
        <is>
          <t>NORRBOTTENS LÄN</t>
        </is>
      </c>
      <c r="G422" t="inlineStr">
        <is>
          <t>ÖVERTORNEÅ</t>
        </is>
      </c>
      <c r="I422" t="n">
        <v>44.5</v>
      </c>
      <c r="J422" t="n">
        <v>0</v>
      </c>
      <c r="K422" t="n">
        <v>0</v>
      </c>
      <c r="L422" t="n">
        <v>0</v>
      </c>
      <c r="M422" t="n">
        <v>0</v>
      </c>
      <c r="N422" t="n">
        <v>0</v>
      </c>
      <c r="O422" t="n">
        <v>0</v>
      </c>
      <c r="P422" t="n">
        <v>0</v>
      </c>
      <c r="Q422" t="n">
        <v>0</v>
      </c>
      <c r="R422" t="n">
        <v>0</v>
      </c>
      <c r="S422" t="n">
        <v>0</v>
      </c>
      <c r="T422" t="n">
        <v>0</v>
      </c>
      <c r="U422" s="2" t="inlineStr"/>
    </row>
    <row r="423" ht="15" customHeight="1">
      <c r="A423" t="inlineStr">
        <is>
          <t>A 29907-2025</t>
        </is>
      </c>
      <c r="B423" t="inlineStr">
        <is>
          <t>avverkningsanmälan</t>
        </is>
      </c>
      <c r="C423" t="inlineStr">
        <is>
          <t>Föryngringsavverkning</t>
        </is>
      </c>
      <c r="D423" s="1" t="n">
        <v>45826</v>
      </c>
      <c r="E423" s="1" t="n">
        <v>46217</v>
      </c>
      <c r="F423" t="inlineStr">
        <is>
          <t>NORRBOTTENS LÄN</t>
        </is>
      </c>
      <c r="G423" t="inlineStr">
        <is>
          <t>ÖVERTORNEÅ</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30780-2025</t>
        </is>
      </c>
      <c r="B424" t="inlineStr">
        <is>
          <t>avverkningsanmälan</t>
        </is>
      </c>
      <c r="C424" t="inlineStr">
        <is>
          <t>Föryngringsavverkning</t>
        </is>
      </c>
      <c r="D424" s="1" t="n">
        <v>45831</v>
      </c>
      <c r="E424" s="1" t="n">
        <v>46217</v>
      </c>
      <c r="F424" t="inlineStr">
        <is>
          <t>NORRBOTTENS LÄN</t>
        </is>
      </c>
      <c r="G424" t="inlineStr">
        <is>
          <t>ÖVERTORNEÅ</t>
        </is>
      </c>
      <c r="H424" t="inlineStr">
        <is>
          <t>Sveaskog</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31773-2025</t>
        </is>
      </c>
      <c r="B425" t="inlineStr">
        <is>
          <t>avverkningsanmälan</t>
        </is>
      </c>
      <c r="C425" t="inlineStr">
        <is>
          <t>Föryngringsavverkning</t>
        </is>
      </c>
      <c r="D425" s="1" t="n">
        <v>45834</v>
      </c>
      <c r="E425" s="1" t="n">
        <v>46217</v>
      </c>
      <c r="F425" t="inlineStr">
        <is>
          <t>NORRBOTTENS LÄN</t>
        </is>
      </c>
      <c r="G425" t="inlineStr">
        <is>
          <t>ÖVERTORNEÅ</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32144-2025</t>
        </is>
      </c>
      <c r="B426" t="inlineStr">
        <is>
          <t>avverkningsanmälan</t>
        </is>
      </c>
      <c r="C426" t="inlineStr">
        <is>
          <t>Föryngringsavverkning</t>
        </is>
      </c>
      <c r="D426" s="1" t="n">
        <v>45835</v>
      </c>
      <c r="E426" s="1" t="n">
        <v>46217</v>
      </c>
      <c r="F426" t="inlineStr">
        <is>
          <t>NORRBOTTENS LÄN</t>
        </is>
      </c>
      <c r="G426" t="inlineStr">
        <is>
          <t>ÖVERTORNEÅ</t>
        </is>
      </c>
      <c r="H426" t="inlineStr">
        <is>
          <t>Sveaskog</t>
        </is>
      </c>
      <c r="I426" t="n">
        <v>4.3</v>
      </c>
      <c r="J426" t="n">
        <v>0</v>
      </c>
      <c r="K426" t="n">
        <v>0</v>
      </c>
      <c r="L426" t="n">
        <v>0</v>
      </c>
      <c r="M426" t="n">
        <v>0</v>
      </c>
      <c r="N426" t="n">
        <v>0</v>
      </c>
      <c r="O426" t="n">
        <v>0</v>
      </c>
      <c r="P426" t="n">
        <v>0</v>
      </c>
      <c r="Q426" t="n">
        <v>0</v>
      </c>
      <c r="R426" t="n">
        <v>0</v>
      </c>
      <c r="S426" t="n">
        <v>0</v>
      </c>
      <c r="T426" t="n">
        <v>0</v>
      </c>
      <c r="U426" s="2" t="inlineStr"/>
    </row>
    <row r="427" ht="15" customHeight="1">
      <c r="A427" t="inlineStr">
        <is>
          <t>A 32576-2025</t>
        </is>
      </c>
      <c r="B427" t="inlineStr">
        <is>
          <t>avverkningsanmälan</t>
        </is>
      </c>
      <c r="C427" t="inlineStr">
        <is>
          <t>Föryngringsavverkning</t>
        </is>
      </c>
      <c r="D427" s="1" t="n">
        <v>45838</v>
      </c>
      <c r="E427" s="1" t="n">
        <v>46217</v>
      </c>
      <c r="F427" t="inlineStr">
        <is>
          <t>NORRBOTTENS LÄN</t>
        </is>
      </c>
      <c r="G427" t="inlineStr">
        <is>
          <t>ÖVERTORNEÅ</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32156-2025</t>
        </is>
      </c>
      <c r="B428" t="inlineStr">
        <is>
          <t>avverkningsanmälan</t>
        </is>
      </c>
      <c r="C428" t="inlineStr">
        <is>
          <t>Föryngringsavverkning</t>
        </is>
      </c>
      <c r="D428" s="1" t="n">
        <v>45835</v>
      </c>
      <c r="E428" s="1" t="n">
        <v>46217</v>
      </c>
      <c r="F428" t="inlineStr">
        <is>
          <t>NORRBOTTENS LÄN</t>
        </is>
      </c>
      <c r="G428" t="inlineStr">
        <is>
          <t>ÖVERTORNEÅ</t>
        </is>
      </c>
      <c r="H428" t="inlineStr">
        <is>
          <t>Sveaskog</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34801-2025</t>
        </is>
      </c>
      <c r="B429" t="inlineStr">
        <is>
          <t>avverkningsanmälan</t>
        </is>
      </c>
      <c r="C429" t="inlineStr">
        <is>
          <t>Föryngringsavverkning</t>
        </is>
      </c>
      <c r="D429" s="1" t="n">
        <v>45848</v>
      </c>
      <c r="E429" s="1" t="n">
        <v>46217</v>
      </c>
      <c r="F429" t="inlineStr">
        <is>
          <t>NORRBOTTENS LÄN</t>
        </is>
      </c>
      <c r="G429" t="inlineStr">
        <is>
          <t>ÖVERTORNEÅ</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34799-2025</t>
        </is>
      </c>
      <c r="B430" t="inlineStr">
        <is>
          <t>avverkningsanmälan</t>
        </is>
      </c>
      <c r="C430" t="inlineStr">
        <is>
          <t>Föryngringsavverkning</t>
        </is>
      </c>
      <c r="D430" s="1" t="n">
        <v>45848</v>
      </c>
      <c r="E430" s="1" t="n">
        <v>46217</v>
      </c>
      <c r="F430" t="inlineStr">
        <is>
          <t>NORRBOTTENS LÄN</t>
        </is>
      </c>
      <c r="G430" t="inlineStr">
        <is>
          <t>ÖVERTORNEÅ</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35603-2025</t>
        </is>
      </c>
      <c r="B431" t="inlineStr">
        <is>
          <t>avverkningsanmälan</t>
        </is>
      </c>
      <c r="C431" t="inlineStr">
        <is>
          <t>Föryngringsavverkning</t>
        </is>
      </c>
      <c r="D431" s="1" t="n">
        <v>45859</v>
      </c>
      <c r="E431" s="1" t="n">
        <v>46217</v>
      </c>
      <c r="F431" t="inlineStr">
        <is>
          <t>NORRBOTTENS LÄN</t>
        </is>
      </c>
      <c r="G431" t="inlineStr">
        <is>
          <t>ÖVERTORNEÅ</t>
        </is>
      </c>
      <c r="H431" t="inlineStr">
        <is>
          <t>Sveaskog</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35594-2025</t>
        </is>
      </c>
      <c r="B432" t="inlineStr">
        <is>
          <t>avverkningsanmälan</t>
        </is>
      </c>
      <c r="C432" t="inlineStr">
        <is>
          <t>Föryngringsavverkning</t>
        </is>
      </c>
      <c r="D432" s="1" t="n">
        <v>45857</v>
      </c>
      <c r="E432" s="1" t="n">
        <v>46217</v>
      </c>
      <c r="F432" t="inlineStr">
        <is>
          <t>NORRBOTTENS LÄN</t>
        </is>
      </c>
      <c r="G432" t="inlineStr">
        <is>
          <t>ÖVERTORNEÅ</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35591-2025</t>
        </is>
      </c>
      <c r="B433" t="inlineStr">
        <is>
          <t>avverkningsanmälan</t>
        </is>
      </c>
      <c r="C433" t="inlineStr">
        <is>
          <t>Föryngringsavverkning</t>
        </is>
      </c>
      <c r="D433" s="1" t="n">
        <v>45857</v>
      </c>
      <c r="E433" s="1" t="n">
        <v>46217</v>
      </c>
      <c r="F433" t="inlineStr">
        <is>
          <t>NORRBOTTENS LÄN</t>
        </is>
      </c>
      <c r="G433" t="inlineStr">
        <is>
          <t>ÖVERTORNEÅ</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35837-2025</t>
        </is>
      </c>
      <c r="B434" t="inlineStr">
        <is>
          <t>avverkningsanmälan</t>
        </is>
      </c>
      <c r="C434" t="inlineStr">
        <is>
          <t>Föryngringsavverkning</t>
        </is>
      </c>
      <c r="D434" s="1" t="n">
        <v>45861</v>
      </c>
      <c r="E434" s="1" t="n">
        <v>46217</v>
      </c>
      <c r="F434" t="inlineStr">
        <is>
          <t>NORRBOTTENS LÄN</t>
        </is>
      </c>
      <c r="G434" t="inlineStr">
        <is>
          <t>ÖVERTORNEÅ</t>
        </is>
      </c>
      <c r="I434" t="n">
        <v>16.4</v>
      </c>
      <c r="J434" t="n">
        <v>0</v>
      </c>
      <c r="K434" t="n">
        <v>0</v>
      </c>
      <c r="L434" t="n">
        <v>0</v>
      </c>
      <c r="M434" t="n">
        <v>0</v>
      </c>
      <c r="N434" t="n">
        <v>0</v>
      </c>
      <c r="O434" t="n">
        <v>0</v>
      </c>
      <c r="P434" t="n">
        <v>0</v>
      </c>
      <c r="Q434" t="n">
        <v>0</v>
      </c>
      <c r="R434" t="n">
        <v>0</v>
      </c>
      <c r="S434" t="n">
        <v>0</v>
      </c>
      <c r="T434" t="n">
        <v>0</v>
      </c>
      <c r="U434" s="2" t="inlineStr"/>
    </row>
    <row r="435" ht="15" customHeight="1">
      <c r="A435" t="inlineStr">
        <is>
          <t>A 36115-2025</t>
        </is>
      </c>
      <c r="B435" t="inlineStr">
        <is>
          <t>avverkningsanmälan</t>
        </is>
      </c>
      <c r="C435" t="inlineStr">
        <is>
          <t>Föryngringsavverkning</t>
        </is>
      </c>
      <c r="D435" s="1" t="n">
        <v>45866</v>
      </c>
      <c r="E435" s="1" t="n">
        <v>46217</v>
      </c>
      <c r="F435" t="inlineStr">
        <is>
          <t>NORRBOTTENS LÄN</t>
        </is>
      </c>
      <c r="G435" t="inlineStr">
        <is>
          <t>ÖVERTORNEÅ</t>
        </is>
      </c>
      <c r="H435" t="inlineStr">
        <is>
          <t>Sveaskog</t>
        </is>
      </c>
      <c r="I435" t="n">
        <v>12.9</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46217</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46217</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46217</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46217</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2026-07-14T09:00:13Z</dcterms:created>
  <dcterms:modified xmlns:dcterms="http://purl.org/dc/terms/" xmlns:xsi="http://www.w3.org/2001/XMLSchema-instance" xsi:type="dcterms:W3CDTF">2026-07-14T09:00:13Z</dcterms:modified>
</cp:coreProperties>
</file>
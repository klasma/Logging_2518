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46218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46218</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46218</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46218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46218</v>
      </c>
      <c r="F6" t="inlineStr">
        <is>
          <t>NORRBOTTENS LÄN</t>
        </is>
      </c>
      <c r="G6" t="inlineStr">
        <is>
          <t>ÖVERTORNEÅ</t>
        </is>
      </c>
      <c r="I6" t="n">
        <v>7.8</v>
      </c>
      <c r="J6" t="n">
        <v>3</v>
      </c>
      <c r="K6" t="n">
        <v>4</v>
      </c>
      <c r="L6" t="n">
        <v>5</v>
      </c>
      <c r="M6" t="n">
        <v>2</v>
      </c>
      <c r="N6" t="n">
        <v>0</v>
      </c>
      <c r="O6" t="n">
        <v>0</v>
      </c>
      <c r="P6" t="n">
        <v>0</v>
      </c>
      <c r="Q6" t="n">
        <v>7</v>
      </c>
      <c r="R6" t="n">
        <v>2</v>
      </c>
      <c r="S6" t="n">
        <v>12</v>
      </c>
      <c r="T6" t="n">
        <v>37</v>
      </c>
      <c r="U6" s="2" t="inlineStr">
        <is>
          <t>Garnlav
Knärot
Lunglav
Rosenticka
Tretåig hackspett
Ullticka
Violmussling
Stor aspticka
Stuplav
Trådticka
Vedticka
Spillkråka</t>
        </is>
      </c>
      <c r="V6">
        <f>HYPERLINK("https://klasma.github.io/Logging_2518/artfynd/A 47048-2024 artfynd.xlsx", "A 47048-2024")</f>
        <v/>
      </c>
      <c r="W6">
        <f>HYPERLINK("https://klasma.github.io/Logging_2518/kartor/A 47048-2024 karta.png", "A 47048-2024")</f>
        <v/>
      </c>
      <c r="X6">
        <f>HYPERLINK("https://klasma.github.io/Logging_2518/knärot/A 47048-2024 karta knärot.png", "A 47048-2024")</f>
        <v/>
      </c>
      <c r="Y6">
        <f>HYPERLINK("https://klasma.github.io/Logging_2518/klagomål/A 47048-2024 FSC-klagomål.docx", "A 47048-2024")</f>
        <v/>
      </c>
      <c r="Z6">
        <f>HYPERLINK("https://klasma.github.io/Logging_2518/klagomålsmail/A 47048-2024 FSC-klagomål mail.docx", "A 47048-2024")</f>
        <v/>
      </c>
      <c r="AA6">
        <f>HYPERLINK("https://klasma.github.io/Logging_2518/tillsyn/A 47048-2024 tillsynsbegäran.docx", "A 47048-2024")</f>
        <v/>
      </c>
      <c r="AB6">
        <f>HYPERLINK("https://klasma.github.io/Logging_2518/tillsynsmail/A 47048-2024 tillsynsbegäran mail.docx", "A 47048-2024")</f>
        <v/>
      </c>
      <c r="AC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46218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s="2" t="inlineStr">
        <is>
          <t>Garnlav
Gräddticka
Knärot
Gammelgransskål
Lunglav
Tretåig hackspett
Lappranunkel
Spindelblomster
Stuplav
Järpe
Spillkråka
Svartvit flugsnappare</t>
        </is>
      </c>
      <c r="V7">
        <f>HYPERLINK("https://klasma.github.io/Logging_2518/artfynd/A 21993-2025 artfynd.xlsx", "A 21993-2025")</f>
        <v/>
      </c>
      <c r="W7">
        <f>HYPERLINK("https://klasma.github.io/Logging_2518/kartor/A 21993-2025 karta.png", "A 21993-2025")</f>
        <v/>
      </c>
      <c r="X7">
        <f>HYPERLINK("https://klasma.github.io/Logging_2518/knärot/A 21993-2025 karta knärot.png", "A 21993-2025")</f>
        <v/>
      </c>
      <c r="Y7">
        <f>HYPERLINK("https://klasma.github.io/Logging_2518/klagomål/A 21993-2025 FSC-klagomål.docx", "A 21993-2025")</f>
        <v/>
      </c>
      <c r="Z7">
        <f>HYPERLINK("https://klasma.github.io/Logging_2518/klagomålsmail/A 21993-2025 FSC-klagomål mail.docx", "A 21993-2025")</f>
        <v/>
      </c>
      <c r="AA7">
        <f>HYPERLINK("https://klasma.github.io/Logging_2518/tillsyn/A 21993-2025 tillsynsbegäran.docx", "A 21993-2025")</f>
        <v/>
      </c>
      <c r="AB7">
        <f>HYPERLINK("https://klasma.github.io/Logging_2518/tillsynsmail/A 21993-2025 tillsynsbegäran mail.docx", "A 21993-2025")</f>
        <v/>
      </c>
      <c r="AC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46218</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46218</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46218</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s="2" t="inlineStr">
        <is>
          <t>Garnlav
Knärot
Gammelgransskål
Ullticka
Norrlandslav
Skinnlav
Stuplav
Vedticka
Spillkråka</t>
        </is>
      </c>
      <c r="V10">
        <f>HYPERLINK("https://klasma.github.io/Logging_2518/artfynd/A 34146-2023 artfynd.xlsx", "A 34146-2023")</f>
        <v/>
      </c>
      <c r="W10">
        <f>HYPERLINK("https://klasma.github.io/Logging_2518/kartor/A 34146-2023 karta.png", "A 34146-2023")</f>
        <v/>
      </c>
      <c r="X10">
        <f>HYPERLINK("https://klasma.github.io/Logging_2518/knärot/A 34146-2023 karta knärot.png", "A 34146-2023")</f>
        <v/>
      </c>
      <c r="Y10">
        <f>HYPERLINK("https://klasma.github.io/Logging_2518/klagomål/A 34146-2023 FSC-klagomål.docx", "A 34146-2023")</f>
        <v/>
      </c>
      <c r="Z10">
        <f>HYPERLINK("https://klasma.github.io/Logging_2518/klagomålsmail/A 34146-2023 FSC-klagomål mail.docx", "A 34146-2023")</f>
        <v/>
      </c>
      <c r="AA10">
        <f>HYPERLINK("https://klasma.github.io/Logging_2518/tillsyn/A 34146-2023 tillsynsbegäran.docx", "A 34146-2023")</f>
        <v/>
      </c>
      <c r="AB10">
        <f>HYPERLINK("https://klasma.github.io/Logging_2518/tillsynsmail/A 34146-2023 tillsynsbegäran mail.docx", "A 34146-2023")</f>
        <v/>
      </c>
      <c r="AC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46218</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s="2" t="inlineStr">
        <is>
          <t>Garnlav
Kolflarnlav
Tallticka
Tretåig hackspett
Älg
Skinnlav
Stor aspticka
Stuplav
Spillkråka</t>
        </is>
      </c>
      <c r="V11">
        <f>HYPERLINK("https://klasma.github.io/Logging_2518/artfynd/A 9923-2025 artfynd.xlsx", "A 9923-2025")</f>
        <v/>
      </c>
      <c r="W11">
        <f>HYPERLINK("https://klasma.github.io/Logging_2518/kartor/A 9923-2025 karta.png", "A 9923-2025")</f>
        <v/>
      </c>
      <c r="Y11">
        <f>HYPERLINK("https://klasma.github.io/Logging_2518/klagomål/A 9923-2025 FSC-klagomål.docx", "A 9923-2025")</f>
        <v/>
      </c>
      <c r="Z11">
        <f>HYPERLINK("https://klasma.github.io/Logging_2518/klagomålsmail/A 9923-2025 FSC-klagomål mail.docx", "A 9923-2025")</f>
        <v/>
      </c>
      <c r="AA11">
        <f>HYPERLINK("https://klasma.github.io/Logging_2518/tillsyn/A 9923-2025 tillsynsbegäran.docx", "A 9923-2025")</f>
        <v/>
      </c>
      <c r="AB11">
        <f>HYPERLINK("https://klasma.github.io/Logging_2518/tillsynsmail/A 9923-2025 tillsynsbegäran mail.docx", "A 9923-2025")</f>
        <v/>
      </c>
      <c r="AC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46218</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s="2" t="inlineStr">
        <is>
          <t>Garnlav
Gräddporing
Knärot
Dropptaggsvamp
Kolflarnlav
Mörk kolflarnlav
Orange taggsvamp
Äggvaxskivling
Spillkråka</t>
        </is>
      </c>
      <c r="V12">
        <f>HYPERLINK("https://klasma.github.io/Logging_2518/artfynd/A 65184-2023 artfynd.xlsx", "A 65184-2023")</f>
        <v/>
      </c>
      <c r="W12">
        <f>HYPERLINK("https://klasma.github.io/Logging_2518/kartor/A 65184-2023 karta.png", "A 65184-2023")</f>
        <v/>
      </c>
      <c r="X12">
        <f>HYPERLINK("https://klasma.github.io/Logging_2518/knärot/A 65184-2023 karta knärot.png", "A 65184-2023")</f>
        <v/>
      </c>
      <c r="Y12">
        <f>HYPERLINK("https://klasma.github.io/Logging_2518/klagomål/A 65184-2023 FSC-klagomål.docx", "A 65184-2023")</f>
        <v/>
      </c>
      <c r="Z12">
        <f>HYPERLINK("https://klasma.github.io/Logging_2518/klagomålsmail/A 65184-2023 FSC-klagomål mail.docx", "A 65184-2023")</f>
        <v/>
      </c>
      <c r="AA12">
        <f>HYPERLINK("https://klasma.github.io/Logging_2518/tillsyn/A 65184-2023 tillsynsbegäran.docx", "A 65184-2023")</f>
        <v/>
      </c>
      <c r="AB12">
        <f>HYPERLINK("https://klasma.github.io/Logging_2518/tillsynsmail/A 65184-2023 tillsynsbegäran mail.docx", "A 65184-2023")</f>
        <v/>
      </c>
      <c r="AC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46218</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46218</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46218</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s="2" t="inlineStr">
        <is>
          <t>Vitplätt
Norrlandslav
Plattlummer
Skinnlav
Stor aspticka
Vedticka
Spillkråka</t>
        </is>
      </c>
      <c r="V15">
        <f>HYPERLINK("https://klasma.github.io/Logging_2518/artfynd/A 33324-2023 artfynd.xlsx", "A 33324-2023")</f>
        <v/>
      </c>
      <c r="W15">
        <f>HYPERLINK("https://klasma.github.io/Logging_2518/kartor/A 33324-2023 karta.png", "A 33324-2023")</f>
        <v/>
      </c>
      <c r="Y15">
        <f>HYPERLINK("https://klasma.github.io/Logging_2518/klagomål/A 33324-2023 FSC-klagomål.docx", "A 33324-2023")</f>
        <v/>
      </c>
      <c r="Z15">
        <f>HYPERLINK("https://klasma.github.io/Logging_2518/klagomålsmail/A 33324-2023 FSC-klagomål mail.docx", "A 33324-2023")</f>
        <v/>
      </c>
      <c r="AA15">
        <f>HYPERLINK("https://klasma.github.io/Logging_2518/tillsyn/A 33324-2023 tillsynsbegäran.docx", "A 33324-2023")</f>
        <v/>
      </c>
      <c r="AB15">
        <f>HYPERLINK("https://klasma.github.io/Logging_2518/tillsynsmail/A 33324-2023 tillsynsbegäran mail.docx", "A 33324-2023")</f>
        <v/>
      </c>
      <c r="AC15">
        <f>HYPERLINK("https://klasma.github.io/Logging_2518/fåglar/A 33324-2023 prioriterade fågelarter.docx", "A 33324-2023")</f>
        <v/>
      </c>
    </row>
    <row r="16" ht="15" customHeight="1">
      <c r="A16" t="inlineStr">
        <is>
          <t>A 27058-2023</t>
        </is>
      </c>
      <c r="B16" t="inlineStr">
        <is>
          <t>avverkningsanmälan</t>
        </is>
      </c>
      <c r="C16" t="inlineStr">
        <is>
          <t>Föryngringsavverkning</t>
        </is>
      </c>
      <c r="D16" s="1" t="n">
        <v>45096</v>
      </c>
      <c r="E16" s="1" t="n">
        <v>46218</v>
      </c>
      <c r="F16" t="inlineStr">
        <is>
          <t>NORRBOTTENS LÄN</t>
        </is>
      </c>
      <c r="G16" t="inlineStr">
        <is>
          <t>ÖVERTORNEÅ</t>
        </is>
      </c>
      <c r="I16" t="n">
        <v>5.3</v>
      </c>
      <c r="J16" t="n">
        <v>0</v>
      </c>
      <c r="K16" t="n">
        <v>2</v>
      </c>
      <c r="L16" t="n">
        <v>4</v>
      </c>
      <c r="M16" t="n">
        <v>1</v>
      </c>
      <c r="N16" t="n">
        <v>0</v>
      </c>
      <c r="O16" t="n">
        <v>0</v>
      </c>
      <c r="P16" t="n">
        <v>0</v>
      </c>
      <c r="Q16" t="n">
        <v>5</v>
      </c>
      <c r="R16" t="n">
        <v>1</v>
      </c>
      <c r="S16" t="n">
        <v>7</v>
      </c>
      <c r="T16" t="n">
        <v>11</v>
      </c>
      <c r="U16" s="2" t="inlineStr">
        <is>
          <t>Garnlav
Doftskinn
Gammelgransskål
Ullticka
Violmussling
Stor aspticka
Stuplav</t>
        </is>
      </c>
      <c r="V16">
        <f>HYPERLINK("https://klasma.github.io/Logging_2518/artfynd/A 27058-2023 artfynd.xlsx", "A 27058-2023")</f>
        <v/>
      </c>
      <c r="W16">
        <f>HYPERLINK("https://klasma.github.io/Logging_2518/kartor/A 27058-2023 karta.png", "A 27058-2023")</f>
        <v/>
      </c>
      <c r="Y16">
        <f>HYPERLINK("https://klasma.github.io/Logging_2518/klagomål/A 27058-2023 FSC-klagomål.docx", "A 27058-2023")</f>
        <v/>
      </c>
      <c r="Z16">
        <f>HYPERLINK("https://klasma.github.io/Logging_2518/klagomålsmail/A 27058-2023 FSC-klagomål mail.docx", "A 27058-2023")</f>
        <v/>
      </c>
      <c r="AA16">
        <f>HYPERLINK("https://klasma.github.io/Logging_2518/tillsyn/A 27058-2023 tillsynsbegäran.docx", "A 27058-2023")</f>
        <v/>
      </c>
      <c r="AB16">
        <f>HYPERLINK("https://klasma.github.io/Logging_2518/tillsynsmail/A 27058-2023 tillsynsbegäran mail.docx", "A 27058-2023")</f>
        <v/>
      </c>
    </row>
    <row r="17" ht="15" customHeight="1">
      <c r="A17" t="inlineStr">
        <is>
          <t>A 49764-2025</t>
        </is>
      </c>
      <c r="B17" t="inlineStr">
        <is>
          <t>avverkningsanmälan</t>
        </is>
      </c>
      <c r="C17" t="inlineStr">
        <is>
          <t>Föryngringsavverkning</t>
        </is>
      </c>
      <c r="D17" s="1" t="n">
        <v>45940</v>
      </c>
      <c r="E17" s="1" t="n">
        <v>46218</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s="2" t="inlineStr">
        <is>
          <t>Garnlav
Gammelgransskål
Skogshare
Talltita
Järpe
Spillkråka
Utter</t>
        </is>
      </c>
      <c r="V17">
        <f>HYPERLINK("https://klasma.github.io/Logging_2518/artfynd/A 49764-2025 artfynd.xlsx", "A 49764-2025")</f>
        <v/>
      </c>
      <c r="W17">
        <f>HYPERLINK("https://klasma.github.io/Logging_2518/kartor/A 49764-2025 karta.png", "A 49764-2025")</f>
        <v/>
      </c>
      <c r="Y17">
        <f>HYPERLINK("https://klasma.github.io/Logging_2518/klagomål/A 49764-2025 FSC-klagomål.docx", "A 49764-2025")</f>
        <v/>
      </c>
      <c r="Z17">
        <f>HYPERLINK("https://klasma.github.io/Logging_2518/klagomålsmail/A 49764-2025 FSC-klagomål mail.docx", "A 49764-2025")</f>
        <v/>
      </c>
      <c r="AA17">
        <f>HYPERLINK("https://klasma.github.io/Logging_2518/tillsyn/A 49764-2025 tillsynsbegäran.docx", "A 49764-2025")</f>
        <v/>
      </c>
      <c r="AB17">
        <f>HYPERLINK("https://klasma.github.io/Logging_2518/tillsynsmail/A 49764-2025 tillsynsbegäran mail.docx", "A 49764-2025")</f>
        <v/>
      </c>
      <c r="AC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46218</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s="2" t="inlineStr">
        <is>
          <t>Garnlav
Gammelgransskål
Knottrig blåslav
Lappranunkel
Stuplav
Huggorm
Fläcknycklar</t>
        </is>
      </c>
      <c r="V18">
        <f>HYPERLINK("https://klasma.github.io/Logging_2518/artfynd/A 31074-2026 artfynd.xlsx", "A 31074-2026")</f>
        <v/>
      </c>
      <c r="W18">
        <f>HYPERLINK("https://klasma.github.io/Logging_2518/kartor/A 31074-2026 karta.png", "A 31074-2026")</f>
        <v/>
      </c>
      <c r="Y18">
        <f>HYPERLINK("https://klasma.github.io/Logging_2518/klagomål/A 31074-2026 FSC-klagomål.docx", "A 31074-2026")</f>
        <v/>
      </c>
      <c r="Z18">
        <f>HYPERLINK("https://klasma.github.io/Logging_2518/klagomålsmail/A 31074-2026 FSC-klagomål mail.docx", "A 31074-2026")</f>
        <v/>
      </c>
      <c r="AA18">
        <f>HYPERLINK("https://klasma.github.io/Logging_2518/tillsyn/A 31074-2026 tillsynsbegäran.docx", "A 31074-2026")</f>
        <v/>
      </c>
      <c r="AB18">
        <f>HYPERLINK("https://klasma.github.io/Logging_2518/tillsynsmail/A 31074-2026 tillsynsbegäran mail.docx", "A 31074-2026")</f>
        <v/>
      </c>
    </row>
    <row r="19" ht="15" customHeight="1">
      <c r="A19" t="inlineStr">
        <is>
          <t>A 54504-2022</t>
        </is>
      </c>
      <c r="B19" t="inlineStr">
        <is>
          <t>avverkningsanmälan</t>
        </is>
      </c>
      <c r="C19" t="inlineStr">
        <is>
          <t>Avverkning för att bevara och utveckla /försöksver</t>
        </is>
      </c>
      <c r="D19" s="1" t="n">
        <v>44880</v>
      </c>
      <c r="E19" s="1" t="n">
        <v>46218</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s="2" t="inlineStr">
        <is>
          <t>Garnlav
Kandelabersvamp
Barkticka
Norrlandslav
Spillkråka
Revlummer</t>
        </is>
      </c>
      <c r="V19">
        <f>HYPERLINK("https://klasma.github.io/Logging_2518/artfynd/A 54504-2022 artfynd.xlsx", "A 54504-2022")</f>
        <v/>
      </c>
      <c r="W19">
        <f>HYPERLINK("https://klasma.github.io/Logging_2518/kartor/A 54504-2022 karta.png", "A 54504-2022")</f>
        <v/>
      </c>
      <c r="Y19">
        <f>HYPERLINK("https://klasma.github.io/Logging_2518/klagomål/A 54504-2022 FSC-klagomål.docx", "A 54504-2022")</f>
        <v/>
      </c>
      <c r="Z19">
        <f>HYPERLINK("https://klasma.github.io/Logging_2518/klagomålsmail/A 54504-2022 FSC-klagomål mail.docx", "A 54504-2022")</f>
        <v/>
      </c>
      <c r="AA19">
        <f>HYPERLINK("https://klasma.github.io/Logging_2518/tillsyn/A 54504-2022 tillsynsbegäran.docx", "A 54504-2022")</f>
        <v/>
      </c>
      <c r="AB19">
        <f>HYPERLINK("https://klasma.github.io/Logging_2518/tillsynsmail/A 54504-2022 tillsynsbegäran mail.docx", "A 54504-2022")</f>
        <v/>
      </c>
      <c r="AC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46218</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s="2" t="inlineStr">
        <is>
          <t>Garnlav
Luddfingersvamp
Tretåig hackspett
Ullticka
Skinnlav
Spillkråka</t>
        </is>
      </c>
      <c r="V20">
        <f>HYPERLINK("https://klasma.github.io/Logging_2518/artfynd/A 13244-2026 artfynd.xlsx", "A 13244-2026")</f>
        <v/>
      </c>
      <c r="W20">
        <f>HYPERLINK("https://klasma.github.io/Logging_2518/kartor/A 13244-2026 karta.png", "A 13244-2026")</f>
        <v/>
      </c>
      <c r="Y20">
        <f>HYPERLINK("https://klasma.github.io/Logging_2518/klagomål/A 13244-2026 FSC-klagomål.docx", "A 13244-2026")</f>
        <v/>
      </c>
      <c r="Z20">
        <f>HYPERLINK("https://klasma.github.io/Logging_2518/klagomålsmail/A 13244-2026 FSC-klagomål mail.docx", "A 13244-2026")</f>
        <v/>
      </c>
      <c r="AA20">
        <f>HYPERLINK("https://klasma.github.io/Logging_2518/tillsyn/A 13244-2026 tillsynsbegäran.docx", "A 13244-2026")</f>
        <v/>
      </c>
      <c r="AB20">
        <f>HYPERLINK("https://klasma.github.io/Logging_2518/tillsynsmail/A 13244-2026 tillsynsbegäran mail.docx", "A 13244-2026")</f>
        <v/>
      </c>
      <c r="AC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46218</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Y21">
        <f>HYPERLINK("https://klasma.github.io/Logging_2518/klagomål/A 22380-2024 FSC-klagomål.docx", "A 22380-2024")</f>
        <v/>
      </c>
      <c r="Z21">
        <f>HYPERLINK("https://klasma.github.io/Logging_2518/klagomålsmail/A 22380-2024 FSC-klagomål mail.docx", "A 22380-2024")</f>
        <v/>
      </c>
      <c r="AA21">
        <f>HYPERLINK("https://klasma.github.io/Logging_2518/tillsyn/A 22380-2024 tillsynsbegäran.docx", "A 22380-2024")</f>
        <v/>
      </c>
      <c r="AB21">
        <f>HYPERLINK("https://klasma.github.io/Logging_2518/tillsynsmail/A 22380-2024 tillsynsbegäran mail.docx", "A 22380-2024")</f>
        <v/>
      </c>
      <c r="AC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46218</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s="2" t="inlineStr">
        <is>
          <t>Garnlav
Koralltaggsvamp
Lunglav
Fläcknycklar</t>
        </is>
      </c>
      <c r="V22">
        <f>HYPERLINK("https://klasma.github.io/Logging_2518/artfynd/A 31280-2025 artfynd.xlsx", "A 31280-2025")</f>
        <v/>
      </c>
      <c r="W22">
        <f>HYPERLINK("https://klasma.github.io/Logging_2518/kartor/A 31280-2025 karta.png", "A 31280-2025")</f>
        <v/>
      </c>
      <c r="Y22">
        <f>HYPERLINK("https://klasma.github.io/Logging_2518/klagomål/A 31280-2025 FSC-klagomål.docx", "A 31280-2025")</f>
        <v/>
      </c>
      <c r="Z22">
        <f>HYPERLINK("https://klasma.github.io/Logging_2518/klagomålsmail/A 31280-2025 FSC-klagomål mail.docx", "A 31280-2025")</f>
        <v/>
      </c>
      <c r="AA22">
        <f>HYPERLINK("https://klasma.github.io/Logging_2518/tillsyn/A 31280-2025 tillsynsbegäran.docx", "A 31280-2025")</f>
        <v/>
      </c>
      <c r="AB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46218</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s="2" t="inlineStr">
        <is>
          <t>Garnlav
Lunglav
Tallticka
Spillkråka</t>
        </is>
      </c>
      <c r="V23">
        <f>HYPERLINK("https://klasma.github.io/Logging_2518/artfynd/A 15202-2023 artfynd.xlsx", "A 15202-2023")</f>
        <v/>
      </c>
      <c r="W23">
        <f>HYPERLINK("https://klasma.github.io/Logging_2518/kartor/A 15202-2023 karta.png", "A 15202-2023")</f>
        <v/>
      </c>
      <c r="Y23">
        <f>HYPERLINK("https://klasma.github.io/Logging_2518/klagomål/A 15202-2023 FSC-klagomål.docx", "A 15202-2023")</f>
        <v/>
      </c>
      <c r="Z23">
        <f>HYPERLINK("https://klasma.github.io/Logging_2518/klagomålsmail/A 15202-2023 FSC-klagomål mail.docx", "A 15202-2023")</f>
        <v/>
      </c>
      <c r="AA23">
        <f>HYPERLINK("https://klasma.github.io/Logging_2518/tillsyn/A 15202-2023 tillsynsbegäran.docx", "A 15202-2023")</f>
        <v/>
      </c>
      <c r="AB23">
        <f>HYPERLINK("https://klasma.github.io/Logging_2518/tillsynsmail/A 15202-2023 tillsynsbegäran mail.docx", "A 15202-2023")</f>
        <v/>
      </c>
      <c r="AC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46218</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Y24">
        <f>HYPERLINK("https://klasma.github.io/Logging_2518/klagomål/S 1991-2025 FSC-klagomål.docx", "S 1991-2025")</f>
        <v/>
      </c>
      <c r="Z24">
        <f>HYPERLINK("https://klasma.github.io/Logging_2518/klagomålsmail/S 1991-2025 FSC-klagomål mail.docx", "S 1991-2025")</f>
        <v/>
      </c>
      <c r="AA24">
        <f>HYPERLINK("https://klasma.github.io/Logging_2518/tillsyn/S 1991-2025 tillsynsbegäran.docx", "S 1991-2025")</f>
        <v/>
      </c>
      <c r="AB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46218</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HYPERLINK("https://klasma.github.io/Logging_2518/knärot/A 46019-2021 karta knärot.png", "A 46019-2021")</f>
        <v/>
      </c>
      <c r="Y25">
        <f>HYPERLINK("https://klasma.github.io/Logging_2518/klagomål/A 46019-2021 FSC-klagomål.docx", "A 46019-2021")</f>
        <v/>
      </c>
      <c r="Z25">
        <f>HYPERLINK("https://klasma.github.io/Logging_2518/klagomålsmail/A 46019-2021 FSC-klagomål mail.docx", "A 46019-2021")</f>
        <v/>
      </c>
      <c r="AA25">
        <f>HYPERLINK("https://klasma.github.io/Logging_2518/tillsyn/A 46019-2021 tillsynsbegäran.docx", "A 46019-2021")</f>
        <v/>
      </c>
      <c r="AB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46218</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Y26">
        <f>HYPERLINK("https://klasma.github.io/Logging_2518/klagomål/A 48789-2021 FSC-klagomål.docx", "A 48789-2021")</f>
        <v/>
      </c>
      <c r="Z26">
        <f>HYPERLINK("https://klasma.github.io/Logging_2518/klagomålsmail/A 48789-2021 FSC-klagomål mail.docx", "A 48789-2021")</f>
        <v/>
      </c>
      <c r="AA26">
        <f>HYPERLINK("https://klasma.github.io/Logging_2518/tillsyn/A 48789-2021 tillsynsbegäran.docx", "A 48789-2021")</f>
        <v/>
      </c>
      <c r="AB26">
        <f>HYPERLINK("https://klasma.github.io/Logging_2518/tillsynsmail/A 48789-2021 tillsynsbegäran mail.docx", "A 48789-2021")</f>
        <v/>
      </c>
      <c r="AC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46218</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s="2" t="inlineStr">
        <is>
          <t>Garnlav
Järpe
Spillkråka</t>
        </is>
      </c>
      <c r="V27">
        <f>HYPERLINK("https://klasma.github.io/Logging_2518/artfynd/A 19133-2023 artfynd.xlsx", "A 19133-2023")</f>
        <v/>
      </c>
      <c r="W27">
        <f>HYPERLINK("https://klasma.github.io/Logging_2518/kartor/A 19133-2023 karta.png", "A 19133-2023")</f>
        <v/>
      </c>
      <c r="Y27">
        <f>HYPERLINK("https://klasma.github.io/Logging_2518/klagomål/A 19133-2023 FSC-klagomål.docx", "A 19133-2023")</f>
        <v/>
      </c>
      <c r="Z27">
        <f>HYPERLINK("https://klasma.github.io/Logging_2518/klagomålsmail/A 19133-2023 FSC-klagomål mail.docx", "A 19133-2023")</f>
        <v/>
      </c>
      <c r="AA27">
        <f>HYPERLINK("https://klasma.github.io/Logging_2518/tillsyn/A 19133-2023 tillsynsbegäran.docx", "A 19133-2023")</f>
        <v/>
      </c>
      <c r="AB27">
        <f>HYPERLINK("https://klasma.github.io/Logging_2518/tillsynsmail/A 19133-2023 tillsynsbegäran mail.docx", "A 19133-2023")</f>
        <v/>
      </c>
      <c r="AC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46218</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s="2" t="inlineStr">
        <is>
          <t>Garnlav
Spindelblomster
Spillkråka</t>
        </is>
      </c>
      <c r="V28">
        <f>HYPERLINK("https://klasma.github.io/Logging_2518/artfynd/A 58447-2025 artfynd.xlsx", "A 58447-2025")</f>
        <v/>
      </c>
      <c r="W28">
        <f>HYPERLINK("https://klasma.github.io/Logging_2518/kartor/A 58447-2025 karta.png", "A 58447-2025")</f>
        <v/>
      </c>
      <c r="Y28">
        <f>HYPERLINK("https://klasma.github.io/Logging_2518/klagomål/A 58447-2025 FSC-klagomål.docx", "A 58447-2025")</f>
        <v/>
      </c>
      <c r="Z28">
        <f>HYPERLINK("https://klasma.github.io/Logging_2518/klagomålsmail/A 58447-2025 FSC-klagomål mail.docx", "A 58447-2025")</f>
        <v/>
      </c>
      <c r="AA28">
        <f>HYPERLINK("https://klasma.github.io/Logging_2518/tillsyn/A 58447-2025 tillsynsbegäran.docx", "A 58447-2025")</f>
        <v/>
      </c>
      <c r="AB28">
        <f>HYPERLINK("https://klasma.github.io/Logging_2518/tillsynsmail/A 58447-2025 tillsynsbegäran mail.docx", "A 58447-2025")</f>
        <v/>
      </c>
      <c r="AC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46218</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s="2" t="inlineStr">
        <is>
          <t>Lunglav
Rosenticka
Ullticka</t>
        </is>
      </c>
      <c r="V29">
        <f>HYPERLINK("https://klasma.github.io/Logging_2518/artfynd/A 30049-2026 artfynd.xlsx", "A 30049-2026")</f>
        <v/>
      </c>
      <c r="W29">
        <f>HYPERLINK("https://klasma.github.io/Logging_2518/kartor/A 30049-2026 karta.png", "A 30049-2026")</f>
        <v/>
      </c>
      <c r="Y29">
        <f>HYPERLINK("https://klasma.github.io/Logging_2518/klagomål/A 30049-2026 FSC-klagomål.docx", "A 30049-2026")</f>
        <v/>
      </c>
      <c r="Z29">
        <f>HYPERLINK("https://klasma.github.io/Logging_2518/klagomålsmail/A 30049-2026 FSC-klagomål mail.docx", "A 30049-2026")</f>
        <v/>
      </c>
      <c r="AA29">
        <f>HYPERLINK("https://klasma.github.io/Logging_2518/tillsyn/A 30049-2026 tillsynsbegäran.docx", "A 30049-2026")</f>
        <v/>
      </c>
      <c r="AB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46218</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Y30">
        <f>HYPERLINK("https://klasma.github.io/Logging_2518/klagomål/A 43057-2022 FSC-klagomål.docx", "A 43057-2022")</f>
        <v/>
      </c>
      <c r="Z30">
        <f>HYPERLINK("https://klasma.github.io/Logging_2518/klagomålsmail/A 43057-2022 FSC-klagomål mail.docx", "A 43057-2022")</f>
        <v/>
      </c>
      <c r="AA30">
        <f>HYPERLINK("https://klasma.github.io/Logging_2518/tillsyn/A 43057-2022 tillsynsbegäran.docx", "A 43057-2022")</f>
        <v/>
      </c>
      <c r="AB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46218</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Y31">
        <f>HYPERLINK("https://klasma.github.io/Logging_2518/klagomål/A 25309-2024 FSC-klagomål.docx", "A 25309-2024")</f>
        <v/>
      </c>
      <c r="Z31">
        <f>HYPERLINK("https://klasma.github.io/Logging_2518/klagomålsmail/A 25309-2024 FSC-klagomål mail.docx", "A 25309-2024")</f>
        <v/>
      </c>
      <c r="AA31">
        <f>HYPERLINK("https://klasma.github.io/Logging_2518/tillsyn/A 25309-2024 tillsynsbegäran.docx", "A 25309-2024")</f>
        <v/>
      </c>
      <c r="AB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46218</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Y32">
        <f>HYPERLINK("https://klasma.github.io/Logging_2518/klagomål/A 43055-2022 FSC-klagomål.docx", "A 43055-2022")</f>
        <v/>
      </c>
      <c r="Z32">
        <f>HYPERLINK("https://klasma.github.io/Logging_2518/klagomålsmail/A 43055-2022 FSC-klagomål mail.docx", "A 43055-2022")</f>
        <v/>
      </c>
      <c r="AA32">
        <f>HYPERLINK("https://klasma.github.io/Logging_2518/tillsyn/A 43055-2022 tillsynsbegäran.docx", "A 43055-2022")</f>
        <v/>
      </c>
      <c r="AB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46218</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Y33">
        <f>HYPERLINK("https://klasma.github.io/Logging_2518/klagomål/A 1090-2022 FSC-klagomål.docx", "A 1090-2022")</f>
        <v/>
      </c>
      <c r="Z33">
        <f>HYPERLINK("https://klasma.github.io/Logging_2518/klagomålsmail/A 1090-2022 FSC-klagomål mail.docx", "A 1090-2022")</f>
        <v/>
      </c>
      <c r="AA33">
        <f>HYPERLINK("https://klasma.github.io/Logging_2518/tillsyn/A 1090-2022 tillsynsbegäran.docx", "A 1090-2022")</f>
        <v/>
      </c>
      <c r="AB33">
        <f>HYPERLINK("https://klasma.github.io/Logging_2518/tillsynsmail/A 1090-2022 tillsynsbegäran mail.docx", "A 1090-2022")</f>
        <v/>
      </c>
    </row>
    <row r="34" ht="15" customHeight="1">
      <c r="A34" t="inlineStr">
        <is>
          <t>A 30651-2023</t>
        </is>
      </c>
      <c r="B34" t="inlineStr">
        <is>
          <t>avverkningsanmälan</t>
        </is>
      </c>
      <c r="C34" t="inlineStr">
        <is>
          <t>Föryngringsavverkning</t>
        </is>
      </c>
      <c r="D34" s="1" t="n">
        <v>45112</v>
      </c>
      <c r="E34" s="1" t="n">
        <v>46218</v>
      </c>
      <c r="F34" t="inlineStr">
        <is>
          <t>NORRBOTTENS LÄN</t>
        </is>
      </c>
      <c r="G34" t="inlineStr">
        <is>
          <t>ÖVERTORNEÅ</t>
        </is>
      </c>
      <c r="I34" t="n">
        <v>1.5</v>
      </c>
      <c r="J34" t="n">
        <v>0</v>
      </c>
      <c r="K34" t="n">
        <v>0</v>
      </c>
      <c r="L34" t="n">
        <v>0</v>
      </c>
      <c r="M34" t="n">
        <v>0</v>
      </c>
      <c r="N34" t="n">
        <v>0</v>
      </c>
      <c r="O34" t="n">
        <v>0</v>
      </c>
      <c r="P34" t="n">
        <v>0</v>
      </c>
      <c r="Q34" t="n">
        <v>0</v>
      </c>
      <c r="R34" t="n">
        <v>0</v>
      </c>
      <c r="S34" t="n">
        <v>1</v>
      </c>
      <c r="T34" t="n">
        <v>1</v>
      </c>
      <c r="U34" s="2" t="inlineStr">
        <is>
          <t>Klotstarr</t>
        </is>
      </c>
      <c r="V34">
        <f>HYPERLINK("https://klasma.github.io/Logging_2518/artfynd/A 30651-2023 artfynd.xlsx", "A 30651-2023")</f>
        <v/>
      </c>
      <c r="W34">
        <f>HYPERLINK("https://klasma.github.io/Logging_2518/kartor/A 30651-2023 karta.png", "A 30651-2023")</f>
        <v/>
      </c>
      <c r="Y34">
        <f>HYPERLINK("https://klasma.github.io/Logging_2518/klagomål/A 30651-2023 FSC-klagomål.docx", "A 30651-2023")</f>
        <v/>
      </c>
      <c r="Z34">
        <f>HYPERLINK("https://klasma.github.io/Logging_2518/klagomålsmail/A 30651-2023 FSC-klagomål mail.docx", "A 30651-2023")</f>
        <v/>
      </c>
      <c r="AA34">
        <f>HYPERLINK("https://klasma.github.io/Logging_2518/tillsyn/A 30651-2023 tillsynsbegäran.docx", "A 30651-2023")</f>
        <v/>
      </c>
      <c r="AB34">
        <f>HYPERLINK("https://klasma.github.io/Logging_2518/tillsynsmail/A 30651-2023 tillsynsbegäran mail.docx", "A 30651-2023")</f>
        <v/>
      </c>
    </row>
    <row r="35" ht="15" customHeight="1">
      <c r="A35" t="inlineStr">
        <is>
          <t>A 34186-2022</t>
        </is>
      </c>
      <c r="B35" t="inlineStr">
        <is>
          <t>avverkningsanmälan</t>
        </is>
      </c>
      <c r="C35" t="inlineStr">
        <is>
          <t>Föryngringsavverkning</t>
        </is>
      </c>
      <c r="D35" s="1" t="n">
        <v>44791</v>
      </c>
      <c r="E35" s="1" t="n">
        <v>46218</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s="2" t="inlineStr">
        <is>
          <t>Stor aspticka</t>
        </is>
      </c>
      <c r="V35">
        <f>HYPERLINK("https://klasma.github.io/Logging_2518/artfynd/A 34186-2022 artfynd.xlsx", "A 34186-2022")</f>
        <v/>
      </c>
      <c r="W35">
        <f>HYPERLINK("https://klasma.github.io/Logging_2518/kartor/A 34186-2022 karta.png", "A 34186-2022")</f>
        <v/>
      </c>
      <c r="Y35">
        <f>HYPERLINK("https://klasma.github.io/Logging_2518/klagomål/A 34186-2022 FSC-klagomål.docx", "A 34186-2022")</f>
        <v/>
      </c>
      <c r="Z35">
        <f>HYPERLINK("https://klasma.github.io/Logging_2518/klagomålsmail/A 34186-2022 FSC-klagomål mail.docx", "A 34186-2022")</f>
        <v/>
      </c>
      <c r="AA35">
        <f>HYPERLINK("https://klasma.github.io/Logging_2518/tillsyn/A 34186-2022 tillsynsbegäran.docx", "A 34186-2022")</f>
        <v/>
      </c>
      <c r="AB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46218</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s="2" t="inlineStr">
        <is>
          <t>Garnlav</t>
        </is>
      </c>
      <c r="V36">
        <f>HYPERLINK("https://klasma.github.io/Logging_2518/artfynd/A 18489-2024 artfynd.xlsx", "A 18489-2024")</f>
        <v/>
      </c>
      <c r="W36">
        <f>HYPERLINK("https://klasma.github.io/Logging_2518/kartor/A 18489-2024 karta.png", "A 18489-2024")</f>
        <v/>
      </c>
      <c r="Y36">
        <f>HYPERLINK("https://klasma.github.io/Logging_2518/klagomål/A 18489-2024 FSC-klagomål.docx", "A 18489-2024")</f>
        <v/>
      </c>
      <c r="Z36">
        <f>HYPERLINK("https://klasma.github.io/Logging_2518/klagomålsmail/A 18489-2024 FSC-klagomål mail.docx", "A 18489-2024")</f>
        <v/>
      </c>
      <c r="AA36">
        <f>HYPERLINK("https://klasma.github.io/Logging_2518/tillsyn/A 18489-2024 tillsynsbegäran.docx", "A 18489-2024")</f>
        <v/>
      </c>
      <c r="AB36">
        <f>HYPERLINK("https://klasma.github.io/Logging_2518/tillsynsmail/A 18489-2024 tillsynsbegäran mail.docx", "A 18489-2024")</f>
        <v/>
      </c>
    </row>
    <row r="37" ht="15" customHeight="1">
      <c r="A37" t="inlineStr">
        <is>
          <t>A 46378-2023</t>
        </is>
      </c>
      <c r="B37" t="inlineStr">
        <is>
          <t>avverkningsanmälan</t>
        </is>
      </c>
      <c r="C37" t="inlineStr">
        <is>
          <t>Föryngringsavverkning</t>
        </is>
      </c>
      <c r="D37" s="1" t="n">
        <v>45197</v>
      </c>
      <c r="E37" s="1" t="n">
        <v>46218</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s="2" t="inlineStr">
        <is>
          <t>Kungsörn</t>
        </is>
      </c>
      <c r="V37">
        <f>HYPERLINK("https://klasma.github.io/Logging_2518/artfynd/A 46378-2023 artfynd.xlsx", "A 46378-2023")</f>
        <v/>
      </c>
      <c r="W37">
        <f>HYPERLINK("https://klasma.github.io/Logging_2518/kartor/A 46378-2023 karta.png", "A 46378-2023")</f>
        <v/>
      </c>
      <c r="Y37">
        <f>HYPERLINK("https://klasma.github.io/Logging_2518/klagomål/A 46378-2023 FSC-klagomål.docx", "A 46378-2023")</f>
        <v/>
      </c>
      <c r="Z37">
        <f>HYPERLINK("https://klasma.github.io/Logging_2518/klagomålsmail/A 46378-2023 FSC-klagomål mail.docx", "A 46378-2023")</f>
        <v/>
      </c>
      <c r="AA37">
        <f>HYPERLINK("https://klasma.github.io/Logging_2518/tillsyn/A 46378-2023 tillsynsbegäran.docx", "A 46378-2023")</f>
        <v/>
      </c>
      <c r="AB37">
        <f>HYPERLINK("https://klasma.github.io/Logging_2518/tillsynsmail/A 46378-2023 tillsynsbegäran mail.docx", "A 46378-2023")</f>
        <v/>
      </c>
      <c r="AC37">
        <f>HYPERLINK("https://klasma.github.io/Logging_2518/fåglar/A 46378-2023 prioriterade fågelarter.docx", "A 46378-2023")</f>
        <v/>
      </c>
    </row>
    <row r="38" ht="15" customHeight="1">
      <c r="A38" t="inlineStr">
        <is>
          <t>A 4012-2022</t>
        </is>
      </c>
      <c r="B38" t="inlineStr">
        <is>
          <t>avverkningsanmälan</t>
        </is>
      </c>
      <c r="C38" t="inlineStr">
        <is>
          <t>Avverkning för annat ändamål</t>
        </is>
      </c>
      <c r="D38" s="1" t="n">
        <v>44587</v>
      </c>
      <c r="E38" s="1" t="n">
        <v>46218</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s="2" t="inlineStr">
        <is>
          <t>Busksångare</t>
        </is>
      </c>
      <c r="V38">
        <f>HYPERLINK("https://klasma.github.io/Logging_2518/artfynd/A 4012-2022 artfynd.xlsx", "A 4012-2022")</f>
        <v/>
      </c>
      <c r="W38">
        <f>HYPERLINK("https://klasma.github.io/Logging_2518/kartor/A 4012-2022 karta.png", "A 4012-2022")</f>
        <v/>
      </c>
      <c r="Y38">
        <f>HYPERLINK("https://klasma.github.io/Logging_2518/klagomål/A 4012-2022 FSC-klagomål.docx", "A 4012-2022")</f>
        <v/>
      </c>
      <c r="Z38">
        <f>HYPERLINK("https://klasma.github.io/Logging_2518/klagomålsmail/A 4012-2022 FSC-klagomål mail.docx", "A 4012-2022")</f>
        <v/>
      </c>
      <c r="AA38">
        <f>HYPERLINK("https://klasma.github.io/Logging_2518/tillsyn/A 4012-2022 tillsynsbegäran.docx", "A 4012-2022")</f>
        <v/>
      </c>
      <c r="AB38">
        <f>HYPERLINK("https://klasma.github.io/Logging_2518/tillsynsmail/A 4012-2022 tillsynsbegäran mail.docx", "A 4012-2022")</f>
        <v/>
      </c>
    </row>
    <row r="39" ht="15" customHeight="1">
      <c r="A39" t="inlineStr">
        <is>
          <t>A 26502-2025</t>
        </is>
      </c>
      <c r="B39" t="inlineStr">
        <is>
          <t>avverkningsanmälan</t>
        </is>
      </c>
      <c r="C39" t="inlineStr">
        <is>
          <t>Föryngringsavverkning</t>
        </is>
      </c>
      <c r="D39" s="1" t="n">
        <v>45807</v>
      </c>
      <c r="E39" s="1" t="n">
        <v>46218</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s="2" t="inlineStr">
        <is>
          <t>Gammelgransskål</t>
        </is>
      </c>
      <c r="V39">
        <f>HYPERLINK("https://klasma.github.io/Logging_2518/artfynd/A 26502-2025 artfynd.xlsx", "A 26502-2025")</f>
        <v/>
      </c>
      <c r="W39">
        <f>HYPERLINK("https://klasma.github.io/Logging_2518/kartor/A 26502-2025 karta.png", "A 26502-2025")</f>
        <v/>
      </c>
      <c r="Y39">
        <f>HYPERLINK("https://klasma.github.io/Logging_2518/klagomål/A 26502-2025 FSC-klagomål.docx", "A 26502-2025")</f>
        <v/>
      </c>
      <c r="Z39">
        <f>HYPERLINK("https://klasma.github.io/Logging_2518/klagomålsmail/A 26502-2025 FSC-klagomål mail.docx", "A 26502-2025")</f>
        <v/>
      </c>
      <c r="AA39">
        <f>HYPERLINK("https://klasma.github.io/Logging_2518/tillsyn/A 26502-2025 tillsynsbegäran.docx", "A 26502-2025")</f>
        <v/>
      </c>
      <c r="AB39">
        <f>HYPERLINK("https://klasma.github.io/Logging_2518/tillsynsmail/A 26502-2025 tillsynsbegäran mail.docx", "A 26502-2025")</f>
        <v/>
      </c>
    </row>
    <row r="40" ht="15" customHeight="1">
      <c r="A40" t="inlineStr">
        <is>
          <t>A 30784-2025</t>
        </is>
      </c>
      <c r="B40" t="inlineStr">
        <is>
          <t>avverkningsanmälan</t>
        </is>
      </c>
      <c r="C40" t="inlineStr">
        <is>
          <t>Föryngringsavverkning</t>
        </is>
      </c>
      <c r="D40" s="1" t="n">
        <v>45831</v>
      </c>
      <c r="E40" s="1" t="n">
        <v>46218</v>
      </c>
      <c r="F40" t="inlineStr">
        <is>
          <t>NORRBOTTENS LÄN</t>
        </is>
      </c>
      <c r="G40" t="inlineStr">
        <is>
          <t>ÖVERTORNEÅ</t>
        </is>
      </c>
      <c r="H40" t="inlineStr">
        <is>
          <t>Sveaskog</t>
        </is>
      </c>
      <c r="I40" t="n">
        <v>12.4</v>
      </c>
      <c r="J40" t="n">
        <v>1</v>
      </c>
      <c r="K40" t="n">
        <v>0</v>
      </c>
      <c r="L40" t="n">
        <v>0</v>
      </c>
      <c r="M40" t="n">
        <v>0</v>
      </c>
      <c r="N40" t="n">
        <v>0</v>
      </c>
      <c r="O40" t="n">
        <v>0</v>
      </c>
      <c r="P40" t="n">
        <v>0</v>
      </c>
      <c r="Q40" t="n">
        <v>0</v>
      </c>
      <c r="R40" t="n">
        <v>0</v>
      </c>
      <c r="S40" t="n">
        <v>1</v>
      </c>
      <c r="T40" t="n">
        <v>2</v>
      </c>
      <c r="U40" s="2" t="inlineStr">
        <is>
          <t>Fläcknycklar</t>
        </is>
      </c>
      <c r="V40">
        <f>HYPERLINK("https://klasma.github.io/Logging_2518/artfynd/A 30784-2025 artfynd.xlsx", "A 30784-2025")</f>
        <v/>
      </c>
      <c r="W40">
        <f>HYPERLINK("https://klasma.github.io/Logging_2518/kartor/A 30784-2025 karta.png", "A 30784-2025")</f>
        <v/>
      </c>
      <c r="Y40">
        <f>HYPERLINK("https://klasma.github.io/Logging_2518/klagomål/A 30784-2025 FSC-klagomål.docx", "A 30784-2025")</f>
        <v/>
      </c>
      <c r="Z40">
        <f>HYPERLINK("https://klasma.github.io/Logging_2518/klagomålsmail/A 30784-2025 FSC-klagomål mail.docx", "A 30784-2025")</f>
        <v/>
      </c>
      <c r="AA40">
        <f>HYPERLINK("https://klasma.github.io/Logging_2518/tillsyn/A 30784-2025 tillsynsbegäran.docx", "A 30784-2025")</f>
        <v/>
      </c>
      <c r="AB40">
        <f>HYPERLINK("https://klasma.github.io/Logging_2518/tillsynsmail/A 30784-2025 tillsynsbegäran mail.docx", "A 30784-2025")</f>
        <v/>
      </c>
    </row>
    <row r="41" ht="15" customHeight="1">
      <c r="A41" t="inlineStr">
        <is>
          <t>A 34325-2025</t>
        </is>
      </c>
      <c r="B41" t="inlineStr">
        <is>
          <t>avverkningsanmälan</t>
        </is>
      </c>
      <c r="C41" t="inlineStr">
        <is>
          <t>Föryngringsavverkning</t>
        </is>
      </c>
      <c r="D41" s="1" t="n">
        <v>45846</v>
      </c>
      <c r="E41" s="1" t="n">
        <v>46218</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s="2" t="inlineStr">
        <is>
          <t>Fläcknycklar</t>
        </is>
      </c>
      <c r="V41">
        <f>HYPERLINK("https://klasma.github.io/Logging_2518/artfynd/A 34325-2025 artfynd.xlsx", "A 34325-2025")</f>
        <v/>
      </c>
      <c r="W41">
        <f>HYPERLINK("https://klasma.github.io/Logging_2518/kartor/A 34325-2025 karta.png", "A 34325-2025")</f>
        <v/>
      </c>
      <c r="Y41">
        <f>HYPERLINK("https://klasma.github.io/Logging_2518/klagomål/A 34325-2025 FSC-klagomål.docx", "A 34325-2025")</f>
        <v/>
      </c>
      <c r="Z41">
        <f>HYPERLINK("https://klasma.github.io/Logging_2518/klagomålsmail/A 34325-2025 FSC-klagomål mail.docx", "A 34325-2025")</f>
        <v/>
      </c>
      <c r="AA41">
        <f>HYPERLINK("https://klasma.github.io/Logging_2518/tillsyn/A 34325-2025 tillsynsbegäran.docx", "A 34325-2025")</f>
        <v/>
      </c>
      <c r="AB41">
        <f>HYPERLINK("https://klasma.github.io/Logging_2518/tillsynsmail/A 34325-2025 tillsynsbegäran mail.docx", "A 34325-2025")</f>
        <v/>
      </c>
    </row>
    <row r="42" ht="15" customHeight="1">
      <c r="A42" t="inlineStr">
        <is>
          <t>A 4767-2026</t>
        </is>
      </c>
      <c r="B42" t="inlineStr">
        <is>
          <t>avverkningsanmälan</t>
        </is>
      </c>
      <c r="C42" t="inlineStr">
        <is>
          <t>Föryngringsavverkning</t>
        </is>
      </c>
      <c r="D42" s="1" t="n">
        <v>46048</v>
      </c>
      <c r="E42" s="1" t="n">
        <v>46218</v>
      </c>
      <c r="F42" t="inlineStr">
        <is>
          <t>NORRBOTTENS LÄN</t>
        </is>
      </c>
      <c r="G42" t="inlineStr">
        <is>
          <t>ÖVERTORNEÅ</t>
        </is>
      </c>
      <c r="I42" t="n">
        <v>0.8</v>
      </c>
      <c r="J42" t="n">
        <v>0</v>
      </c>
      <c r="K42" t="n">
        <v>0</v>
      </c>
      <c r="L42" t="n">
        <v>0</v>
      </c>
      <c r="M42" t="n">
        <v>1</v>
      </c>
      <c r="N42" t="n">
        <v>0</v>
      </c>
      <c r="O42" t="n">
        <v>0</v>
      </c>
      <c r="P42" t="n">
        <v>0</v>
      </c>
      <c r="Q42" t="n">
        <v>1</v>
      </c>
      <c r="R42" t="n">
        <v>1</v>
      </c>
      <c r="S42" t="n">
        <v>1</v>
      </c>
      <c r="T42" t="n">
        <v>1</v>
      </c>
      <c r="U42" s="2" t="inlineStr">
        <is>
          <t>Silverblåvinge</t>
        </is>
      </c>
      <c r="V42">
        <f>HYPERLINK("https://klasma.github.io/Logging_2518/artfynd/A 4767-2026 artfynd.xlsx", "A 4767-2026")</f>
        <v/>
      </c>
      <c r="W42">
        <f>HYPERLINK("https://klasma.github.io/Logging_2518/kartor/A 4767-2026 karta.png", "A 4767-2026")</f>
        <v/>
      </c>
      <c r="Y42">
        <f>HYPERLINK("https://klasma.github.io/Logging_2518/klagomål/A 4767-2026 FSC-klagomål.docx", "A 4767-2026")</f>
        <v/>
      </c>
      <c r="Z42">
        <f>HYPERLINK("https://klasma.github.io/Logging_2518/klagomålsmail/A 4767-2026 FSC-klagomål mail.docx", "A 4767-2026")</f>
        <v/>
      </c>
      <c r="AA42">
        <f>HYPERLINK("https://klasma.github.io/Logging_2518/tillsyn/A 4767-2026 tillsynsbegäran.docx", "A 4767-2026")</f>
        <v/>
      </c>
      <c r="AB42">
        <f>HYPERLINK("https://klasma.github.io/Logging_2518/tillsynsmail/A 4767-2026 tillsynsbegäran mail.docx", "A 4767-2026")</f>
        <v/>
      </c>
    </row>
    <row r="43" ht="15" customHeight="1">
      <c r="A43" t="inlineStr">
        <is>
          <t>A 24802-2026</t>
        </is>
      </c>
      <c r="B43" t="inlineStr">
        <is>
          <t>avverkningsanmälan</t>
        </is>
      </c>
      <c r="C43" t="inlineStr">
        <is>
          <t>Föryngringsavverkning</t>
        </is>
      </c>
      <c r="D43" s="1" t="n">
        <v>46171</v>
      </c>
      <c r="E43" s="1" t="n">
        <v>46218</v>
      </c>
      <c r="F43" t="inlineStr">
        <is>
          <t>NORRBOTTENS LÄN</t>
        </is>
      </c>
      <c r="G43" t="inlineStr">
        <is>
          <t>ÖVERTORNEÅ</t>
        </is>
      </c>
      <c r="H43" t="inlineStr">
        <is>
          <t>Sveaskog</t>
        </is>
      </c>
      <c r="I43" t="n">
        <v>32.6</v>
      </c>
      <c r="J43" t="n">
        <v>0</v>
      </c>
      <c r="K43" t="n">
        <v>0</v>
      </c>
      <c r="L43" t="n">
        <v>1</v>
      </c>
      <c r="M43" t="n">
        <v>0</v>
      </c>
      <c r="N43" t="n">
        <v>0</v>
      </c>
      <c r="O43" t="n">
        <v>0</v>
      </c>
      <c r="P43" t="n">
        <v>0</v>
      </c>
      <c r="Q43" t="n">
        <v>1</v>
      </c>
      <c r="R43" t="n">
        <v>0</v>
      </c>
      <c r="S43" t="n">
        <v>1</v>
      </c>
      <c r="T43" t="n">
        <v>1</v>
      </c>
      <c r="U43" s="2" t="inlineStr">
        <is>
          <t>Doftskinn</t>
        </is>
      </c>
      <c r="V43">
        <f>HYPERLINK("https://klasma.github.io/Logging_2518/artfynd/A 24802-2026 artfynd.xlsx", "A 24802-2026")</f>
        <v/>
      </c>
      <c r="W43">
        <f>HYPERLINK("https://klasma.github.io/Logging_2518/kartor/A 24802-2026 karta.png", "A 24802-2026")</f>
        <v/>
      </c>
      <c r="Y43">
        <f>HYPERLINK("https://klasma.github.io/Logging_2518/klagomål/A 24802-2026 FSC-klagomål.docx", "A 24802-2026")</f>
        <v/>
      </c>
      <c r="Z43">
        <f>HYPERLINK("https://klasma.github.io/Logging_2518/klagomålsmail/A 24802-2026 FSC-klagomål mail.docx", "A 24802-2026")</f>
        <v/>
      </c>
      <c r="AA43">
        <f>HYPERLINK("https://klasma.github.io/Logging_2518/tillsyn/A 24802-2026 tillsynsbegäran.docx", "A 24802-2026")</f>
        <v/>
      </c>
      <c r="AB43">
        <f>HYPERLINK("https://klasma.github.io/Logging_2518/tillsynsmail/A 24802-2026 tillsynsbegäran mail.docx", "A 24802-2026")</f>
        <v/>
      </c>
    </row>
    <row r="44" ht="15" customHeight="1">
      <c r="A44" t="inlineStr">
        <is>
          <t>A 3389-2022</t>
        </is>
      </c>
      <c r="B44" t="inlineStr">
        <is>
          <t>avverkningsanmälan</t>
        </is>
      </c>
      <c r="C44" t="inlineStr">
        <is>
          <t>Föryngringsavverkning</t>
        </is>
      </c>
      <c r="D44" s="1" t="n">
        <v>44585</v>
      </c>
      <c r="E44" s="1" t="n">
        <v>46218</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62856-2021</t>
        </is>
      </c>
      <c r="B45" t="inlineStr">
        <is>
          <t>avverkningsanmälan</t>
        </is>
      </c>
      <c r="C45" t="inlineStr">
        <is>
          <t>Föryngringsavverkning</t>
        </is>
      </c>
      <c r="D45" s="1" t="n">
        <v>44504</v>
      </c>
      <c r="E45" s="1" t="n">
        <v>46218</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43294-2022</t>
        </is>
      </c>
      <c r="B46" t="inlineStr">
        <is>
          <t>avverkningsanmälan</t>
        </is>
      </c>
      <c r="C46" t="inlineStr">
        <is>
          <t>Föryngringsavverkning</t>
        </is>
      </c>
      <c r="D46" s="1" t="n">
        <v>44833</v>
      </c>
      <c r="E46" s="1" t="n">
        <v>46218</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46218</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46218</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49886-2022</t>
        </is>
      </c>
      <c r="B49" t="inlineStr">
        <is>
          <t>avverkningsanmälan</t>
        </is>
      </c>
      <c r="C49" t="inlineStr">
        <is>
          <t>Föryngringsavverkning</t>
        </is>
      </c>
      <c r="D49" s="1" t="n">
        <v>44864</v>
      </c>
      <c r="E49" s="1" t="n">
        <v>46218</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s="2" t="inlineStr"/>
    </row>
    <row r="50" ht="15" customHeight="1">
      <c r="A50" t="inlineStr">
        <is>
          <t>A 70413-2021</t>
        </is>
      </c>
      <c r="B50" t="inlineStr">
        <is>
          <t>avverkningsanmälan</t>
        </is>
      </c>
      <c r="C50" t="inlineStr">
        <is>
          <t>Avverkning för annat ändamål</t>
        </is>
      </c>
      <c r="D50" s="1" t="n">
        <v>44536</v>
      </c>
      <c r="E50" s="1" t="n">
        <v>46218</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46218</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46218</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46218</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46218</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46218</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46218</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46218</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46218</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46218</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46218</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46218</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46218</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46218</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38980-2022</t>
        </is>
      </c>
      <c r="B64" t="inlineStr">
        <is>
          <t>avverkningsanmälan</t>
        </is>
      </c>
      <c r="C64" t="inlineStr">
        <is>
          <t>Avverkning för annat ändamål</t>
        </is>
      </c>
      <c r="D64" s="1" t="n">
        <v>44816</v>
      </c>
      <c r="E64" s="1" t="n">
        <v>46218</v>
      </c>
      <c r="F64" t="inlineStr">
        <is>
          <t>NORRBOTTENS LÄN</t>
        </is>
      </c>
      <c r="G64" t="inlineStr">
        <is>
          <t>ÖVERTORNEÅ</t>
        </is>
      </c>
      <c r="H64" t="inlineStr">
        <is>
          <t>Sveaskog</t>
        </is>
      </c>
      <c r="I64" t="n">
        <v>5</v>
      </c>
      <c r="J64" t="n">
        <v>0</v>
      </c>
      <c r="K64" t="n">
        <v>0</v>
      </c>
      <c r="L64" t="n">
        <v>0</v>
      </c>
      <c r="M64" t="n">
        <v>0</v>
      </c>
      <c r="N64" t="n">
        <v>0</v>
      </c>
      <c r="O64" t="n">
        <v>0</v>
      </c>
      <c r="P64" t="n">
        <v>0</v>
      </c>
      <c r="Q64" t="n">
        <v>0</v>
      </c>
      <c r="R64" t="n">
        <v>0</v>
      </c>
      <c r="S64" t="n">
        <v>0</v>
      </c>
      <c r="T64" t="n">
        <v>0</v>
      </c>
      <c r="U64" s="2" t="inlineStr"/>
    </row>
    <row r="65" ht="15" customHeight="1">
      <c r="A65" t="inlineStr">
        <is>
          <t>A 19247-2022</t>
        </is>
      </c>
      <c r="B65" t="inlineStr">
        <is>
          <t>avverkningsanmälan</t>
        </is>
      </c>
      <c r="C65" t="inlineStr">
        <is>
          <t>Föryngringsavverkning</t>
        </is>
      </c>
      <c r="D65" s="1" t="n">
        <v>44692</v>
      </c>
      <c r="E65" s="1" t="n">
        <v>46218</v>
      </c>
      <c r="F65" t="inlineStr">
        <is>
          <t>NORRBOTTENS LÄN</t>
        </is>
      </c>
      <c r="G65" t="inlineStr">
        <is>
          <t>ÖVERTORNEÅ</t>
        </is>
      </c>
      <c r="I65" t="n">
        <v>1.2</v>
      </c>
      <c r="J65" t="n">
        <v>0</v>
      </c>
      <c r="K65" t="n">
        <v>0</v>
      </c>
      <c r="L65" t="n">
        <v>0</v>
      </c>
      <c r="M65" t="n">
        <v>0</v>
      </c>
      <c r="N65" t="n">
        <v>0</v>
      </c>
      <c r="O65" t="n">
        <v>0</v>
      </c>
      <c r="P65" t="n">
        <v>0</v>
      </c>
      <c r="Q65" t="n">
        <v>0</v>
      </c>
      <c r="R65" t="n">
        <v>0</v>
      </c>
      <c r="S65" t="n">
        <v>0</v>
      </c>
      <c r="T65" t="n">
        <v>0</v>
      </c>
      <c r="U65" s="2" t="inlineStr"/>
    </row>
    <row r="66" ht="15" customHeight="1">
      <c r="A66" t="inlineStr">
        <is>
          <t>A 65110-2021</t>
        </is>
      </c>
      <c r="B66" t="inlineStr">
        <is>
          <t>avverkningsanmälan</t>
        </is>
      </c>
      <c r="C66" t="inlineStr">
        <is>
          <t>Föryngringsavverkning</t>
        </is>
      </c>
      <c r="D66" s="1" t="n">
        <v>44515</v>
      </c>
      <c r="E66" s="1" t="n">
        <v>46218</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s="2" t="inlineStr"/>
    </row>
    <row r="67" ht="15" customHeight="1">
      <c r="A67" t="inlineStr">
        <is>
          <t>A 30114-2022</t>
        </is>
      </c>
      <c r="B67" t="inlineStr">
        <is>
          <t>avverkningsanmälan</t>
        </is>
      </c>
      <c r="C67" t="inlineStr">
        <is>
          <t>Avverkning för annat ändamål</t>
        </is>
      </c>
      <c r="D67" s="1" t="n">
        <v>44757</v>
      </c>
      <c r="E67" s="1" t="n">
        <v>46218</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16561-2022</t>
        </is>
      </c>
      <c r="B68" t="inlineStr">
        <is>
          <t>avverkningsanmälan</t>
        </is>
      </c>
      <c r="C68" t="inlineStr">
        <is>
          <t>Avverkning för annat ändamål</t>
        </is>
      </c>
      <c r="D68" s="1" t="n">
        <v>44672</v>
      </c>
      <c r="E68" s="1" t="n">
        <v>46218</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s="2" t="inlineStr"/>
    </row>
    <row r="69" ht="15" customHeight="1">
      <c r="A69" t="inlineStr">
        <is>
          <t>A 71381-2021</t>
        </is>
      </c>
      <c r="B69" t="inlineStr">
        <is>
          <t>avverkningsanmälan</t>
        </is>
      </c>
      <c r="C69" t="inlineStr">
        <is>
          <t>Föryngringsavverkning</t>
        </is>
      </c>
      <c r="D69" s="1" t="n">
        <v>44538</v>
      </c>
      <c r="E69" s="1" t="n">
        <v>46218</v>
      </c>
      <c r="F69" t="inlineStr">
        <is>
          <t>NORRBOTTENS LÄN</t>
        </is>
      </c>
      <c r="G69" t="inlineStr">
        <is>
          <t>ÖVERTORNEÅ</t>
        </is>
      </c>
      <c r="I69" t="n">
        <v>6.2</v>
      </c>
      <c r="J69" t="n">
        <v>0</v>
      </c>
      <c r="K69" t="n">
        <v>0</v>
      </c>
      <c r="L69" t="n">
        <v>0</v>
      </c>
      <c r="M69" t="n">
        <v>0</v>
      </c>
      <c r="N69" t="n">
        <v>0</v>
      </c>
      <c r="O69" t="n">
        <v>0</v>
      </c>
      <c r="P69" t="n">
        <v>0</v>
      </c>
      <c r="Q69" t="n">
        <v>0</v>
      </c>
      <c r="R69" t="n">
        <v>0</v>
      </c>
      <c r="S69" t="n">
        <v>0</v>
      </c>
      <c r="T69" t="n">
        <v>0</v>
      </c>
      <c r="U69" s="2" t="inlineStr"/>
    </row>
    <row r="70" ht="15" customHeight="1">
      <c r="A70" t="inlineStr">
        <is>
          <t>A 43282-2022</t>
        </is>
      </c>
      <c r="B70" t="inlineStr">
        <is>
          <t>avverkningsanmälan</t>
        </is>
      </c>
      <c r="C70" t="inlineStr">
        <is>
          <t>Föryngringsavverkning</t>
        </is>
      </c>
      <c r="D70" s="1" t="n">
        <v>44833</v>
      </c>
      <c r="E70" s="1" t="n">
        <v>46218</v>
      </c>
      <c r="F70" t="inlineStr">
        <is>
          <t>NORRBOTTENS LÄN</t>
        </is>
      </c>
      <c r="G70" t="inlineStr">
        <is>
          <t>ÖVERTORNEÅ</t>
        </is>
      </c>
      <c r="I70" t="n">
        <v>1.3</v>
      </c>
      <c r="J70" t="n">
        <v>0</v>
      </c>
      <c r="K70" t="n">
        <v>0</v>
      </c>
      <c r="L70" t="n">
        <v>0</v>
      </c>
      <c r="M70" t="n">
        <v>0</v>
      </c>
      <c r="N70" t="n">
        <v>0</v>
      </c>
      <c r="O70" t="n">
        <v>0</v>
      </c>
      <c r="P70" t="n">
        <v>0</v>
      </c>
      <c r="Q70" t="n">
        <v>0</v>
      </c>
      <c r="R70" t="n">
        <v>0</v>
      </c>
      <c r="S70" t="n">
        <v>0</v>
      </c>
      <c r="T70" t="n">
        <v>0</v>
      </c>
      <c r="U70" s="2" t="inlineStr"/>
    </row>
    <row r="71" ht="15" customHeight="1">
      <c r="A71" t="inlineStr">
        <is>
          <t>A 18698-2022</t>
        </is>
      </c>
      <c r="B71" t="inlineStr">
        <is>
          <t>avverkningsanmälan</t>
        </is>
      </c>
      <c r="C71" t="inlineStr">
        <is>
          <t>Föryngringsavverkning</t>
        </is>
      </c>
      <c r="D71" s="1" t="n">
        <v>44687</v>
      </c>
      <c r="E71" s="1" t="n">
        <v>46218</v>
      </c>
      <c r="F71" t="inlineStr">
        <is>
          <t>NORRBOTTENS LÄN</t>
        </is>
      </c>
      <c r="G71" t="inlineStr">
        <is>
          <t>ÖVERTORNEÅ</t>
        </is>
      </c>
      <c r="I71" t="n">
        <v>2.4</v>
      </c>
      <c r="J71" t="n">
        <v>0</v>
      </c>
      <c r="K71" t="n">
        <v>0</v>
      </c>
      <c r="L71" t="n">
        <v>0</v>
      </c>
      <c r="M71" t="n">
        <v>0</v>
      </c>
      <c r="N71" t="n">
        <v>0</v>
      </c>
      <c r="O71" t="n">
        <v>0</v>
      </c>
      <c r="P71" t="n">
        <v>0</v>
      </c>
      <c r="Q71" t="n">
        <v>0</v>
      </c>
      <c r="R71" t="n">
        <v>0</v>
      </c>
      <c r="S71" t="n">
        <v>0</v>
      </c>
      <c r="T71" t="n">
        <v>0</v>
      </c>
      <c r="U71" s="2" t="inlineStr"/>
    </row>
    <row r="72" ht="15" customHeight="1">
      <c r="A72" t="inlineStr">
        <is>
          <t>A 15500-2022</t>
        </is>
      </c>
      <c r="B72" t="inlineStr">
        <is>
          <t>avverkningsanmälan</t>
        </is>
      </c>
      <c r="C72" t="inlineStr">
        <is>
          <t>Föryngringsavverkning</t>
        </is>
      </c>
      <c r="D72" s="1" t="n">
        <v>44662</v>
      </c>
      <c r="E72" s="1" t="n">
        <v>46218</v>
      </c>
      <c r="F72" t="inlineStr">
        <is>
          <t>NORRBOTTENS LÄN</t>
        </is>
      </c>
      <c r="G72" t="inlineStr">
        <is>
          <t>ÖVERTORNEÅ</t>
        </is>
      </c>
      <c r="I72" t="n">
        <v>3</v>
      </c>
      <c r="J72" t="n">
        <v>0</v>
      </c>
      <c r="K72" t="n">
        <v>0</v>
      </c>
      <c r="L72" t="n">
        <v>0</v>
      </c>
      <c r="M72" t="n">
        <v>0</v>
      </c>
      <c r="N72" t="n">
        <v>0</v>
      </c>
      <c r="O72" t="n">
        <v>0</v>
      </c>
      <c r="P72" t="n">
        <v>0</v>
      </c>
      <c r="Q72" t="n">
        <v>0</v>
      </c>
      <c r="R72" t="n">
        <v>0</v>
      </c>
      <c r="S72" t="n">
        <v>0</v>
      </c>
      <c r="T72" t="n">
        <v>0</v>
      </c>
      <c r="U72" s="2" t="inlineStr"/>
    </row>
    <row r="73" ht="15" customHeight="1">
      <c r="A73" t="inlineStr">
        <is>
          <t>A 3416-2022</t>
        </is>
      </c>
      <c r="B73" t="inlineStr">
        <is>
          <t>avverkningsanmälan</t>
        </is>
      </c>
      <c r="C73" t="inlineStr">
        <is>
          <t>Avverkning för annat ändamål</t>
        </is>
      </c>
      <c r="D73" s="1" t="n">
        <v>44585</v>
      </c>
      <c r="E73" s="1" t="n">
        <v>46218</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s="2" t="inlineStr"/>
    </row>
    <row r="74" ht="15" customHeight="1">
      <c r="A74" t="inlineStr">
        <is>
          <t>A 19358-2022</t>
        </is>
      </c>
      <c r="B74" t="inlineStr">
        <is>
          <t>avverkningsanmälan</t>
        </is>
      </c>
      <c r="C74" t="inlineStr">
        <is>
          <t>Avverkning för annat ändamål</t>
        </is>
      </c>
      <c r="D74" s="1" t="n">
        <v>44692</v>
      </c>
      <c r="E74" s="1" t="n">
        <v>46218</v>
      </c>
      <c r="F74" t="inlineStr">
        <is>
          <t>NORRBOTTENS LÄN</t>
        </is>
      </c>
      <c r="G74" t="inlineStr">
        <is>
          <t>ÖVERTORNEÅ</t>
        </is>
      </c>
      <c r="H74" t="inlineStr">
        <is>
          <t>Sveaskog</t>
        </is>
      </c>
      <c r="I74" t="n">
        <v>2.4</v>
      </c>
      <c r="J74" t="n">
        <v>0</v>
      </c>
      <c r="K74" t="n">
        <v>0</v>
      </c>
      <c r="L74" t="n">
        <v>0</v>
      </c>
      <c r="M74" t="n">
        <v>0</v>
      </c>
      <c r="N74" t="n">
        <v>0</v>
      </c>
      <c r="O74" t="n">
        <v>0</v>
      </c>
      <c r="P74" t="n">
        <v>0</v>
      </c>
      <c r="Q74" t="n">
        <v>0</v>
      </c>
      <c r="R74" t="n">
        <v>0</v>
      </c>
      <c r="S74" t="n">
        <v>0</v>
      </c>
      <c r="T74" t="n">
        <v>0</v>
      </c>
      <c r="U74" s="2" t="inlineStr"/>
    </row>
    <row r="75" ht="15" customHeight="1">
      <c r="A75" t="inlineStr">
        <is>
          <t>A 2433-2025</t>
        </is>
      </c>
      <c r="B75" t="inlineStr">
        <is>
          <t>avverkningsanmälan</t>
        </is>
      </c>
      <c r="C75" t="inlineStr">
        <is>
          <t>Avverkning för annat ändamål</t>
        </is>
      </c>
      <c r="D75" s="1" t="n">
        <v>45673</v>
      </c>
      <c r="E75" s="1" t="n">
        <v>46218</v>
      </c>
      <c r="F75" t="inlineStr">
        <is>
          <t>NORRBOTTENS LÄN</t>
        </is>
      </c>
      <c r="G75" t="inlineStr">
        <is>
          <t>ÖVERTORNEÅ</t>
        </is>
      </c>
      <c r="I75" t="n">
        <v>9.6</v>
      </c>
      <c r="J75" t="n">
        <v>0</v>
      </c>
      <c r="K75" t="n">
        <v>0</v>
      </c>
      <c r="L75" t="n">
        <v>0</v>
      </c>
      <c r="M75" t="n">
        <v>0</v>
      </c>
      <c r="N75" t="n">
        <v>0</v>
      </c>
      <c r="O75" t="n">
        <v>0</v>
      </c>
      <c r="P75" t="n">
        <v>0</v>
      </c>
      <c r="Q75" t="n">
        <v>0</v>
      </c>
      <c r="R75" t="n">
        <v>0</v>
      </c>
      <c r="S75" t="n">
        <v>0</v>
      </c>
      <c r="T75" t="n">
        <v>0</v>
      </c>
      <c r="U75" s="2" t="inlineStr"/>
    </row>
    <row r="76" ht="15" customHeight="1">
      <c r="A76" t="inlineStr">
        <is>
          <t>A 1092-2022</t>
        </is>
      </c>
      <c r="B76" t="inlineStr">
        <is>
          <t>avverkningsanmälan</t>
        </is>
      </c>
      <c r="C76" t="inlineStr">
        <is>
          <t>Föryngringsavverkning</t>
        </is>
      </c>
      <c r="D76" s="1" t="n">
        <v>44571</v>
      </c>
      <c r="E76" s="1" t="n">
        <v>46218</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s="2" t="inlineStr"/>
    </row>
    <row r="77" ht="15" customHeight="1">
      <c r="A77" t="inlineStr">
        <is>
          <t>A 74158-2021</t>
        </is>
      </c>
      <c r="B77" t="inlineStr">
        <is>
          <t>avverkningsanmälan</t>
        </is>
      </c>
      <c r="C77" t="inlineStr">
        <is>
          <t>Avverkning för annat ändamål</t>
        </is>
      </c>
      <c r="D77" s="1" t="n">
        <v>44557</v>
      </c>
      <c r="E77" s="1" t="n">
        <v>46218</v>
      </c>
      <c r="F77" t="inlineStr">
        <is>
          <t>NORRBOTTENS LÄN</t>
        </is>
      </c>
      <c r="G77" t="inlineStr">
        <is>
          <t>ÖVERTORNEÅ</t>
        </is>
      </c>
      <c r="I77" t="n">
        <v>2.2</v>
      </c>
      <c r="J77" t="n">
        <v>0</v>
      </c>
      <c r="K77" t="n">
        <v>0</v>
      </c>
      <c r="L77" t="n">
        <v>0</v>
      </c>
      <c r="M77" t="n">
        <v>0</v>
      </c>
      <c r="N77" t="n">
        <v>0</v>
      </c>
      <c r="O77" t="n">
        <v>0</v>
      </c>
      <c r="P77" t="n">
        <v>0</v>
      </c>
      <c r="Q77" t="n">
        <v>0</v>
      </c>
      <c r="R77" t="n">
        <v>0</v>
      </c>
      <c r="S77" t="n">
        <v>0</v>
      </c>
      <c r="T77" t="n">
        <v>0</v>
      </c>
      <c r="U77" s="2" t="inlineStr"/>
    </row>
    <row r="78" ht="15" customHeight="1">
      <c r="A78" t="inlineStr">
        <is>
          <t>A 26142-2024</t>
        </is>
      </c>
      <c r="B78" t="inlineStr">
        <is>
          <t>avverkningsanmälan</t>
        </is>
      </c>
      <c r="C78" t="inlineStr">
        <is>
          <t>Föryngringsavverkning</t>
        </is>
      </c>
      <c r="D78" s="1" t="n">
        <v>45467</v>
      </c>
      <c r="E78" s="1" t="n">
        <v>46218</v>
      </c>
      <c r="F78" t="inlineStr">
        <is>
          <t>NORRBOTTENS LÄN</t>
        </is>
      </c>
      <c r="G78" t="inlineStr">
        <is>
          <t>ÖVERTORNEÅ</t>
        </is>
      </c>
      <c r="I78" t="n">
        <v>4.5</v>
      </c>
      <c r="J78" t="n">
        <v>0</v>
      </c>
      <c r="K78" t="n">
        <v>0</v>
      </c>
      <c r="L78" t="n">
        <v>0</v>
      </c>
      <c r="M78" t="n">
        <v>0</v>
      </c>
      <c r="N78" t="n">
        <v>0</v>
      </c>
      <c r="O78" t="n">
        <v>0</v>
      </c>
      <c r="P78" t="n">
        <v>0</v>
      </c>
      <c r="Q78" t="n">
        <v>0</v>
      </c>
      <c r="R78" t="n">
        <v>0</v>
      </c>
      <c r="S78" t="n">
        <v>0</v>
      </c>
      <c r="T78" t="n">
        <v>0</v>
      </c>
      <c r="U78" s="2" t="inlineStr"/>
    </row>
    <row r="79" ht="15" customHeight="1">
      <c r="A79" t="inlineStr">
        <is>
          <t>A 54029-2023</t>
        </is>
      </c>
      <c r="B79" t="inlineStr">
        <is>
          <t>avverkningsanmälan</t>
        </is>
      </c>
      <c r="C79" t="inlineStr">
        <is>
          <t>Föryngringsavverkning</t>
        </is>
      </c>
      <c r="D79" s="1" t="n">
        <v>45231</v>
      </c>
      <c r="E79" s="1" t="n">
        <v>46218</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s="2" t="inlineStr"/>
    </row>
    <row r="80" ht="15" customHeight="1">
      <c r="A80" t="inlineStr">
        <is>
          <t>A 73605-2021</t>
        </is>
      </c>
      <c r="B80" t="inlineStr">
        <is>
          <t>avverkningsanmälan</t>
        </is>
      </c>
      <c r="C80" t="inlineStr">
        <is>
          <t>Föryngringsavverkning</t>
        </is>
      </c>
      <c r="D80" s="1" t="n">
        <v>44551</v>
      </c>
      <c r="E80" s="1" t="n">
        <v>46218</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s="2" t="inlineStr"/>
    </row>
    <row r="81" ht="15" customHeight="1">
      <c r="A81" t="inlineStr">
        <is>
          <t>A 34875-2022</t>
        </is>
      </c>
      <c r="B81" t="inlineStr">
        <is>
          <t>avverkningsanmälan</t>
        </is>
      </c>
      <c r="C81" t="inlineStr">
        <is>
          <t>Avverkning för annat ändamål</t>
        </is>
      </c>
      <c r="D81" s="1" t="n">
        <v>44796</v>
      </c>
      <c r="E81" s="1" t="n">
        <v>46218</v>
      </c>
      <c r="F81" t="inlineStr">
        <is>
          <t>NORRBOTTENS LÄN</t>
        </is>
      </c>
      <c r="G81" t="inlineStr">
        <is>
          <t>ÖVERTORNEÅ</t>
        </is>
      </c>
      <c r="I81" t="n">
        <v>1.4</v>
      </c>
      <c r="J81" t="n">
        <v>0</v>
      </c>
      <c r="K81" t="n">
        <v>0</v>
      </c>
      <c r="L81" t="n">
        <v>0</v>
      </c>
      <c r="M81" t="n">
        <v>0</v>
      </c>
      <c r="N81" t="n">
        <v>0</v>
      </c>
      <c r="O81" t="n">
        <v>0</v>
      </c>
      <c r="P81" t="n">
        <v>0</v>
      </c>
      <c r="Q81" t="n">
        <v>0</v>
      </c>
      <c r="R81" t="n">
        <v>0</v>
      </c>
      <c r="S81" t="n">
        <v>0</v>
      </c>
      <c r="T81" t="n">
        <v>0</v>
      </c>
      <c r="U81" s="2" t="inlineStr"/>
    </row>
    <row r="82" ht="15" customHeight="1">
      <c r="A82" t="inlineStr">
        <is>
          <t>A 38974-2025</t>
        </is>
      </c>
      <c r="B82" t="inlineStr">
        <is>
          <t>avverkningsanmälan</t>
        </is>
      </c>
      <c r="C82" t="inlineStr">
        <is>
          <t>Föryngringsavverkning</t>
        </is>
      </c>
      <c r="D82" s="1" t="n">
        <v>45887</v>
      </c>
      <c r="E82" s="1" t="n">
        <v>46218</v>
      </c>
      <c r="F82" t="inlineStr">
        <is>
          <t>NORRBOTTENS LÄN</t>
        </is>
      </c>
      <c r="G82" t="inlineStr">
        <is>
          <t>ÖVERTORNEÅ</t>
        </is>
      </c>
      <c r="I82" t="n">
        <v>2.3</v>
      </c>
      <c r="J82" t="n">
        <v>0</v>
      </c>
      <c r="K82" t="n">
        <v>0</v>
      </c>
      <c r="L82" t="n">
        <v>0</v>
      </c>
      <c r="M82" t="n">
        <v>0</v>
      </c>
      <c r="N82" t="n">
        <v>0</v>
      </c>
      <c r="O82" t="n">
        <v>0</v>
      </c>
      <c r="P82" t="n">
        <v>0</v>
      </c>
      <c r="Q82" t="n">
        <v>0</v>
      </c>
      <c r="R82" t="n">
        <v>0</v>
      </c>
      <c r="S82" t="n">
        <v>0</v>
      </c>
      <c r="T82" t="n">
        <v>0</v>
      </c>
      <c r="U82" s="2" t="inlineStr"/>
    </row>
    <row r="83" ht="15" customHeight="1">
      <c r="A83" t="inlineStr">
        <is>
          <t>A 62390-2022</t>
        </is>
      </c>
      <c r="B83" t="inlineStr">
        <is>
          <t>avverkningsanmälan</t>
        </is>
      </c>
      <c r="C83" t="inlineStr">
        <is>
          <t>Föryngringsavverkning</t>
        </is>
      </c>
      <c r="D83" s="1" t="n">
        <v>44923</v>
      </c>
      <c r="E83" s="1" t="n">
        <v>46218</v>
      </c>
      <c r="F83" t="inlineStr">
        <is>
          <t>NORRBOTTENS LÄN</t>
        </is>
      </c>
      <c r="G83" t="inlineStr">
        <is>
          <t>ÖVERTORNEÅ</t>
        </is>
      </c>
      <c r="I83" t="n">
        <v>4.2</v>
      </c>
      <c r="J83" t="n">
        <v>0</v>
      </c>
      <c r="K83" t="n">
        <v>0</v>
      </c>
      <c r="L83" t="n">
        <v>0</v>
      </c>
      <c r="M83" t="n">
        <v>0</v>
      </c>
      <c r="N83" t="n">
        <v>0</v>
      </c>
      <c r="O83" t="n">
        <v>0</v>
      </c>
      <c r="P83" t="n">
        <v>0</v>
      </c>
      <c r="Q83" t="n">
        <v>0</v>
      </c>
      <c r="R83" t="n">
        <v>0</v>
      </c>
      <c r="S83" t="n">
        <v>0</v>
      </c>
      <c r="T83" t="n">
        <v>0</v>
      </c>
      <c r="U83" s="2" t="inlineStr"/>
    </row>
    <row r="84" ht="15" customHeight="1">
      <c r="A84" t="inlineStr">
        <is>
          <t>A 53077-2023</t>
        </is>
      </c>
      <c r="B84" t="inlineStr">
        <is>
          <t>avverkningsanmälan</t>
        </is>
      </c>
      <c r="C84" t="inlineStr">
        <is>
          <t>Föryngringsavverkning</t>
        </is>
      </c>
      <c r="D84" s="1" t="n">
        <v>45227</v>
      </c>
      <c r="E84" s="1" t="n">
        <v>46218</v>
      </c>
      <c r="F84" t="inlineStr">
        <is>
          <t>NORRBOTTENS LÄN</t>
        </is>
      </c>
      <c r="G84" t="inlineStr">
        <is>
          <t>ÖVERTORNEÅ</t>
        </is>
      </c>
      <c r="I84" t="n">
        <v>2.1</v>
      </c>
      <c r="J84" t="n">
        <v>0</v>
      </c>
      <c r="K84" t="n">
        <v>0</v>
      </c>
      <c r="L84" t="n">
        <v>0</v>
      </c>
      <c r="M84" t="n">
        <v>0</v>
      </c>
      <c r="N84" t="n">
        <v>0</v>
      </c>
      <c r="O84" t="n">
        <v>0</v>
      </c>
      <c r="P84" t="n">
        <v>0</v>
      </c>
      <c r="Q84" t="n">
        <v>0</v>
      </c>
      <c r="R84" t="n">
        <v>0</v>
      </c>
      <c r="S84" t="n">
        <v>0</v>
      </c>
      <c r="T84" t="n">
        <v>0</v>
      </c>
      <c r="U84" s="2" t="inlineStr"/>
    </row>
    <row r="85" ht="15" customHeight="1">
      <c r="A85" t="inlineStr">
        <is>
          <t>A 35218-2022</t>
        </is>
      </c>
      <c r="B85" t="inlineStr">
        <is>
          <t>avverkningsanmälan</t>
        </is>
      </c>
      <c r="C85" t="inlineStr">
        <is>
          <t>Föryngringsavverkning</t>
        </is>
      </c>
      <c r="D85" s="1" t="n">
        <v>44797</v>
      </c>
      <c r="E85" s="1" t="n">
        <v>46218</v>
      </c>
      <c r="F85" t="inlineStr">
        <is>
          <t>NORRBOTTENS LÄN</t>
        </is>
      </c>
      <c r="G85" t="inlineStr">
        <is>
          <t>ÖVERTORNEÅ</t>
        </is>
      </c>
      <c r="I85" t="n">
        <v>1.2</v>
      </c>
      <c r="J85" t="n">
        <v>0</v>
      </c>
      <c r="K85" t="n">
        <v>0</v>
      </c>
      <c r="L85" t="n">
        <v>0</v>
      </c>
      <c r="M85" t="n">
        <v>0</v>
      </c>
      <c r="N85" t="n">
        <v>0</v>
      </c>
      <c r="O85" t="n">
        <v>0</v>
      </c>
      <c r="P85" t="n">
        <v>0</v>
      </c>
      <c r="Q85" t="n">
        <v>0</v>
      </c>
      <c r="R85" t="n">
        <v>0</v>
      </c>
      <c r="S85" t="n">
        <v>0</v>
      </c>
      <c r="T85" t="n">
        <v>0</v>
      </c>
      <c r="U85" s="2" t="inlineStr"/>
    </row>
    <row r="86" ht="15" customHeight="1">
      <c r="A86" t="inlineStr">
        <is>
          <t>A 34145-2023</t>
        </is>
      </c>
      <c r="B86" t="inlineStr">
        <is>
          <t>avverkningsanmälan</t>
        </is>
      </c>
      <c r="C86" t="inlineStr">
        <is>
          <t>Avverkning för annat ändamål</t>
        </is>
      </c>
      <c r="D86" s="1" t="n">
        <v>45136</v>
      </c>
      <c r="E86" s="1" t="n">
        <v>46218</v>
      </c>
      <c r="F86" t="inlineStr">
        <is>
          <t>NORRBOTTENS LÄN</t>
        </is>
      </c>
      <c r="G86" t="inlineStr">
        <is>
          <t>ÖVERTORNEÅ</t>
        </is>
      </c>
      <c r="I86" t="n">
        <v>0.2</v>
      </c>
      <c r="J86" t="n">
        <v>0</v>
      </c>
      <c r="K86" t="n">
        <v>0</v>
      </c>
      <c r="L86" t="n">
        <v>0</v>
      </c>
      <c r="M86" t="n">
        <v>0</v>
      </c>
      <c r="N86" t="n">
        <v>0</v>
      </c>
      <c r="O86" t="n">
        <v>0</v>
      </c>
      <c r="P86" t="n">
        <v>0</v>
      </c>
      <c r="Q86" t="n">
        <v>0</v>
      </c>
      <c r="R86" t="n">
        <v>0</v>
      </c>
      <c r="S86" t="n">
        <v>0</v>
      </c>
      <c r="T86" t="n">
        <v>0</v>
      </c>
      <c r="U86" s="2" t="inlineStr"/>
    </row>
    <row r="87" ht="15" customHeight="1">
      <c r="A87" t="inlineStr">
        <is>
          <t>A 24644-2024</t>
        </is>
      </c>
      <c r="B87" t="inlineStr">
        <is>
          <t>avverkningsanmälan</t>
        </is>
      </c>
      <c r="C87" t="inlineStr">
        <is>
          <t>Föryngringsavverkning</t>
        </is>
      </c>
      <c r="D87" s="1" t="n">
        <v>45460</v>
      </c>
      <c r="E87" s="1" t="n">
        <v>46218</v>
      </c>
      <c r="F87" t="inlineStr">
        <is>
          <t>NORRBOTTENS LÄN</t>
        </is>
      </c>
      <c r="G87" t="inlineStr">
        <is>
          <t>ÖVERTORNEÅ</t>
        </is>
      </c>
      <c r="H87" t="inlineStr">
        <is>
          <t>Sveaskog</t>
        </is>
      </c>
      <c r="I87" t="n">
        <v>5.4</v>
      </c>
      <c r="J87" t="n">
        <v>0</v>
      </c>
      <c r="K87" t="n">
        <v>0</v>
      </c>
      <c r="L87" t="n">
        <v>0</v>
      </c>
      <c r="M87" t="n">
        <v>0</v>
      </c>
      <c r="N87" t="n">
        <v>0</v>
      </c>
      <c r="O87" t="n">
        <v>0</v>
      </c>
      <c r="P87" t="n">
        <v>0</v>
      </c>
      <c r="Q87" t="n">
        <v>0</v>
      </c>
      <c r="R87" t="n">
        <v>0</v>
      </c>
      <c r="S87" t="n">
        <v>0</v>
      </c>
      <c r="T87" t="n">
        <v>0</v>
      </c>
      <c r="U87" s="2" t="inlineStr"/>
    </row>
    <row r="88" ht="15" customHeight="1">
      <c r="A88" t="inlineStr">
        <is>
          <t>A 45431-2024</t>
        </is>
      </c>
      <c r="B88" t="inlineStr">
        <is>
          <t>avverkningsanmälan</t>
        </is>
      </c>
      <c r="C88" t="inlineStr">
        <is>
          <t>Föryngringsavverkning</t>
        </is>
      </c>
      <c r="D88" s="1" t="n">
        <v>45576</v>
      </c>
      <c r="E88" s="1" t="n">
        <v>46218</v>
      </c>
      <c r="F88" t="inlineStr">
        <is>
          <t>NORRBOTTENS LÄN</t>
        </is>
      </c>
      <c r="G88" t="inlineStr">
        <is>
          <t>ÖVERTORNEÅ</t>
        </is>
      </c>
      <c r="H88" t="inlineStr">
        <is>
          <t>Sveaskog</t>
        </is>
      </c>
      <c r="I88" t="n">
        <v>21</v>
      </c>
      <c r="J88" t="n">
        <v>0</v>
      </c>
      <c r="K88" t="n">
        <v>0</v>
      </c>
      <c r="L88" t="n">
        <v>0</v>
      </c>
      <c r="M88" t="n">
        <v>0</v>
      </c>
      <c r="N88" t="n">
        <v>0</v>
      </c>
      <c r="O88" t="n">
        <v>0</v>
      </c>
      <c r="P88" t="n">
        <v>0</v>
      </c>
      <c r="Q88" t="n">
        <v>0</v>
      </c>
      <c r="R88" t="n">
        <v>0</v>
      </c>
      <c r="S88" t="n">
        <v>0</v>
      </c>
      <c r="T88" t="n">
        <v>0</v>
      </c>
      <c r="U88" s="2" t="inlineStr"/>
    </row>
    <row r="89" ht="15" customHeight="1">
      <c r="A89" t="inlineStr">
        <is>
          <t>A 38969-2025</t>
        </is>
      </c>
      <c r="B89" t="inlineStr">
        <is>
          <t>avverkningsanmälan</t>
        </is>
      </c>
      <c r="C89" t="inlineStr">
        <is>
          <t>Föryngringsavverkning</t>
        </is>
      </c>
      <c r="D89" s="1" t="n">
        <v>45887</v>
      </c>
      <c r="E89" s="1" t="n">
        <v>46218</v>
      </c>
      <c r="F89" t="inlineStr">
        <is>
          <t>NORRBOTTENS LÄN</t>
        </is>
      </c>
      <c r="G89" t="inlineStr">
        <is>
          <t>ÖVERTORNEÅ</t>
        </is>
      </c>
      <c r="I89" t="n">
        <v>43</v>
      </c>
      <c r="J89" t="n">
        <v>0</v>
      </c>
      <c r="K89" t="n">
        <v>0</v>
      </c>
      <c r="L89" t="n">
        <v>0</v>
      </c>
      <c r="M89" t="n">
        <v>0</v>
      </c>
      <c r="N89" t="n">
        <v>0</v>
      </c>
      <c r="O89" t="n">
        <v>0</v>
      </c>
      <c r="P89" t="n">
        <v>0</v>
      </c>
      <c r="Q89" t="n">
        <v>0</v>
      </c>
      <c r="R89" t="n">
        <v>0</v>
      </c>
      <c r="S89" t="n">
        <v>0</v>
      </c>
      <c r="T89" t="n">
        <v>0</v>
      </c>
      <c r="U89" s="2" t="inlineStr"/>
    </row>
    <row r="90" ht="15" customHeight="1">
      <c r="A90" t="inlineStr">
        <is>
          <t>A 26299-2024</t>
        </is>
      </c>
      <c r="B90" t="inlineStr">
        <is>
          <t>avverkningsanmälan</t>
        </is>
      </c>
      <c r="C90" t="inlineStr">
        <is>
          <t>Föryngringsavverkning</t>
        </is>
      </c>
      <c r="D90" s="1" t="n">
        <v>45468</v>
      </c>
      <c r="E90" s="1" t="n">
        <v>46218</v>
      </c>
      <c r="F90" t="inlineStr">
        <is>
          <t>NORRBOTTENS LÄN</t>
        </is>
      </c>
      <c r="G90" t="inlineStr">
        <is>
          <t>ÖVERTORNEÅ</t>
        </is>
      </c>
      <c r="I90" t="n">
        <v>0.5</v>
      </c>
      <c r="J90" t="n">
        <v>0</v>
      </c>
      <c r="K90" t="n">
        <v>0</v>
      </c>
      <c r="L90" t="n">
        <v>0</v>
      </c>
      <c r="M90" t="n">
        <v>0</v>
      </c>
      <c r="N90" t="n">
        <v>0</v>
      </c>
      <c r="O90" t="n">
        <v>0</v>
      </c>
      <c r="P90" t="n">
        <v>0</v>
      </c>
      <c r="Q90" t="n">
        <v>0</v>
      </c>
      <c r="R90" t="n">
        <v>0</v>
      </c>
      <c r="S90" t="n">
        <v>0</v>
      </c>
      <c r="T90" t="n">
        <v>0</v>
      </c>
      <c r="U90" s="2" t="inlineStr"/>
    </row>
    <row r="91" ht="15" customHeight="1">
      <c r="A91" t="inlineStr">
        <is>
          <t>A 20175-2025</t>
        </is>
      </c>
      <c r="B91" t="inlineStr">
        <is>
          <t>avverkningsanmälan</t>
        </is>
      </c>
      <c r="C91" t="inlineStr">
        <is>
          <t>Avverkning för annat ändamål</t>
        </is>
      </c>
      <c r="D91" s="1" t="n">
        <v>45772</v>
      </c>
      <c r="E91" s="1" t="n">
        <v>46218</v>
      </c>
      <c r="F91" t="inlineStr">
        <is>
          <t>NORRBOTTENS LÄN</t>
        </is>
      </c>
      <c r="G91" t="inlineStr">
        <is>
          <t>ÖVERTORNEÅ</t>
        </is>
      </c>
      <c r="I91" t="n">
        <v>1.5</v>
      </c>
      <c r="J91" t="n">
        <v>0</v>
      </c>
      <c r="K91" t="n">
        <v>0</v>
      </c>
      <c r="L91" t="n">
        <v>0</v>
      </c>
      <c r="M91" t="n">
        <v>0</v>
      </c>
      <c r="N91" t="n">
        <v>0</v>
      </c>
      <c r="O91" t="n">
        <v>0</v>
      </c>
      <c r="P91" t="n">
        <v>0</v>
      </c>
      <c r="Q91" t="n">
        <v>0</v>
      </c>
      <c r="R91" t="n">
        <v>0</v>
      </c>
      <c r="S91" t="n">
        <v>0</v>
      </c>
      <c r="T91" t="n">
        <v>0</v>
      </c>
      <c r="U91" s="2" t="inlineStr"/>
    </row>
    <row r="92" ht="15" customHeight="1">
      <c r="A92" t="inlineStr">
        <is>
          <t>A 49157-2022</t>
        </is>
      </c>
      <c r="B92" t="inlineStr">
        <is>
          <t>avverkningsanmälan</t>
        </is>
      </c>
      <c r="C92" t="inlineStr">
        <is>
          <t>Föryngringsavverkning</t>
        </is>
      </c>
      <c r="D92" s="1" t="n">
        <v>44860</v>
      </c>
      <c r="E92" s="1" t="n">
        <v>46218</v>
      </c>
      <c r="F92" t="inlineStr">
        <is>
          <t>NORRBOTTENS LÄN</t>
        </is>
      </c>
      <c r="G92" t="inlineStr">
        <is>
          <t>ÖVERTORNEÅ</t>
        </is>
      </c>
      <c r="I92" t="n">
        <v>5.6</v>
      </c>
      <c r="J92" t="n">
        <v>0</v>
      </c>
      <c r="K92" t="n">
        <v>0</v>
      </c>
      <c r="L92" t="n">
        <v>0</v>
      </c>
      <c r="M92" t="n">
        <v>0</v>
      </c>
      <c r="N92" t="n">
        <v>0</v>
      </c>
      <c r="O92" t="n">
        <v>0</v>
      </c>
      <c r="P92" t="n">
        <v>0</v>
      </c>
      <c r="Q92" t="n">
        <v>0</v>
      </c>
      <c r="R92" t="n">
        <v>0</v>
      </c>
      <c r="S92" t="n">
        <v>0</v>
      </c>
      <c r="T92" t="n">
        <v>0</v>
      </c>
      <c r="U92" s="2" t="inlineStr"/>
    </row>
    <row r="93" ht="15" customHeight="1">
      <c r="A93" t="inlineStr">
        <is>
          <t>A 23055-2024</t>
        </is>
      </c>
      <c r="B93" t="inlineStr">
        <is>
          <t>avverkningsanmälan</t>
        </is>
      </c>
      <c r="C93" t="inlineStr">
        <is>
          <t>Föryngringsavverkning</t>
        </is>
      </c>
      <c r="D93" s="1" t="n">
        <v>45449</v>
      </c>
      <c r="E93" s="1" t="n">
        <v>46218</v>
      </c>
      <c r="F93" t="inlineStr">
        <is>
          <t>NORRBOTTENS LÄN</t>
        </is>
      </c>
      <c r="G93" t="inlineStr">
        <is>
          <t>ÖVERTORNEÅ</t>
        </is>
      </c>
      <c r="I93" t="n">
        <v>4.2</v>
      </c>
      <c r="J93" t="n">
        <v>0</v>
      </c>
      <c r="K93" t="n">
        <v>0</v>
      </c>
      <c r="L93" t="n">
        <v>0</v>
      </c>
      <c r="M93" t="n">
        <v>0</v>
      </c>
      <c r="N93" t="n">
        <v>0</v>
      </c>
      <c r="O93" t="n">
        <v>0</v>
      </c>
      <c r="P93" t="n">
        <v>0</v>
      </c>
      <c r="Q93" t="n">
        <v>0</v>
      </c>
      <c r="R93" t="n">
        <v>0</v>
      </c>
      <c r="S93" t="n">
        <v>0</v>
      </c>
      <c r="T93" t="n">
        <v>0</v>
      </c>
      <c r="U93" s="2" t="inlineStr"/>
    </row>
    <row r="94" ht="15" customHeight="1">
      <c r="A94" t="inlineStr">
        <is>
          <t>A 36057-2023</t>
        </is>
      </c>
      <c r="B94" t="inlineStr">
        <is>
          <t>avverkningsanmälan</t>
        </is>
      </c>
      <c r="C94" t="inlineStr">
        <is>
          <t>Föryngringsavverkning</t>
        </is>
      </c>
      <c r="D94" s="1" t="n">
        <v>45149</v>
      </c>
      <c r="E94" s="1" t="n">
        <v>46218</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s="2" t="inlineStr"/>
    </row>
    <row r="95" ht="15" customHeight="1">
      <c r="A95" t="inlineStr">
        <is>
          <t>A 58083-2024</t>
        </is>
      </c>
      <c r="B95" t="inlineStr">
        <is>
          <t>avverkningsanmälan</t>
        </is>
      </c>
      <c r="C95" t="inlineStr">
        <is>
          <t>Föryngringsavverkning</t>
        </is>
      </c>
      <c r="D95" s="1" t="n">
        <v>45632</v>
      </c>
      <c r="E95" s="1" t="n">
        <v>46218</v>
      </c>
      <c r="F95" t="inlineStr">
        <is>
          <t>NORRBOTTENS LÄN</t>
        </is>
      </c>
      <c r="G95" t="inlineStr">
        <is>
          <t>ÖVERTORNEÅ</t>
        </is>
      </c>
      <c r="I95" t="n">
        <v>13.2</v>
      </c>
      <c r="J95" t="n">
        <v>0</v>
      </c>
      <c r="K95" t="n">
        <v>0</v>
      </c>
      <c r="L95" t="n">
        <v>0</v>
      </c>
      <c r="M95" t="n">
        <v>0</v>
      </c>
      <c r="N95" t="n">
        <v>0</v>
      </c>
      <c r="O95" t="n">
        <v>0</v>
      </c>
      <c r="P95" t="n">
        <v>0</v>
      </c>
      <c r="Q95" t="n">
        <v>0</v>
      </c>
      <c r="R95" t="n">
        <v>0</v>
      </c>
      <c r="S95" t="n">
        <v>0</v>
      </c>
      <c r="T95" t="n">
        <v>0</v>
      </c>
      <c r="U95" s="2" t="inlineStr"/>
    </row>
    <row r="96" ht="15" customHeight="1">
      <c r="A96" t="inlineStr">
        <is>
          <t>A 40274-2024</t>
        </is>
      </c>
      <c r="B96" t="inlineStr">
        <is>
          <t>avverkningsanmälan</t>
        </is>
      </c>
      <c r="C96" t="inlineStr">
        <is>
          <t>Föryngringsavverkning</t>
        </is>
      </c>
      <c r="D96" s="1" t="n">
        <v>45554</v>
      </c>
      <c r="E96" s="1" t="n">
        <v>46218</v>
      </c>
      <c r="F96" t="inlineStr">
        <is>
          <t>NORRBOTTENS LÄN</t>
        </is>
      </c>
      <c r="G96" t="inlineStr">
        <is>
          <t>ÖVERTORNEÅ</t>
        </is>
      </c>
      <c r="I96" t="n">
        <v>5.4</v>
      </c>
      <c r="J96" t="n">
        <v>0</v>
      </c>
      <c r="K96" t="n">
        <v>0</v>
      </c>
      <c r="L96" t="n">
        <v>0</v>
      </c>
      <c r="M96" t="n">
        <v>0</v>
      </c>
      <c r="N96" t="n">
        <v>0</v>
      </c>
      <c r="O96" t="n">
        <v>0</v>
      </c>
      <c r="P96" t="n">
        <v>0</v>
      </c>
      <c r="Q96" t="n">
        <v>0</v>
      </c>
      <c r="R96" t="n">
        <v>0</v>
      </c>
      <c r="S96" t="n">
        <v>0</v>
      </c>
      <c r="T96" t="n">
        <v>0</v>
      </c>
      <c r="U96" s="2" t="inlineStr"/>
    </row>
    <row r="97" ht="15" customHeight="1">
      <c r="A97" t="inlineStr">
        <is>
          <t>A 33323-2023</t>
        </is>
      </c>
      <c r="B97" t="inlineStr">
        <is>
          <t>avverkningsanmälan</t>
        </is>
      </c>
      <c r="C97" t="inlineStr">
        <is>
          <t>Föryngringsavverkning</t>
        </is>
      </c>
      <c r="D97" s="1" t="n">
        <v>45127</v>
      </c>
      <c r="E97" s="1" t="n">
        <v>46218</v>
      </c>
      <c r="F97" t="inlineStr">
        <is>
          <t>NORRBOTTENS LÄN</t>
        </is>
      </c>
      <c r="G97" t="inlineStr">
        <is>
          <t>ÖVERTORNEÅ</t>
        </is>
      </c>
      <c r="I97" t="n">
        <v>0.9</v>
      </c>
      <c r="J97" t="n">
        <v>0</v>
      </c>
      <c r="K97" t="n">
        <v>0</v>
      </c>
      <c r="L97" t="n">
        <v>0</v>
      </c>
      <c r="M97" t="n">
        <v>0</v>
      </c>
      <c r="N97" t="n">
        <v>0</v>
      </c>
      <c r="O97" t="n">
        <v>0</v>
      </c>
      <c r="P97" t="n">
        <v>0</v>
      </c>
      <c r="Q97" t="n">
        <v>0</v>
      </c>
      <c r="R97" t="n">
        <v>0</v>
      </c>
      <c r="S97" t="n">
        <v>0</v>
      </c>
      <c r="T97" t="n">
        <v>0</v>
      </c>
      <c r="U97" s="2" t="inlineStr"/>
    </row>
    <row r="98" ht="15" customHeight="1">
      <c r="A98" t="inlineStr">
        <is>
          <t>A 14298-2023</t>
        </is>
      </c>
      <c r="B98" t="inlineStr">
        <is>
          <t>avverkningsanmälan</t>
        </is>
      </c>
      <c r="C98" t="inlineStr">
        <is>
          <t>Föryngringsavverkning</t>
        </is>
      </c>
      <c r="D98" s="1" t="n">
        <v>45011</v>
      </c>
      <c r="E98" s="1" t="n">
        <v>46218</v>
      </c>
      <c r="F98" t="inlineStr">
        <is>
          <t>NORRBOTTENS LÄN</t>
        </is>
      </c>
      <c r="G98" t="inlineStr">
        <is>
          <t>ÖVERTORNEÅ</t>
        </is>
      </c>
      <c r="I98" t="n">
        <v>4</v>
      </c>
      <c r="J98" t="n">
        <v>0</v>
      </c>
      <c r="K98" t="n">
        <v>0</v>
      </c>
      <c r="L98" t="n">
        <v>0</v>
      </c>
      <c r="M98" t="n">
        <v>0</v>
      </c>
      <c r="N98" t="n">
        <v>0</v>
      </c>
      <c r="O98" t="n">
        <v>0</v>
      </c>
      <c r="P98" t="n">
        <v>0</v>
      </c>
      <c r="Q98" t="n">
        <v>0</v>
      </c>
      <c r="R98" t="n">
        <v>0</v>
      </c>
      <c r="S98" t="n">
        <v>0</v>
      </c>
      <c r="T98" t="n">
        <v>0</v>
      </c>
      <c r="U98" s="2" t="inlineStr"/>
    </row>
    <row r="99" ht="15" customHeight="1">
      <c r="A99" t="inlineStr">
        <is>
          <t>A 30364-2025</t>
        </is>
      </c>
      <c r="B99" t="inlineStr">
        <is>
          <t>avverkningsanmälan</t>
        </is>
      </c>
      <c r="C99" t="inlineStr">
        <is>
          <t>Föryngringsavverkning</t>
        </is>
      </c>
      <c r="D99" s="1" t="n">
        <v>45827</v>
      </c>
      <c r="E99" s="1" t="n">
        <v>46218</v>
      </c>
      <c r="F99" t="inlineStr">
        <is>
          <t>NORRBOTTENS LÄN</t>
        </is>
      </c>
      <c r="G99" t="inlineStr">
        <is>
          <t>ÖVERTORNEÅ</t>
        </is>
      </c>
      <c r="I99" t="n">
        <v>4.1</v>
      </c>
      <c r="J99" t="n">
        <v>0</v>
      </c>
      <c r="K99" t="n">
        <v>0</v>
      </c>
      <c r="L99" t="n">
        <v>0</v>
      </c>
      <c r="M99" t="n">
        <v>0</v>
      </c>
      <c r="N99" t="n">
        <v>0</v>
      </c>
      <c r="O99" t="n">
        <v>0</v>
      </c>
      <c r="P99" t="n">
        <v>0</v>
      </c>
      <c r="Q99" t="n">
        <v>0</v>
      </c>
      <c r="R99" t="n">
        <v>0</v>
      </c>
      <c r="S99" t="n">
        <v>0</v>
      </c>
      <c r="T99" t="n">
        <v>0</v>
      </c>
      <c r="U99" s="2" t="inlineStr"/>
    </row>
    <row r="100" ht="15" customHeight="1">
      <c r="A100" t="inlineStr">
        <is>
          <t>A 39303-2025</t>
        </is>
      </c>
      <c r="B100" t="inlineStr">
        <is>
          <t>avverkningsanmälan</t>
        </is>
      </c>
      <c r="C100" t="inlineStr">
        <is>
          <t>Föryngringsavverkning</t>
        </is>
      </c>
      <c r="D100" s="1" t="n">
        <v>45889</v>
      </c>
      <c r="E100" s="1" t="n">
        <v>46218</v>
      </c>
      <c r="F100" t="inlineStr">
        <is>
          <t>NORRBOTTENS LÄN</t>
        </is>
      </c>
      <c r="G100" t="inlineStr">
        <is>
          <t>ÖVERTORNEÅ</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26209-2024</t>
        </is>
      </c>
      <c r="B101" t="inlineStr">
        <is>
          <t>avverkningsanmälan</t>
        </is>
      </c>
      <c r="C101" t="inlineStr">
        <is>
          <t>Föryngringsavverkning</t>
        </is>
      </c>
      <c r="D101" s="1" t="n">
        <v>45467</v>
      </c>
      <c r="E101" s="1" t="n">
        <v>46218</v>
      </c>
      <c r="F101" t="inlineStr">
        <is>
          <t>NORRBOTTENS LÄN</t>
        </is>
      </c>
      <c r="G101" t="inlineStr">
        <is>
          <t>ÖVERTORNEÅ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40089-2025</t>
        </is>
      </c>
      <c r="B102" t="inlineStr">
        <is>
          <t>avverkningsanmälan</t>
        </is>
      </c>
      <c r="C102" t="inlineStr">
        <is>
          <t>Föryngringsavverkning</t>
        </is>
      </c>
      <c r="D102" s="1" t="n">
        <v>45894</v>
      </c>
      <c r="E102" s="1" t="n">
        <v>46218</v>
      </c>
      <c r="F102" t="inlineStr">
        <is>
          <t>NORRBOTTENS LÄN</t>
        </is>
      </c>
      <c r="G102" t="inlineStr">
        <is>
          <t>ÖVERTORNEÅ</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40200-2025</t>
        </is>
      </c>
      <c r="B103" t="inlineStr">
        <is>
          <t>avverkningsanmälan</t>
        </is>
      </c>
      <c r="C103" t="inlineStr">
        <is>
          <t>Föryngringsavverkning</t>
        </is>
      </c>
      <c r="D103" s="1" t="n">
        <v>45894</v>
      </c>
      <c r="E103" s="1" t="n">
        <v>46218</v>
      </c>
      <c r="F103" t="inlineStr">
        <is>
          <t>NORRBOTTENS LÄN</t>
        </is>
      </c>
      <c r="G103" t="inlineStr">
        <is>
          <t>ÖVERTORNEÅ</t>
        </is>
      </c>
      <c r="H103" t="inlineStr">
        <is>
          <t>Sveaskog</t>
        </is>
      </c>
      <c r="I103" t="n">
        <v>2.9</v>
      </c>
      <c r="J103" t="n">
        <v>0</v>
      </c>
      <c r="K103" t="n">
        <v>0</v>
      </c>
      <c r="L103" t="n">
        <v>0</v>
      </c>
      <c r="M103" t="n">
        <v>0</v>
      </c>
      <c r="N103" t="n">
        <v>0</v>
      </c>
      <c r="O103" t="n">
        <v>0</v>
      </c>
      <c r="P103" t="n">
        <v>0</v>
      </c>
      <c r="Q103" t="n">
        <v>0</v>
      </c>
      <c r="R103" t="n">
        <v>0</v>
      </c>
      <c r="S103" t="n">
        <v>0</v>
      </c>
      <c r="T103" t="n">
        <v>0</v>
      </c>
      <c r="U103" s="2" t="inlineStr"/>
    </row>
    <row r="104" ht="15" customHeight="1">
      <c r="A104" t="inlineStr">
        <is>
          <t>A 40085-2025</t>
        </is>
      </c>
      <c r="B104" t="inlineStr">
        <is>
          <t>avverkningsanmälan</t>
        </is>
      </c>
      <c r="C104" t="inlineStr">
        <is>
          <t>Föryngringsavverkning</t>
        </is>
      </c>
      <c r="D104" s="1" t="n">
        <v>45894</v>
      </c>
      <c r="E104" s="1" t="n">
        <v>46218</v>
      </c>
      <c r="F104" t="inlineStr">
        <is>
          <t>NORRBOTTENS LÄN</t>
        </is>
      </c>
      <c r="G104" t="inlineStr">
        <is>
          <t>ÖVERTORNEÅ</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40198-2025</t>
        </is>
      </c>
      <c r="B105" t="inlineStr">
        <is>
          <t>avverkningsanmälan</t>
        </is>
      </c>
      <c r="C105" t="inlineStr">
        <is>
          <t>Föryngringsavverkning</t>
        </is>
      </c>
      <c r="D105" s="1" t="n">
        <v>45894</v>
      </c>
      <c r="E105" s="1" t="n">
        <v>46218</v>
      </c>
      <c r="F105" t="inlineStr">
        <is>
          <t>NORRBOTTENS LÄN</t>
        </is>
      </c>
      <c r="G105" t="inlineStr">
        <is>
          <t>ÖVERTORNEÅ</t>
        </is>
      </c>
      <c r="H105" t="inlineStr">
        <is>
          <t>Sveaskog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55556-2024</t>
        </is>
      </c>
      <c r="B106" t="inlineStr">
        <is>
          <t>avverkningsanmälan</t>
        </is>
      </c>
      <c r="C106" t="inlineStr">
        <is>
          <t>Föryngringsavverkning</t>
        </is>
      </c>
      <c r="D106" s="1" t="n">
        <v>45622</v>
      </c>
      <c r="E106" s="1" t="n">
        <v>46218</v>
      </c>
      <c r="F106" t="inlineStr">
        <is>
          <t>NORRBOTTENS LÄN</t>
        </is>
      </c>
      <c r="G106" t="inlineStr">
        <is>
          <t>ÖVERTORNEÅ</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55559-2024</t>
        </is>
      </c>
      <c r="B107" t="inlineStr">
        <is>
          <t>avverkningsanmälan</t>
        </is>
      </c>
      <c r="C107" t="inlineStr">
        <is>
          <t>Föryngringsavverkning</t>
        </is>
      </c>
      <c r="D107" s="1" t="n">
        <v>45622</v>
      </c>
      <c r="E107" s="1" t="n">
        <v>46218</v>
      </c>
      <c r="F107" t="inlineStr">
        <is>
          <t>NORRBOTTENS LÄN</t>
        </is>
      </c>
      <c r="G107" t="inlineStr">
        <is>
          <t>ÖVERTORNEÅ</t>
        </is>
      </c>
      <c r="I107" t="n">
        <v>2.7</v>
      </c>
      <c r="J107" t="n">
        <v>0</v>
      </c>
      <c r="K107" t="n">
        <v>0</v>
      </c>
      <c r="L107" t="n">
        <v>0</v>
      </c>
      <c r="M107" t="n">
        <v>0</v>
      </c>
      <c r="N107" t="n">
        <v>0</v>
      </c>
      <c r="O107" t="n">
        <v>0</v>
      </c>
      <c r="P107" t="n">
        <v>0</v>
      </c>
      <c r="Q107" t="n">
        <v>0</v>
      </c>
      <c r="R107" t="n">
        <v>0</v>
      </c>
      <c r="S107" t="n">
        <v>0</v>
      </c>
      <c r="T107" t="n">
        <v>0</v>
      </c>
      <c r="U107" s="2" t="inlineStr"/>
    </row>
    <row r="108" ht="15" customHeight="1">
      <c r="A108" t="inlineStr">
        <is>
          <t>A 30647-2023</t>
        </is>
      </c>
      <c r="B108" t="inlineStr">
        <is>
          <t>avverkningsanmälan</t>
        </is>
      </c>
      <c r="C108" t="inlineStr">
        <is>
          <t>Föryngringsavverkning</t>
        </is>
      </c>
      <c r="D108" s="1" t="n">
        <v>45112</v>
      </c>
      <c r="E108" s="1" t="n">
        <v>46218</v>
      </c>
      <c r="F108" t="inlineStr">
        <is>
          <t>NORRBOTTENS LÄN</t>
        </is>
      </c>
      <c r="G108" t="inlineStr">
        <is>
          <t>ÖVERTORNEÅ</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4512-2022</t>
        </is>
      </c>
      <c r="B109" t="inlineStr">
        <is>
          <t>avverkningsanmälan</t>
        </is>
      </c>
      <c r="C109" t="inlineStr">
        <is>
          <t>Avverkning för annat ändamål</t>
        </is>
      </c>
      <c r="D109" s="1" t="n">
        <v>44589</v>
      </c>
      <c r="E109" s="1" t="n">
        <v>46218</v>
      </c>
      <c r="F109" t="inlineStr">
        <is>
          <t>NORRBOTTENS LÄN</t>
        </is>
      </c>
      <c r="G109" t="inlineStr">
        <is>
          <t>ÖVERTORNEÅ</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12164-2024</t>
        </is>
      </c>
      <c r="B110" t="inlineStr">
        <is>
          <t>avverkningsanmälan</t>
        </is>
      </c>
      <c r="C110" t="inlineStr">
        <is>
          <t>Föryngringsavverkning</t>
        </is>
      </c>
      <c r="D110" s="1" t="n">
        <v>45377</v>
      </c>
      <c r="E110" s="1" t="n">
        <v>46218</v>
      </c>
      <c r="F110" t="inlineStr">
        <is>
          <t>NORRBOTTENS LÄN</t>
        </is>
      </c>
      <c r="G110" t="inlineStr">
        <is>
          <t>ÖVERTORNEÅ</t>
        </is>
      </c>
      <c r="I110" t="n">
        <v>3.5</v>
      </c>
      <c r="J110" t="n">
        <v>0</v>
      </c>
      <c r="K110" t="n">
        <v>0</v>
      </c>
      <c r="L110" t="n">
        <v>0</v>
      </c>
      <c r="M110" t="n">
        <v>0</v>
      </c>
      <c r="N110" t="n">
        <v>0</v>
      </c>
      <c r="O110" t="n">
        <v>0</v>
      </c>
      <c r="P110" t="n">
        <v>0</v>
      </c>
      <c r="Q110" t="n">
        <v>0</v>
      </c>
      <c r="R110" t="n">
        <v>0</v>
      </c>
      <c r="S110" t="n">
        <v>0</v>
      </c>
      <c r="T110" t="n">
        <v>0</v>
      </c>
      <c r="U110" s="2" t="inlineStr"/>
    </row>
    <row r="111" ht="15" customHeight="1">
      <c r="A111" t="inlineStr">
        <is>
          <t>A 51274-2024</t>
        </is>
      </c>
      <c r="B111" t="inlineStr">
        <is>
          <t>avverkningsanmälan</t>
        </is>
      </c>
      <c r="C111" t="inlineStr">
        <is>
          <t>Föryngringsavverkning</t>
        </is>
      </c>
      <c r="D111" s="1" t="n">
        <v>45602</v>
      </c>
      <c r="E111" s="1" t="n">
        <v>46218</v>
      </c>
      <c r="F111" t="inlineStr">
        <is>
          <t>NORRBOTTENS LÄN</t>
        </is>
      </c>
      <c r="G111" t="inlineStr">
        <is>
          <t>ÖVERTORNEÅ</t>
        </is>
      </c>
      <c r="I111" t="n">
        <v>15.2</v>
      </c>
      <c r="J111" t="n">
        <v>0</v>
      </c>
      <c r="K111" t="n">
        <v>0</v>
      </c>
      <c r="L111" t="n">
        <v>0</v>
      </c>
      <c r="M111" t="n">
        <v>0</v>
      </c>
      <c r="N111" t="n">
        <v>0</v>
      </c>
      <c r="O111" t="n">
        <v>0</v>
      </c>
      <c r="P111" t="n">
        <v>0</v>
      </c>
      <c r="Q111" t="n">
        <v>0</v>
      </c>
      <c r="R111" t="n">
        <v>0</v>
      </c>
      <c r="S111" t="n">
        <v>0</v>
      </c>
      <c r="T111" t="n">
        <v>0</v>
      </c>
      <c r="U111" s="2" t="inlineStr"/>
    </row>
    <row r="112" ht="15" customHeight="1">
      <c r="A112" t="inlineStr">
        <is>
          <t>A 28953-2024</t>
        </is>
      </c>
      <c r="B112" t="inlineStr">
        <is>
          <t>avverkningsanmälan</t>
        </is>
      </c>
      <c r="C112" t="inlineStr">
        <is>
          <t>Föryngringsavverkning</t>
        </is>
      </c>
      <c r="D112" s="1" t="n">
        <v>45481</v>
      </c>
      <c r="E112" s="1" t="n">
        <v>46218</v>
      </c>
      <c r="F112" t="inlineStr">
        <is>
          <t>NORRBOTTENS LÄN</t>
        </is>
      </c>
      <c r="G112" t="inlineStr">
        <is>
          <t>ÖVERTORNEÅ</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41329-2025</t>
        </is>
      </c>
      <c r="B113" t="inlineStr">
        <is>
          <t>avverkningsanmälan</t>
        </is>
      </c>
      <c r="C113" t="inlineStr">
        <is>
          <t>Föryngringsavverkning</t>
        </is>
      </c>
      <c r="D113" s="1" t="n">
        <v>45899</v>
      </c>
      <c r="E113" s="1" t="n">
        <v>46218</v>
      </c>
      <c r="F113" t="inlineStr">
        <is>
          <t>NORRBOTTENS LÄN</t>
        </is>
      </c>
      <c r="G113" t="inlineStr">
        <is>
          <t>ÖVERTORNEÅ</t>
        </is>
      </c>
      <c r="H113" t="inlineStr">
        <is>
          <t>Sveaskog</t>
        </is>
      </c>
      <c r="I113" t="n">
        <v>6.1</v>
      </c>
      <c r="J113" t="n">
        <v>0</v>
      </c>
      <c r="K113" t="n">
        <v>0</v>
      </c>
      <c r="L113" t="n">
        <v>0</v>
      </c>
      <c r="M113" t="n">
        <v>0</v>
      </c>
      <c r="N113" t="n">
        <v>0</v>
      </c>
      <c r="O113" t="n">
        <v>0</v>
      </c>
      <c r="P113" t="n">
        <v>0</v>
      </c>
      <c r="Q113" t="n">
        <v>0</v>
      </c>
      <c r="R113" t="n">
        <v>0</v>
      </c>
      <c r="S113" t="n">
        <v>0</v>
      </c>
      <c r="T113" t="n">
        <v>0</v>
      </c>
      <c r="U113" s="2" t="inlineStr"/>
    </row>
    <row r="114" ht="15" customHeight="1">
      <c r="A114" t="inlineStr">
        <is>
          <t>A 10528-2023</t>
        </is>
      </c>
      <c r="B114" t="inlineStr">
        <is>
          <t>avverkningsanmälan</t>
        </is>
      </c>
      <c r="C114" t="inlineStr">
        <is>
          <t>Avverkning för annat ändamål</t>
        </is>
      </c>
      <c r="D114" s="1" t="n">
        <v>44987</v>
      </c>
      <c r="E114" s="1" t="n">
        <v>46218</v>
      </c>
      <c r="F114" t="inlineStr">
        <is>
          <t>NORRBOTTENS LÄN</t>
        </is>
      </c>
      <c r="G114" t="inlineStr">
        <is>
          <t>ÖVERTORNEÅ</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48037-2024</t>
        </is>
      </c>
      <c r="B115" t="inlineStr">
        <is>
          <t>avverkningsanmälan</t>
        </is>
      </c>
      <c r="C115" t="inlineStr">
        <is>
          <t>Föryngringsavverkning</t>
        </is>
      </c>
      <c r="D115" s="1" t="n">
        <v>45589</v>
      </c>
      <c r="E115" s="1" t="n">
        <v>46218</v>
      </c>
      <c r="F115" t="inlineStr">
        <is>
          <t>NORRBOTTENS LÄN</t>
        </is>
      </c>
      <c r="G115" t="inlineStr">
        <is>
          <t>ÖVERTORNEÅ</t>
        </is>
      </c>
      <c r="H115" t="inlineStr">
        <is>
          <t>Kommuner</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24653-2024</t>
        </is>
      </c>
      <c r="B116" t="inlineStr">
        <is>
          <t>avverkningsanmälan</t>
        </is>
      </c>
      <c r="C116" t="inlineStr">
        <is>
          <t>Föryngringsavverkning</t>
        </is>
      </c>
      <c r="D116" s="1" t="n">
        <v>45460</v>
      </c>
      <c r="E116" s="1" t="n">
        <v>46218</v>
      </c>
      <c r="F116" t="inlineStr">
        <is>
          <t>NORRBOTTENS LÄN</t>
        </is>
      </c>
      <c r="G116" t="inlineStr">
        <is>
          <t>ÖVERTORNEÅ</t>
        </is>
      </c>
      <c r="H116" t="inlineStr">
        <is>
          <t>Sveaskog</t>
        </is>
      </c>
      <c r="I116" t="n">
        <v>9.699999999999999</v>
      </c>
      <c r="J116" t="n">
        <v>0</v>
      </c>
      <c r="K116" t="n">
        <v>0</v>
      </c>
      <c r="L116" t="n">
        <v>0</v>
      </c>
      <c r="M116" t="n">
        <v>0</v>
      </c>
      <c r="N116" t="n">
        <v>0</v>
      </c>
      <c r="O116" t="n">
        <v>0</v>
      </c>
      <c r="P116" t="n">
        <v>0</v>
      </c>
      <c r="Q116" t="n">
        <v>0</v>
      </c>
      <c r="R116" t="n">
        <v>0</v>
      </c>
      <c r="S116" t="n">
        <v>0</v>
      </c>
      <c r="T116" t="n">
        <v>0</v>
      </c>
      <c r="U116" s="2" t="inlineStr"/>
    </row>
    <row r="117" ht="15" customHeight="1">
      <c r="A117" t="inlineStr">
        <is>
          <t>A 62851-2021</t>
        </is>
      </c>
      <c r="B117" t="inlineStr">
        <is>
          <t>avverkningsanmälan</t>
        </is>
      </c>
      <c r="C117" t="inlineStr">
        <is>
          <t>Föryngringsavverkning</t>
        </is>
      </c>
      <c r="D117" s="1" t="n">
        <v>44504</v>
      </c>
      <c r="E117" s="1" t="n">
        <v>46218</v>
      </c>
      <c r="F117" t="inlineStr">
        <is>
          <t>NORRBOTTENS LÄN</t>
        </is>
      </c>
      <c r="G117" t="inlineStr">
        <is>
          <t>ÖVERTORNEÅ</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69898-2021</t>
        </is>
      </c>
      <c r="B118" t="inlineStr">
        <is>
          <t>avverkningsanmälan</t>
        </is>
      </c>
      <c r="C118" t="inlineStr">
        <is>
          <t>Föryngringsavverkning</t>
        </is>
      </c>
      <c r="D118" s="1" t="n">
        <v>44532</v>
      </c>
      <c r="E118" s="1" t="n">
        <v>46218</v>
      </c>
      <c r="F118" t="inlineStr">
        <is>
          <t>NORRBOTTENS LÄN</t>
        </is>
      </c>
      <c r="G118" t="inlineStr">
        <is>
          <t>ÖVERTORNEÅ</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36586-2024</t>
        </is>
      </c>
      <c r="B119" t="inlineStr">
        <is>
          <t>avverkningsanmälan</t>
        </is>
      </c>
      <c r="C119" t="inlineStr">
        <is>
          <t>Avverkning för annat ändamål</t>
        </is>
      </c>
      <c r="D119" s="1" t="n">
        <v>45537</v>
      </c>
      <c r="E119" s="1" t="n">
        <v>46218</v>
      </c>
      <c r="F119" t="inlineStr">
        <is>
          <t>NORRBOTTENS LÄN</t>
        </is>
      </c>
      <c r="G119" t="inlineStr">
        <is>
          <t>ÖVERTORNEÅ</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34992-2023</t>
        </is>
      </c>
      <c r="B120" t="inlineStr">
        <is>
          <t>avverkningsanmälan</t>
        </is>
      </c>
      <c r="C120" t="inlineStr">
        <is>
          <t>Föryngringsavverkning</t>
        </is>
      </c>
      <c r="D120" s="1" t="n">
        <v>45142</v>
      </c>
      <c r="E120" s="1" t="n">
        <v>46218</v>
      </c>
      <c r="F120" t="inlineStr">
        <is>
          <t>NORRBOTTENS LÄN</t>
        </is>
      </c>
      <c r="G120" t="inlineStr">
        <is>
          <t>ÖVERTORNEÅ</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41778-2025</t>
        </is>
      </c>
      <c r="B121" t="inlineStr">
        <is>
          <t>avverkningsanmälan</t>
        </is>
      </c>
      <c r="C121" t="inlineStr">
        <is>
          <t>Föryngringsavverkning</t>
        </is>
      </c>
      <c r="D121" s="1" t="n">
        <v>45902</v>
      </c>
      <c r="E121" s="1" t="n">
        <v>46218</v>
      </c>
      <c r="F121" t="inlineStr">
        <is>
          <t>NORRBOTTENS LÄN</t>
        </is>
      </c>
      <c r="G121" t="inlineStr">
        <is>
          <t>ÖVERTORNEÅ</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58394-2024</t>
        </is>
      </c>
      <c r="B122" t="inlineStr">
        <is>
          <t>avverkningsanmälan</t>
        </is>
      </c>
      <c r="C122" t="inlineStr">
        <is>
          <t>Föryngringsavverkning</t>
        </is>
      </c>
      <c r="D122" s="1" t="n">
        <v>45633</v>
      </c>
      <c r="E122" s="1" t="n">
        <v>46218</v>
      </c>
      <c r="F122" t="inlineStr">
        <is>
          <t>NORRBOTTENS LÄN</t>
        </is>
      </c>
      <c r="G122" t="inlineStr">
        <is>
          <t>ÖVERTORNEÅ</t>
        </is>
      </c>
      <c r="I122" t="n">
        <v>4.5</v>
      </c>
      <c r="J122" t="n">
        <v>0</v>
      </c>
      <c r="K122" t="n">
        <v>0</v>
      </c>
      <c r="L122" t="n">
        <v>0</v>
      </c>
      <c r="M122" t="n">
        <v>0</v>
      </c>
      <c r="N122" t="n">
        <v>0</v>
      </c>
      <c r="O122" t="n">
        <v>0</v>
      </c>
      <c r="P122" t="n">
        <v>0</v>
      </c>
      <c r="Q122" t="n">
        <v>0</v>
      </c>
      <c r="R122" t="n">
        <v>0</v>
      </c>
      <c r="S122" t="n">
        <v>0</v>
      </c>
      <c r="T122" t="n">
        <v>0</v>
      </c>
      <c r="U122" s="2" t="inlineStr"/>
    </row>
    <row r="123" ht="15" customHeight="1">
      <c r="A123" t="inlineStr">
        <is>
          <t>A 46644-2023</t>
        </is>
      </c>
      <c r="B123" t="inlineStr">
        <is>
          <t>avverkningsanmälan</t>
        </is>
      </c>
      <c r="C123" t="inlineStr">
        <is>
          <t>Föryngringsavverkning</t>
        </is>
      </c>
      <c r="D123" s="1" t="n">
        <v>45194</v>
      </c>
      <c r="E123" s="1" t="n">
        <v>46218</v>
      </c>
      <c r="F123" t="inlineStr">
        <is>
          <t>NORRBOTTENS LÄN</t>
        </is>
      </c>
      <c r="G123" t="inlineStr">
        <is>
          <t>ÖVERTORNEÅ</t>
        </is>
      </c>
      <c r="I123" t="n">
        <v>5.3</v>
      </c>
      <c r="J123" t="n">
        <v>0</v>
      </c>
      <c r="K123" t="n">
        <v>0</v>
      </c>
      <c r="L123" t="n">
        <v>0</v>
      </c>
      <c r="M123" t="n">
        <v>0</v>
      </c>
      <c r="N123" t="n">
        <v>0</v>
      </c>
      <c r="O123" t="n">
        <v>0</v>
      </c>
      <c r="P123" t="n">
        <v>0</v>
      </c>
      <c r="Q123" t="n">
        <v>0</v>
      </c>
      <c r="R123" t="n">
        <v>0</v>
      </c>
      <c r="S123" t="n">
        <v>0</v>
      </c>
      <c r="T123" t="n">
        <v>0</v>
      </c>
      <c r="U123" s="2" t="inlineStr"/>
    </row>
    <row r="124" ht="15" customHeight="1">
      <c r="A124" t="inlineStr">
        <is>
          <t>A 23259-2024</t>
        </is>
      </c>
      <c r="B124" t="inlineStr">
        <is>
          <t>avverkningsanmälan</t>
        </is>
      </c>
      <c r="C124" t="inlineStr">
        <is>
          <t>Föryngringsavverkning</t>
        </is>
      </c>
      <c r="D124" s="1" t="n">
        <v>45453</v>
      </c>
      <c r="E124" s="1" t="n">
        <v>46218</v>
      </c>
      <c r="F124" t="inlineStr">
        <is>
          <t>NORRBOTTENS LÄN</t>
        </is>
      </c>
      <c r="G124" t="inlineStr">
        <is>
          <t>ÖVERTORNEÅ</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3982-2025</t>
        </is>
      </c>
      <c r="B125" t="inlineStr">
        <is>
          <t>avverkningsanmälan</t>
        </is>
      </c>
      <c r="C125" t="inlineStr">
        <is>
          <t>Avverkning för annat ändamål</t>
        </is>
      </c>
      <c r="D125" s="1" t="n">
        <v>45684</v>
      </c>
      <c r="E125" s="1" t="n">
        <v>46218</v>
      </c>
      <c r="F125" t="inlineStr">
        <is>
          <t>NORRBOTTENS LÄN</t>
        </is>
      </c>
      <c r="G125" t="inlineStr">
        <is>
          <t>ÖVERTORNEÅ</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42908-2025</t>
        </is>
      </c>
      <c r="B126" t="inlineStr">
        <is>
          <t>avverkningsanmälan</t>
        </is>
      </c>
      <c r="C126" t="inlineStr">
        <is>
          <t>Föryngringsavverkning</t>
        </is>
      </c>
      <c r="D126" s="1" t="n">
        <v>45908</v>
      </c>
      <c r="E126" s="1" t="n">
        <v>46218</v>
      </c>
      <c r="F126" t="inlineStr">
        <is>
          <t>NORRBOTTENS LÄN</t>
        </is>
      </c>
      <c r="G126" t="inlineStr">
        <is>
          <t>ÖVERTORNEÅ</t>
        </is>
      </c>
      <c r="I126" t="n">
        <v>4.6</v>
      </c>
      <c r="J126" t="n">
        <v>0</v>
      </c>
      <c r="K126" t="n">
        <v>0</v>
      </c>
      <c r="L126" t="n">
        <v>0</v>
      </c>
      <c r="M126" t="n">
        <v>0</v>
      </c>
      <c r="N126" t="n">
        <v>0</v>
      </c>
      <c r="O126" t="n">
        <v>0</v>
      </c>
      <c r="P126" t="n">
        <v>0</v>
      </c>
      <c r="Q126" t="n">
        <v>0</v>
      </c>
      <c r="R126" t="n">
        <v>0</v>
      </c>
      <c r="S126" t="n">
        <v>0</v>
      </c>
      <c r="T126" t="n">
        <v>0</v>
      </c>
      <c r="U126" s="2" t="inlineStr"/>
    </row>
    <row r="127" ht="15" customHeight="1">
      <c r="A127" t="inlineStr">
        <is>
          <t>A 38677-2024</t>
        </is>
      </c>
      <c r="B127" t="inlineStr">
        <is>
          <t>avverkningsanmälan</t>
        </is>
      </c>
      <c r="C127" t="inlineStr">
        <is>
          <t>Föryngringsavverkning</t>
        </is>
      </c>
      <c r="D127" s="1" t="n">
        <v>45547</v>
      </c>
      <c r="E127" s="1" t="n">
        <v>46218</v>
      </c>
      <c r="F127" t="inlineStr">
        <is>
          <t>NORRBOTTENS LÄN</t>
        </is>
      </c>
      <c r="G127" t="inlineStr">
        <is>
          <t>ÖVERTORNEÅ</t>
        </is>
      </c>
      <c r="I127" t="n">
        <v>13.2</v>
      </c>
      <c r="J127" t="n">
        <v>0</v>
      </c>
      <c r="K127" t="n">
        <v>0</v>
      </c>
      <c r="L127" t="n">
        <v>0</v>
      </c>
      <c r="M127" t="n">
        <v>0</v>
      </c>
      <c r="N127" t="n">
        <v>0</v>
      </c>
      <c r="O127" t="n">
        <v>0</v>
      </c>
      <c r="P127" t="n">
        <v>0</v>
      </c>
      <c r="Q127" t="n">
        <v>0</v>
      </c>
      <c r="R127" t="n">
        <v>0</v>
      </c>
      <c r="S127" t="n">
        <v>0</v>
      </c>
      <c r="T127" t="n">
        <v>0</v>
      </c>
      <c r="U127" s="2" t="inlineStr"/>
    </row>
    <row r="128" ht="15" customHeight="1">
      <c r="A128" t="inlineStr">
        <is>
          <t>A 55455-2024</t>
        </is>
      </c>
      <c r="B128" t="inlineStr">
        <is>
          <t>avverkningsanmälan</t>
        </is>
      </c>
      <c r="C128" t="inlineStr">
        <is>
          <t>Föryngringsavverkning</t>
        </is>
      </c>
      <c r="D128" s="1" t="n">
        <v>45622</v>
      </c>
      <c r="E128" s="1" t="n">
        <v>46218</v>
      </c>
      <c r="F128" t="inlineStr">
        <is>
          <t>NORRBOTTENS LÄN</t>
        </is>
      </c>
      <c r="G128" t="inlineStr">
        <is>
          <t>ÖVERTORNEÅ</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4250-2025</t>
        </is>
      </c>
      <c r="B129" t="inlineStr">
        <is>
          <t>avverkningsanmälan</t>
        </is>
      </c>
      <c r="C129" t="inlineStr">
        <is>
          <t>Föryngringsavverkning</t>
        </is>
      </c>
      <c r="D129" s="1" t="n">
        <v>45685</v>
      </c>
      <c r="E129" s="1" t="n">
        <v>46218</v>
      </c>
      <c r="F129" t="inlineStr">
        <is>
          <t>NORRBOTTENS LÄN</t>
        </is>
      </c>
      <c r="G129" t="inlineStr">
        <is>
          <t>ÖVERTORNEÅ</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55245-2024</t>
        </is>
      </c>
      <c r="B130" t="inlineStr">
        <is>
          <t>avverkningsanmälan</t>
        </is>
      </c>
      <c r="C130" t="inlineStr">
        <is>
          <t>Föryngringsavverkning</t>
        </is>
      </c>
      <c r="D130" s="1" t="n">
        <v>45621</v>
      </c>
      <c r="E130" s="1" t="n">
        <v>46218</v>
      </c>
      <c r="F130" t="inlineStr">
        <is>
          <t>NORRBOTTENS LÄN</t>
        </is>
      </c>
      <c r="G130" t="inlineStr">
        <is>
          <t>ÖVERTORNEÅ</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41918-2024</t>
        </is>
      </c>
      <c r="B131" t="inlineStr">
        <is>
          <t>avverkningsanmälan</t>
        </is>
      </c>
      <c r="C131" t="inlineStr">
        <is>
          <t>Föryngringsavverkning</t>
        </is>
      </c>
      <c r="D131" s="1" t="n">
        <v>45561</v>
      </c>
      <c r="E131" s="1" t="n">
        <v>46218</v>
      </c>
      <c r="F131" t="inlineStr">
        <is>
          <t>NORRBOTTENS LÄN</t>
        </is>
      </c>
      <c r="G131" t="inlineStr">
        <is>
          <t>ÖVERTORNEÅ</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11622-2025</t>
        </is>
      </c>
      <c r="B132" t="inlineStr">
        <is>
          <t>avverkningsanmälan</t>
        </is>
      </c>
      <c r="C132" t="inlineStr">
        <is>
          <t>Föryngringsavverkning</t>
        </is>
      </c>
      <c r="D132" s="1" t="n">
        <v>45727</v>
      </c>
      <c r="E132" s="1" t="n">
        <v>46218</v>
      </c>
      <c r="F132" t="inlineStr">
        <is>
          <t>NORRBOTTENS LÄN</t>
        </is>
      </c>
      <c r="G132" t="inlineStr">
        <is>
          <t>ÖVERTORNEÅ</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16028-2024</t>
        </is>
      </c>
      <c r="B133" t="inlineStr">
        <is>
          <t>avverkningsanmälan</t>
        </is>
      </c>
      <c r="C133" t="inlineStr">
        <is>
          <t>Föryngringsavverkning</t>
        </is>
      </c>
      <c r="D133" s="1" t="n">
        <v>45405</v>
      </c>
      <c r="E133" s="1" t="n">
        <v>46218</v>
      </c>
      <c r="F133" t="inlineStr">
        <is>
          <t>NORRBOTTENS LÄN</t>
        </is>
      </c>
      <c r="G133" t="inlineStr">
        <is>
          <t>ÖVERTORNEÅ</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34142-2023</t>
        </is>
      </c>
      <c r="B134" t="inlineStr">
        <is>
          <t>avverkningsanmälan</t>
        </is>
      </c>
      <c r="C134" t="inlineStr">
        <is>
          <t>Föryngringsavverkning</t>
        </is>
      </c>
      <c r="D134" s="1" t="n">
        <v>45136</v>
      </c>
      <c r="E134" s="1" t="n">
        <v>46218</v>
      </c>
      <c r="F134" t="inlineStr">
        <is>
          <t>NORRBOTTENS LÄN</t>
        </is>
      </c>
      <c r="G134" t="inlineStr">
        <is>
          <t>ÖVERTORNEÅ</t>
        </is>
      </c>
      <c r="I134" t="n">
        <v>22.5</v>
      </c>
      <c r="J134" t="n">
        <v>0</v>
      </c>
      <c r="K134" t="n">
        <v>0</v>
      </c>
      <c r="L134" t="n">
        <v>0</v>
      </c>
      <c r="M134" t="n">
        <v>0</v>
      </c>
      <c r="N134" t="n">
        <v>0</v>
      </c>
      <c r="O134" t="n">
        <v>0</v>
      </c>
      <c r="P134" t="n">
        <v>0</v>
      </c>
      <c r="Q134" t="n">
        <v>0</v>
      </c>
      <c r="R134" t="n">
        <v>0</v>
      </c>
      <c r="S134" t="n">
        <v>0</v>
      </c>
      <c r="T134" t="n">
        <v>0</v>
      </c>
      <c r="U134" s="2" t="inlineStr"/>
    </row>
    <row r="135" ht="15" customHeight="1">
      <c r="A135" t="inlineStr">
        <is>
          <t>A 51275-2024</t>
        </is>
      </c>
      <c r="B135" t="inlineStr">
        <is>
          <t>avverkningsanmälan</t>
        </is>
      </c>
      <c r="C135" t="inlineStr">
        <is>
          <t>Föryngringsavverkning</t>
        </is>
      </c>
      <c r="D135" s="1" t="n">
        <v>45602</v>
      </c>
      <c r="E135" s="1" t="n">
        <v>46218</v>
      </c>
      <c r="F135" t="inlineStr">
        <is>
          <t>NORRBOTTENS LÄN</t>
        </is>
      </c>
      <c r="G135" t="inlineStr">
        <is>
          <t>ÖVERTORNEÅ</t>
        </is>
      </c>
      <c r="I135" t="n">
        <v>10.4</v>
      </c>
      <c r="J135" t="n">
        <v>0</v>
      </c>
      <c r="K135" t="n">
        <v>0</v>
      </c>
      <c r="L135" t="n">
        <v>0</v>
      </c>
      <c r="M135" t="n">
        <v>0</v>
      </c>
      <c r="N135" t="n">
        <v>0</v>
      </c>
      <c r="O135" t="n">
        <v>0</v>
      </c>
      <c r="P135" t="n">
        <v>0</v>
      </c>
      <c r="Q135" t="n">
        <v>0</v>
      </c>
      <c r="R135" t="n">
        <v>0</v>
      </c>
      <c r="S135" t="n">
        <v>0</v>
      </c>
      <c r="T135" t="n">
        <v>0</v>
      </c>
      <c r="U135" s="2" t="inlineStr"/>
    </row>
    <row r="136" ht="15" customHeight="1">
      <c r="A136" t="inlineStr">
        <is>
          <t>A 12202-2025</t>
        </is>
      </c>
      <c r="B136" t="inlineStr">
        <is>
          <t>avverkningsanmälan</t>
        </is>
      </c>
      <c r="C136" t="inlineStr">
        <is>
          <t>Föryngringsavverkning</t>
        </is>
      </c>
      <c r="D136" s="1" t="n">
        <v>45729</v>
      </c>
      <c r="E136" s="1" t="n">
        <v>46218</v>
      </c>
      <c r="F136" t="inlineStr">
        <is>
          <t>NORRBOTTENS LÄN</t>
        </is>
      </c>
      <c r="G136" t="inlineStr">
        <is>
          <t>ÖVERTORNEÅ</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61040-2022</t>
        </is>
      </c>
      <c r="B137" t="inlineStr">
        <is>
          <t>avverkningsanmälan</t>
        </is>
      </c>
      <c r="C137" t="inlineStr">
        <is>
          <t>Föryngringsavverkning</t>
        </is>
      </c>
      <c r="D137" s="1" t="n">
        <v>44914</v>
      </c>
      <c r="E137" s="1" t="n">
        <v>46218</v>
      </c>
      <c r="F137" t="inlineStr">
        <is>
          <t>NORRBOTTENS LÄN</t>
        </is>
      </c>
      <c r="G137" t="inlineStr">
        <is>
          <t>ÖVERTORNEÅ</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31329-2024</t>
        </is>
      </c>
      <c r="B138" t="inlineStr">
        <is>
          <t>avverkningsanmälan</t>
        </is>
      </c>
      <c r="C138" t="inlineStr">
        <is>
          <t>Föryngringsavverkning</t>
        </is>
      </c>
      <c r="D138" s="1" t="n">
        <v>45504</v>
      </c>
      <c r="E138" s="1" t="n">
        <v>46218</v>
      </c>
      <c r="F138" t="inlineStr">
        <is>
          <t>NORRBOTTENS LÄN</t>
        </is>
      </c>
      <c r="G138" t="inlineStr">
        <is>
          <t>ÖVERTORNEÅ</t>
        </is>
      </c>
      <c r="H138" t="inlineStr">
        <is>
          <t>Sveaskog</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43236-2025</t>
        </is>
      </c>
      <c r="B139" t="inlineStr">
        <is>
          <t>avverkningsanmälan</t>
        </is>
      </c>
      <c r="C139" t="inlineStr">
        <is>
          <t>Föryngringsavverkning</t>
        </is>
      </c>
      <c r="D139" s="1" t="n">
        <v>45910</v>
      </c>
      <c r="E139" s="1" t="n">
        <v>46218</v>
      </c>
      <c r="F139" t="inlineStr">
        <is>
          <t>NORRBOTTENS LÄN</t>
        </is>
      </c>
      <c r="G139" t="inlineStr">
        <is>
          <t>ÖVERTORNEÅ</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43235-2025</t>
        </is>
      </c>
      <c r="B140" t="inlineStr">
        <is>
          <t>avverkningsanmälan</t>
        </is>
      </c>
      <c r="C140" t="inlineStr">
        <is>
          <t>Föryngringsavverkning</t>
        </is>
      </c>
      <c r="D140" s="1" t="n">
        <v>45910</v>
      </c>
      <c r="E140" s="1" t="n">
        <v>46218</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s="2" t="inlineStr"/>
    </row>
    <row r="141" ht="15" customHeight="1">
      <c r="A141" t="inlineStr">
        <is>
          <t>A 32738-2024</t>
        </is>
      </c>
      <c r="B141" t="inlineStr">
        <is>
          <t>avverkningsanmälan</t>
        </is>
      </c>
      <c r="C141" t="inlineStr">
        <is>
          <t>Föryngringsavverkning</t>
        </is>
      </c>
      <c r="D141" s="1" t="n">
        <v>45516</v>
      </c>
      <c r="E141" s="1" t="n">
        <v>46218</v>
      </c>
      <c r="F141" t="inlineStr">
        <is>
          <t>NORRBOTTENS LÄN</t>
        </is>
      </c>
      <c r="G141" t="inlineStr">
        <is>
          <t>ÖVERTORNEÅ</t>
        </is>
      </c>
      <c r="I141" t="n">
        <v>5.1</v>
      </c>
      <c r="J141" t="n">
        <v>0</v>
      </c>
      <c r="K141" t="n">
        <v>0</v>
      </c>
      <c r="L141" t="n">
        <v>0</v>
      </c>
      <c r="M141" t="n">
        <v>0</v>
      </c>
      <c r="N141" t="n">
        <v>0</v>
      </c>
      <c r="O141" t="n">
        <v>0</v>
      </c>
      <c r="P141" t="n">
        <v>0</v>
      </c>
      <c r="Q141" t="n">
        <v>0</v>
      </c>
      <c r="R141" t="n">
        <v>0</v>
      </c>
      <c r="S141" t="n">
        <v>0</v>
      </c>
      <c r="T141" t="n">
        <v>0</v>
      </c>
      <c r="U141" s="2" t="inlineStr"/>
    </row>
    <row r="142" ht="15" customHeight="1">
      <c r="A142" t="inlineStr">
        <is>
          <t>A 16999-2025</t>
        </is>
      </c>
      <c r="B142" t="inlineStr">
        <is>
          <t>avverkningsanmälan</t>
        </is>
      </c>
      <c r="C142" t="inlineStr">
        <is>
          <t>Föryngringsavverkning</t>
        </is>
      </c>
      <c r="D142" s="1" t="n">
        <v>45755</v>
      </c>
      <c r="E142" s="1" t="n">
        <v>46218</v>
      </c>
      <c r="F142" t="inlineStr">
        <is>
          <t>NORRBOTTENS LÄN</t>
        </is>
      </c>
      <c r="G142" t="inlineStr">
        <is>
          <t>ÖVERTORNEÅ</t>
        </is>
      </c>
      <c r="I142" t="n">
        <v>8</v>
      </c>
      <c r="J142" t="n">
        <v>0</v>
      </c>
      <c r="K142" t="n">
        <v>0</v>
      </c>
      <c r="L142" t="n">
        <v>0</v>
      </c>
      <c r="M142" t="n">
        <v>0</v>
      </c>
      <c r="N142" t="n">
        <v>0</v>
      </c>
      <c r="O142" t="n">
        <v>0</v>
      </c>
      <c r="P142" t="n">
        <v>0</v>
      </c>
      <c r="Q142" t="n">
        <v>0</v>
      </c>
      <c r="R142" t="n">
        <v>0</v>
      </c>
      <c r="S142" t="n">
        <v>0</v>
      </c>
      <c r="T142" t="n">
        <v>0</v>
      </c>
      <c r="U142" s="2" t="inlineStr"/>
    </row>
    <row r="143" ht="15" customHeight="1">
      <c r="A143" t="inlineStr">
        <is>
          <t>A 45261-2025</t>
        </is>
      </c>
      <c r="B143" t="inlineStr">
        <is>
          <t>avverkningsanmälan</t>
        </is>
      </c>
      <c r="C143" t="inlineStr">
        <is>
          <t>Föryngringsavverkning</t>
        </is>
      </c>
      <c r="D143" s="1" t="n">
        <v>45919</v>
      </c>
      <c r="E143" s="1" t="n">
        <v>46218</v>
      </c>
      <c r="F143" t="inlineStr">
        <is>
          <t>NORRBOTTENS LÄN</t>
        </is>
      </c>
      <c r="G143" t="inlineStr">
        <is>
          <t>ÖVERTORNEÅ</t>
        </is>
      </c>
      <c r="H143" t="inlineStr">
        <is>
          <t>Sveaskog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45049-2024</t>
        </is>
      </c>
      <c r="B144" t="inlineStr">
        <is>
          <t>avverkningsanmälan</t>
        </is>
      </c>
      <c r="C144" t="inlineStr">
        <is>
          <t>Föryngringsavverkning</t>
        </is>
      </c>
      <c r="D144" s="1" t="n">
        <v>45575</v>
      </c>
      <c r="E144" s="1" t="n">
        <v>46218</v>
      </c>
      <c r="F144" t="inlineStr">
        <is>
          <t>NORRBOTTENS LÄN</t>
        </is>
      </c>
      <c r="G144" t="inlineStr">
        <is>
          <t>ÖVERTORNEÅ</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31699-2023</t>
        </is>
      </c>
      <c r="B145" t="inlineStr">
        <is>
          <t>avverkningsanmälan</t>
        </is>
      </c>
      <c r="C145" t="inlineStr">
        <is>
          <t>Avverkning för annat ändamål</t>
        </is>
      </c>
      <c r="D145" s="1" t="n">
        <v>45117</v>
      </c>
      <c r="E145" s="1" t="n">
        <v>46218</v>
      </c>
      <c r="F145" t="inlineStr">
        <is>
          <t>NORRBOTTENS LÄN</t>
        </is>
      </c>
      <c r="G145" t="inlineStr">
        <is>
          <t>ÖVERTORNEÅ</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46031-2021</t>
        </is>
      </c>
      <c r="B146" t="inlineStr">
        <is>
          <t>avverkningsanmälan</t>
        </is>
      </c>
      <c r="C146" t="inlineStr">
        <is>
          <t>Föryngringsavverkning</t>
        </is>
      </c>
      <c r="D146" s="1" t="n">
        <v>44441</v>
      </c>
      <c r="E146" s="1" t="n">
        <v>46218</v>
      </c>
      <c r="F146" t="inlineStr">
        <is>
          <t>NORRBOTTENS LÄN</t>
        </is>
      </c>
      <c r="G146" t="inlineStr">
        <is>
          <t>ÖVERTORNEÅ</t>
        </is>
      </c>
      <c r="I146" t="n">
        <v>9.9</v>
      </c>
      <c r="J146" t="n">
        <v>0</v>
      </c>
      <c r="K146" t="n">
        <v>0</v>
      </c>
      <c r="L146" t="n">
        <v>0</v>
      </c>
      <c r="M146" t="n">
        <v>0</v>
      </c>
      <c r="N146" t="n">
        <v>0</v>
      </c>
      <c r="O146" t="n">
        <v>0</v>
      </c>
      <c r="P146" t="n">
        <v>0</v>
      </c>
      <c r="Q146" t="n">
        <v>0</v>
      </c>
      <c r="R146" t="n">
        <v>0</v>
      </c>
      <c r="S146" t="n">
        <v>0</v>
      </c>
      <c r="T146" t="n">
        <v>0</v>
      </c>
      <c r="U146" s="2" t="inlineStr"/>
    </row>
    <row r="147" ht="15" customHeight="1">
      <c r="A147" t="inlineStr">
        <is>
          <t>A 38127-2024</t>
        </is>
      </c>
      <c r="B147" t="inlineStr">
        <is>
          <t>avverkningsanmälan</t>
        </is>
      </c>
      <c r="C147" t="inlineStr">
        <is>
          <t>Avverkning för att bevara och utveckla /försöksver</t>
        </is>
      </c>
      <c r="D147" s="1" t="n">
        <v>45545</v>
      </c>
      <c r="E147" s="1" t="n">
        <v>46218</v>
      </c>
      <c r="F147" t="inlineStr">
        <is>
          <t>NORRBOTTENS LÄN</t>
        </is>
      </c>
      <c r="G147" t="inlineStr">
        <is>
          <t>ÖVERTORNEÅ</t>
        </is>
      </c>
      <c r="H147" t="inlineStr">
        <is>
          <t>Sveaskog</t>
        </is>
      </c>
      <c r="I147" t="n">
        <v>6.7</v>
      </c>
      <c r="J147" t="n">
        <v>0</v>
      </c>
      <c r="K147" t="n">
        <v>0</v>
      </c>
      <c r="L147" t="n">
        <v>0</v>
      </c>
      <c r="M147" t="n">
        <v>0</v>
      </c>
      <c r="N147" t="n">
        <v>0</v>
      </c>
      <c r="O147" t="n">
        <v>0</v>
      </c>
      <c r="P147" t="n">
        <v>0</v>
      </c>
      <c r="Q147" t="n">
        <v>0</v>
      </c>
      <c r="R147" t="n">
        <v>0</v>
      </c>
      <c r="S147" t="n">
        <v>0</v>
      </c>
      <c r="T147" t="n">
        <v>0</v>
      </c>
      <c r="U147" s="2" t="inlineStr"/>
    </row>
    <row r="148" ht="15" customHeight="1">
      <c r="A148" t="inlineStr">
        <is>
          <t>A 44238-2024</t>
        </is>
      </c>
      <c r="B148" t="inlineStr">
        <is>
          <t>avverkningsanmälan</t>
        </is>
      </c>
      <c r="C148" t="inlineStr">
        <is>
          <t>Föryngringsavverkning</t>
        </is>
      </c>
      <c r="D148" s="1" t="n">
        <v>45573</v>
      </c>
      <c r="E148" s="1" t="n">
        <v>46218</v>
      </c>
      <c r="F148" t="inlineStr">
        <is>
          <t>NORRBOTTENS LÄN</t>
        </is>
      </c>
      <c r="G148" t="inlineStr">
        <is>
          <t>ÖVERTORNEÅ</t>
        </is>
      </c>
      <c r="I148" t="n">
        <v>6.3</v>
      </c>
      <c r="J148" t="n">
        <v>0</v>
      </c>
      <c r="K148" t="n">
        <v>0</v>
      </c>
      <c r="L148" t="n">
        <v>0</v>
      </c>
      <c r="M148" t="n">
        <v>0</v>
      </c>
      <c r="N148" t="n">
        <v>0</v>
      </c>
      <c r="O148" t="n">
        <v>0</v>
      </c>
      <c r="P148" t="n">
        <v>0</v>
      </c>
      <c r="Q148" t="n">
        <v>0</v>
      </c>
      <c r="R148" t="n">
        <v>0</v>
      </c>
      <c r="S148" t="n">
        <v>0</v>
      </c>
      <c r="T148" t="n">
        <v>0</v>
      </c>
      <c r="U148" s="2" t="inlineStr"/>
    </row>
    <row r="149" ht="15" customHeight="1">
      <c r="A149" t="inlineStr">
        <is>
          <t>A 32741-2024</t>
        </is>
      </c>
      <c r="B149" t="inlineStr">
        <is>
          <t>avverkningsanmälan</t>
        </is>
      </c>
      <c r="C149" t="inlineStr">
        <is>
          <t>Föryngringsavverkning</t>
        </is>
      </c>
      <c r="D149" s="1" t="n">
        <v>45516</v>
      </c>
      <c r="E149" s="1" t="n">
        <v>46218</v>
      </c>
      <c r="F149" t="inlineStr">
        <is>
          <t>NORRBOTTENS LÄN</t>
        </is>
      </c>
      <c r="G149" t="inlineStr">
        <is>
          <t>ÖVERTORNEÅ</t>
        </is>
      </c>
      <c r="I149" t="n">
        <v>2.5</v>
      </c>
      <c r="J149" t="n">
        <v>0</v>
      </c>
      <c r="K149" t="n">
        <v>0</v>
      </c>
      <c r="L149" t="n">
        <v>0</v>
      </c>
      <c r="M149" t="n">
        <v>0</v>
      </c>
      <c r="N149" t="n">
        <v>0</v>
      </c>
      <c r="O149" t="n">
        <v>0</v>
      </c>
      <c r="P149" t="n">
        <v>0</v>
      </c>
      <c r="Q149" t="n">
        <v>0</v>
      </c>
      <c r="R149" t="n">
        <v>0</v>
      </c>
      <c r="S149" t="n">
        <v>0</v>
      </c>
      <c r="T149" t="n">
        <v>0</v>
      </c>
      <c r="U149" s="2" t="inlineStr"/>
    </row>
    <row r="150" ht="15" customHeight="1">
      <c r="A150" t="inlineStr">
        <is>
          <t>A 49299-2024</t>
        </is>
      </c>
      <c r="B150" t="inlineStr">
        <is>
          <t>avverkningsanmälan</t>
        </is>
      </c>
      <c r="C150" t="inlineStr">
        <is>
          <t>Föryngringsavverkning</t>
        </is>
      </c>
      <c r="D150" s="1" t="n">
        <v>45595</v>
      </c>
      <c r="E150" s="1" t="n">
        <v>46218</v>
      </c>
      <c r="F150" t="inlineStr">
        <is>
          <t>NORRBOTTENS LÄN</t>
        </is>
      </c>
      <c r="G150" t="inlineStr">
        <is>
          <t>ÖVERTORNEÅ</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46703-2025</t>
        </is>
      </c>
      <c r="B151" t="inlineStr">
        <is>
          <t>avverkningsanmälan</t>
        </is>
      </c>
      <c r="C151" t="inlineStr">
        <is>
          <t>Avverkning för annat ändamål</t>
        </is>
      </c>
      <c r="D151" s="1" t="n">
        <v>45926</v>
      </c>
      <c r="E151" s="1" t="n">
        <v>46218</v>
      </c>
      <c r="F151" t="inlineStr">
        <is>
          <t>NORRBOTTENS LÄN</t>
        </is>
      </c>
      <c r="G151" t="inlineStr">
        <is>
          <t>ÖVERTORNEÅ</t>
        </is>
      </c>
      <c r="H151" t="inlineStr">
        <is>
          <t>Sveaskog</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62076-2024</t>
        </is>
      </c>
      <c r="B152" t="inlineStr">
        <is>
          <t>avverkningsanmälan</t>
        </is>
      </c>
      <c r="C152" t="inlineStr">
        <is>
          <t>Föryngringsavverkning</t>
        </is>
      </c>
      <c r="D152" s="1" t="n">
        <v>45656</v>
      </c>
      <c r="E152" s="1" t="n">
        <v>46218</v>
      </c>
      <c r="F152" t="inlineStr">
        <is>
          <t>NORRBOTTENS LÄN</t>
        </is>
      </c>
      <c r="G152" t="inlineStr">
        <is>
          <t>ÖVERTORNEÅ</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34143-2023</t>
        </is>
      </c>
      <c r="B153" t="inlineStr">
        <is>
          <t>avverkningsanmälan</t>
        </is>
      </c>
      <c r="C153" t="inlineStr">
        <is>
          <t>Avverkning för annat ändamål</t>
        </is>
      </c>
      <c r="D153" s="1" t="n">
        <v>45136</v>
      </c>
      <c r="E153" s="1" t="n">
        <v>46218</v>
      </c>
      <c r="F153" t="inlineStr">
        <is>
          <t>NORRBOTTENS LÄN</t>
        </is>
      </c>
      <c r="G153" t="inlineStr">
        <is>
          <t>ÖVERTORNEÅ</t>
        </is>
      </c>
      <c r="I153" t="n">
        <v>4.4</v>
      </c>
      <c r="J153" t="n">
        <v>0</v>
      </c>
      <c r="K153" t="n">
        <v>0</v>
      </c>
      <c r="L153" t="n">
        <v>0</v>
      </c>
      <c r="M153" t="n">
        <v>0</v>
      </c>
      <c r="N153" t="n">
        <v>0</v>
      </c>
      <c r="O153" t="n">
        <v>0</v>
      </c>
      <c r="P153" t="n">
        <v>0</v>
      </c>
      <c r="Q153" t="n">
        <v>0</v>
      </c>
      <c r="R153" t="n">
        <v>0</v>
      </c>
      <c r="S153" t="n">
        <v>0</v>
      </c>
      <c r="T153" t="n">
        <v>0</v>
      </c>
      <c r="U153" s="2" t="inlineStr"/>
    </row>
    <row r="154" ht="15" customHeight="1">
      <c r="A154" t="inlineStr">
        <is>
          <t>A 34144-2023</t>
        </is>
      </c>
      <c r="B154" t="inlineStr">
        <is>
          <t>avverkningsanmälan</t>
        </is>
      </c>
      <c r="C154" t="inlineStr">
        <is>
          <t>Föryngringsavverkning</t>
        </is>
      </c>
      <c r="D154" s="1" t="n">
        <v>45136</v>
      </c>
      <c r="E154" s="1" t="n">
        <v>46218</v>
      </c>
      <c r="F154" t="inlineStr">
        <is>
          <t>NORRBOTTENS LÄN</t>
        </is>
      </c>
      <c r="G154" t="inlineStr">
        <is>
          <t>ÖVERTORNEÅ</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50447-2024</t>
        </is>
      </c>
      <c r="B155" t="inlineStr">
        <is>
          <t>avverkningsanmälan</t>
        </is>
      </c>
      <c r="C155" t="inlineStr">
        <is>
          <t>Avverkning för annat ändamål</t>
        </is>
      </c>
      <c r="D155" s="1" t="n">
        <v>45601</v>
      </c>
      <c r="E155" s="1" t="n">
        <v>46218</v>
      </c>
      <c r="F155" t="inlineStr">
        <is>
          <t>NORRBOTTENS LÄN</t>
        </is>
      </c>
      <c r="G155" t="inlineStr">
        <is>
          <t>ÖVERTORNEÅ</t>
        </is>
      </c>
      <c r="I155" t="n">
        <v>10</v>
      </c>
      <c r="J155" t="n">
        <v>0</v>
      </c>
      <c r="K155" t="n">
        <v>0</v>
      </c>
      <c r="L155" t="n">
        <v>0</v>
      </c>
      <c r="M155" t="n">
        <v>0</v>
      </c>
      <c r="N155" t="n">
        <v>0</v>
      </c>
      <c r="O155" t="n">
        <v>0</v>
      </c>
      <c r="P155" t="n">
        <v>0</v>
      </c>
      <c r="Q155" t="n">
        <v>0</v>
      </c>
      <c r="R155" t="n">
        <v>0</v>
      </c>
      <c r="S155" t="n">
        <v>0</v>
      </c>
      <c r="T155" t="n">
        <v>0</v>
      </c>
      <c r="U155" s="2" t="inlineStr"/>
    </row>
    <row r="156" ht="15" customHeight="1">
      <c r="A156" t="inlineStr">
        <is>
          <t>A 5095-2025</t>
        </is>
      </c>
      <c r="B156" t="inlineStr">
        <is>
          <t>avverkningsanmälan</t>
        </is>
      </c>
      <c r="C156" t="inlineStr">
        <is>
          <t>Avverkning för annat ändamål</t>
        </is>
      </c>
      <c r="D156" s="1" t="n">
        <v>45691</v>
      </c>
      <c r="E156" s="1" t="n">
        <v>46218</v>
      </c>
      <c r="F156" t="inlineStr">
        <is>
          <t>NORRBOTTENS LÄN</t>
        </is>
      </c>
      <c r="G156" t="inlineStr">
        <is>
          <t>ÖVERTORNEÅ</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35220-2022</t>
        </is>
      </c>
      <c r="B157" t="inlineStr">
        <is>
          <t>avverkningsanmälan</t>
        </is>
      </c>
      <c r="C157" t="inlineStr">
        <is>
          <t>Föryngringsavverkning</t>
        </is>
      </c>
      <c r="D157" s="1" t="n">
        <v>44797</v>
      </c>
      <c r="E157" s="1" t="n">
        <v>46218</v>
      </c>
      <c r="F157" t="inlineStr">
        <is>
          <t>NORRBOTTENS LÄN</t>
        </is>
      </c>
      <c r="G157" t="inlineStr">
        <is>
          <t>ÖVERTORNEÅ</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15201-2023</t>
        </is>
      </c>
      <c r="B158" t="inlineStr">
        <is>
          <t>avverkningsanmälan</t>
        </is>
      </c>
      <c r="C158" t="inlineStr">
        <is>
          <t>Föryngringsavverkning</t>
        </is>
      </c>
      <c r="D158" s="1" t="n">
        <v>45017</v>
      </c>
      <c r="E158" s="1" t="n">
        <v>46218</v>
      </c>
      <c r="F158" t="inlineStr">
        <is>
          <t>NORRBOTTENS LÄN</t>
        </is>
      </c>
      <c r="G158" t="inlineStr">
        <is>
          <t>ÖVERTORNEÅ</t>
        </is>
      </c>
      <c r="I158" t="n">
        <v>6.9</v>
      </c>
      <c r="J158" t="n">
        <v>0</v>
      </c>
      <c r="K158" t="n">
        <v>0</v>
      </c>
      <c r="L158" t="n">
        <v>0</v>
      </c>
      <c r="M158" t="n">
        <v>0</v>
      </c>
      <c r="N158" t="n">
        <v>0</v>
      </c>
      <c r="O158" t="n">
        <v>0</v>
      </c>
      <c r="P158" t="n">
        <v>0</v>
      </c>
      <c r="Q158" t="n">
        <v>0</v>
      </c>
      <c r="R158" t="n">
        <v>0</v>
      </c>
      <c r="S158" t="n">
        <v>0</v>
      </c>
      <c r="T158" t="n">
        <v>0</v>
      </c>
      <c r="U158" s="2" t="inlineStr"/>
    </row>
    <row r="159" ht="15" customHeight="1">
      <c r="A159" t="inlineStr">
        <is>
          <t>A 12653-2025</t>
        </is>
      </c>
      <c r="B159" t="inlineStr">
        <is>
          <t>avverkningsanmälan</t>
        </is>
      </c>
      <c r="C159" t="inlineStr">
        <is>
          <t>Föryngringsavverkning</t>
        </is>
      </c>
      <c r="D159" s="1" t="n">
        <v>45733</v>
      </c>
      <c r="E159" s="1" t="n">
        <v>46218</v>
      </c>
      <c r="F159" t="inlineStr">
        <is>
          <t>NORRBOTTENS LÄN</t>
        </is>
      </c>
      <c r="G159" t="inlineStr">
        <is>
          <t>ÖVERTORNEÅ</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4280-2025</t>
        </is>
      </c>
      <c r="B160" t="inlineStr">
        <is>
          <t>avverkningsanmälan</t>
        </is>
      </c>
      <c r="C160" t="inlineStr">
        <is>
          <t>Föryngringsavverkning</t>
        </is>
      </c>
      <c r="D160" s="1" t="n">
        <v>45685</v>
      </c>
      <c r="E160" s="1" t="n">
        <v>46218</v>
      </c>
      <c r="F160" t="inlineStr">
        <is>
          <t>NORRBOTTENS LÄN</t>
        </is>
      </c>
      <c r="G160" t="inlineStr">
        <is>
          <t>ÖVERTORNEÅ</t>
        </is>
      </c>
      <c r="I160" t="n">
        <v>3.8</v>
      </c>
      <c r="J160" t="n">
        <v>0</v>
      </c>
      <c r="K160" t="n">
        <v>0</v>
      </c>
      <c r="L160" t="n">
        <v>0</v>
      </c>
      <c r="M160" t="n">
        <v>0</v>
      </c>
      <c r="N160" t="n">
        <v>0</v>
      </c>
      <c r="O160" t="n">
        <v>0</v>
      </c>
      <c r="P160" t="n">
        <v>0</v>
      </c>
      <c r="Q160" t="n">
        <v>0</v>
      </c>
      <c r="R160" t="n">
        <v>0</v>
      </c>
      <c r="S160" t="n">
        <v>0</v>
      </c>
      <c r="T160" t="n">
        <v>0</v>
      </c>
      <c r="U160" s="2" t="inlineStr"/>
    </row>
    <row r="161" ht="15" customHeight="1">
      <c r="A161" t="inlineStr">
        <is>
          <t>A 11831-2022</t>
        </is>
      </c>
      <c r="B161" t="inlineStr">
        <is>
          <t>avverkningsanmälan</t>
        </is>
      </c>
      <c r="C161" t="inlineStr">
        <is>
          <t>Föryngringsavverkning</t>
        </is>
      </c>
      <c r="D161" s="1" t="n">
        <v>44634</v>
      </c>
      <c r="E161" s="1" t="n">
        <v>46218</v>
      </c>
      <c r="F161" t="inlineStr">
        <is>
          <t>NORRBOTTENS LÄN</t>
        </is>
      </c>
      <c r="G161" t="inlineStr">
        <is>
          <t>ÖVERTORNEÅ</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1476-2023</t>
        </is>
      </c>
      <c r="B162" t="inlineStr">
        <is>
          <t>avverkningsanmälan</t>
        </is>
      </c>
      <c r="C162" t="inlineStr">
        <is>
          <t>Föryngringsavverkning</t>
        </is>
      </c>
      <c r="D162" s="1" t="n">
        <v>44937</v>
      </c>
      <c r="E162" s="1" t="n">
        <v>46218</v>
      </c>
      <c r="F162" t="inlineStr">
        <is>
          <t>NORRBOTTENS LÄN</t>
        </is>
      </c>
      <c r="G162" t="inlineStr">
        <is>
          <t>ÖVERTORNEÅ</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60385-2022</t>
        </is>
      </c>
      <c r="B163" t="inlineStr">
        <is>
          <t>avverkningsanmälan</t>
        </is>
      </c>
      <c r="C163" t="inlineStr">
        <is>
          <t>Föryngringsavverkning</t>
        </is>
      </c>
      <c r="D163" s="1" t="n">
        <v>44910</v>
      </c>
      <c r="E163" s="1" t="n">
        <v>46218</v>
      </c>
      <c r="F163" t="inlineStr">
        <is>
          <t>NORRBOTTENS LÄN</t>
        </is>
      </c>
      <c r="G163" t="inlineStr">
        <is>
          <t>ÖVERTORNEÅ</t>
        </is>
      </c>
      <c r="I163" t="n">
        <v>17.2</v>
      </c>
      <c r="J163" t="n">
        <v>0</v>
      </c>
      <c r="K163" t="n">
        <v>0</v>
      </c>
      <c r="L163" t="n">
        <v>0</v>
      </c>
      <c r="M163" t="n">
        <v>0</v>
      </c>
      <c r="N163" t="n">
        <v>0</v>
      </c>
      <c r="O163" t="n">
        <v>0</v>
      </c>
      <c r="P163" t="n">
        <v>0</v>
      </c>
      <c r="Q163" t="n">
        <v>0</v>
      </c>
      <c r="R163" t="n">
        <v>0</v>
      </c>
      <c r="S163" t="n">
        <v>0</v>
      </c>
      <c r="T163" t="n">
        <v>0</v>
      </c>
      <c r="U163" s="2" t="inlineStr"/>
    </row>
    <row r="164" ht="15" customHeight="1">
      <c r="A164" t="inlineStr">
        <is>
          <t>A 14826-2024</t>
        </is>
      </c>
      <c r="B164" t="inlineStr">
        <is>
          <t>avverkningsanmälan</t>
        </is>
      </c>
      <c r="C164" t="inlineStr">
        <is>
          <t>Föryngringsavverkning</t>
        </is>
      </c>
      <c r="D164" s="1" t="n">
        <v>45398</v>
      </c>
      <c r="E164" s="1" t="n">
        <v>46218</v>
      </c>
      <c r="F164" t="inlineStr">
        <is>
          <t>NORRBOTTENS LÄN</t>
        </is>
      </c>
      <c r="G164" t="inlineStr">
        <is>
          <t>ÖVERTORNEÅ</t>
        </is>
      </c>
      <c r="H164" t="inlineStr">
        <is>
          <t>Sveaskog</t>
        </is>
      </c>
      <c r="I164" t="n">
        <v>32.7</v>
      </c>
      <c r="J164" t="n">
        <v>0</v>
      </c>
      <c r="K164" t="n">
        <v>0</v>
      </c>
      <c r="L164" t="n">
        <v>0</v>
      </c>
      <c r="M164" t="n">
        <v>0</v>
      </c>
      <c r="N164" t="n">
        <v>0</v>
      </c>
      <c r="O164" t="n">
        <v>0</v>
      </c>
      <c r="P164" t="n">
        <v>0</v>
      </c>
      <c r="Q164" t="n">
        <v>0</v>
      </c>
      <c r="R164" t="n">
        <v>0</v>
      </c>
      <c r="S164" t="n">
        <v>0</v>
      </c>
      <c r="T164" t="n">
        <v>0</v>
      </c>
      <c r="U164" s="2" t="inlineStr"/>
    </row>
    <row r="165" ht="15" customHeight="1">
      <c r="A165" t="inlineStr">
        <is>
          <t>A 32681-2024</t>
        </is>
      </c>
      <c r="B165" t="inlineStr">
        <is>
          <t>avverkningsanmälan</t>
        </is>
      </c>
      <c r="C165" t="inlineStr">
        <is>
          <t>Föryngringsavverkning</t>
        </is>
      </c>
      <c r="D165" s="1" t="n">
        <v>45515</v>
      </c>
      <c r="E165" s="1" t="n">
        <v>46218</v>
      </c>
      <c r="F165" t="inlineStr">
        <is>
          <t>NORRBOTTENS LÄN</t>
        </is>
      </c>
      <c r="G165" t="inlineStr">
        <is>
          <t>ÖVERTORNEÅ</t>
        </is>
      </c>
      <c r="I165" t="n">
        <v>8.4</v>
      </c>
      <c r="J165" t="n">
        <v>0</v>
      </c>
      <c r="K165" t="n">
        <v>0</v>
      </c>
      <c r="L165" t="n">
        <v>0</v>
      </c>
      <c r="M165" t="n">
        <v>0</v>
      </c>
      <c r="N165" t="n">
        <v>0</v>
      </c>
      <c r="O165" t="n">
        <v>0</v>
      </c>
      <c r="P165" t="n">
        <v>0</v>
      </c>
      <c r="Q165" t="n">
        <v>0</v>
      </c>
      <c r="R165" t="n">
        <v>0</v>
      </c>
      <c r="S165" t="n">
        <v>0</v>
      </c>
      <c r="T165" t="n">
        <v>0</v>
      </c>
      <c r="U165" s="2" t="inlineStr"/>
    </row>
    <row r="166" ht="15" customHeight="1">
      <c r="A166" t="inlineStr">
        <is>
          <t>A 17807-2024</t>
        </is>
      </c>
      <c r="B166" t="inlineStr">
        <is>
          <t>avverkningsanmälan</t>
        </is>
      </c>
      <c r="C166" t="inlineStr">
        <is>
          <t>Föryngringsavverkning</t>
        </is>
      </c>
      <c r="D166" s="1" t="n">
        <v>45418</v>
      </c>
      <c r="E166" s="1" t="n">
        <v>46218</v>
      </c>
      <c r="F166" t="inlineStr">
        <is>
          <t>NORRBOTTENS LÄN</t>
        </is>
      </c>
      <c r="G166" t="inlineStr">
        <is>
          <t>ÖVERTORNEÅ</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25149-2022</t>
        </is>
      </c>
      <c r="B167" t="inlineStr">
        <is>
          <t>avverkningsanmälan</t>
        </is>
      </c>
      <c r="C167" t="inlineStr">
        <is>
          <t>Föryngringsavverkning</t>
        </is>
      </c>
      <c r="D167" s="1" t="n">
        <v>44729</v>
      </c>
      <c r="E167" s="1" t="n">
        <v>46218</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s="2" t="inlineStr"/>
    </row>
    <row r="168" ht="15" customHeight="1">
      <c r="A168" t="inlineStr">
        <is>
          <t>A 44540-2024</t>
        </is>
      </c>
      <c r="B168" t="inlineStr">
        <is>
          <t>avverkningsanmälan</t>
        </is>
      </c>
      <c r="C168" t="inlineStr">
        <is>
          <t>Föryngringsavverkning</t>
        </is>
      </c>
      <c r="D168" s="1" t="n">
        <v>45574</v>
      </c>
      <c r="E168" s="1" t="n">
        <v>46218</v>
      </c>
      <c r="F168" t="inlineStr">
        <is>
          <t>NORRBOTTENS LÄN</t>
        </is>
      </c>
      <c r="G168" t="inlineStr">
        <is>
          <t>ÖVERTORNEÅ</t>
        </is>
      </c>
      <c r="I168" t="n">
        <v>4.3</v>
      </c>
      <c r="J168" t="n">
        <v>0</v>
      </c>
      <c r="K168" t="n">
        <v>0</v>
      </c>
      <c r="L168" t="n">
        <v>0</v>
      </c>
      <c r="M168" t="n">
        <v>0</v>
      </c>
      <c r="N168" t="n">
        <v>0</v>
      </c>
      <c r="O168" t="n">
        <v>0</v>
      </c>
      <c r="P168" t="n">
        <v>0</v>
      </c>
      <c r="Q168" t="n">
        <v>0</v>
      </c>
      <c r="R168" t="n">
        <v>0</v>
      </c>
      <c r="S168" t="n">
        <v>0</v>
      </c>
      <c r="T168" t="n">
        <v>0</v>
      </c>
      <c r="U168" s="2" t="inlineStr"/>
    </row>
    <row r="169" ht="15" customHeight="1">
      <c r="A169" t="inlineStr">
        <is>
          <t>A 47909-2025</t>
        </is>
      </c>
      <c r="B169" t="inlineStr">
        <is>
          <t>avverkningsanmälan</t>
        </is>
      </c>
      <c r="C169" t="inlineStr">
        <is>
          <t>Föryngringsavverkning</t>
        </is>
      </c>
      <c r="D169" s="1" t="n">
        <v>45932</v>
      </c>
      <c r="E169" s="1" t="n">
        <v>46218</v>
      </c>
      <c r="F169" t="inlineStr">
        <is>
          <t>NORRBOTTENS LÄN</t>
        </is>
      </c>
      <c r="G169" t="inlineStr">
        <is>
          <t>ÖVERTORNEÅ</t>
        </is>
      </c>
      <c r="H169" t="inlineStr">
        <is>
          <t>Sveaskog</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8125-2025</t>
        </is>
      </c>
      <c r="B170" t="inlineStr">
        <is>
          <t>avverkningsanmälan</t>
        </is>
      </c>
      <c r="C170" t="inlineStr">
        <is>
          <t>Föryngringsavverkning</t>
        </is>
      </c>
      <c r="D170" s="1" t="n">
        <v>45707</v>
      </c>
      <c r="E170" s="1" t="n">
        <v>46218</v>
      </c>
      <c r="F170" t="inlineStr">
        <is>
          <t>NORRBOTTENS LÄN</t>
        </is>
      </c>
      <c r="G170" t="inlineStr">
        <is>
          <t>ÖVERTORNEÅ</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16006-2024</t>
        </is>
      </c>
      <c r="B171" t="inlineStr">
        <is>
          <t>avverkningsanmälan</t>
        </is>
      </c>
      <c r="C171" t="inlineStr">
        <is>
          <t>Föryngringsavverkning</t>
        </is>
      </c>
      <c r="D171" s="1" t="n">
        <v>45405</v>
      </c>
      <c r="E171" s="1" t="n">
        <v>46218</v>
      </c>
      <c r="F171" t="inlineStr">
        <is>
          <t>NORRBOTTENS LÄN</t>
        </is>
      </c>
      <c r="G171" t="inlineStr">
        <is>
          <t>ÖVERTORNEÅ</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61782-2022</t>
        </is>
      </c>
      <c r="B172" t="inlineStr">
        <is>
          <t>avverkningsanmälan</t>
        </is>
      </c>
      <c r="C172" t="inlineStr">
        <is>
          <t>Föryngringsavverkning</t>
        </is>
      </c>
      <c r="D172" s="1" t="n">
        <v>44917</v>
      </c>
      <c r="E172" s="1" t="n">
        <v>46218</v>
      </c>
      <c r="F172" t="inlineStr">
        <is>
          <t>NORRBOTTENS LÄN</t>
        </is>
      </c>
      <c r="G172" t="inlineStr">
        <is>
          <t>ÖVERTORNEÅ</t>
        </is>
      </c>
      <c r="I172" t="n">
        <v>7</v>
      </c>
      <c r="J172" t="n">
        <v>0</v>
      </c>
      <c r="K172" t="n">
        <v>0</v>
      </c>
      <c r="L172" t="n">
        <v>0</v>
      </c>
      <c r="M172" t="n">
        <v>0</v>
      </c>
      <c r="N172" t="n">
        <v>0</v>
      </c>
      <c r="O172" t="n">
        <v>0</v>
      </c>
      <c r="P172" t="n">
        <v>0</v>
      </c>
      <c r="Q172" t="n">
        <v>0</v>
      </c>
      <c r="R172" t="n">
        <v>0</v>
      </c>
      <c r="S172" t="n">
        <v>0</v>
      </c>
      <c r="T172" t="n">
        <v>0</v>
      </c>
      <c r="U172" s="2" t="inlineStr"/>
    </row>
    <row r="173" ht="15" customHeight="1">
      <c r="A173" t="inlineStr">
        <is>
          <t>A 4011-2022</t>
        </is>
      </c>
      <c r="B173" t="inlineStr">
        <is>
          <t>avverkningsanmälan</t>
        </is>
      </c>
      <c r="C173" t="inlineStr">
        <is>
          <t>Avverkning för att bevara och utveckla /försöksver</t>
        </is>
      </c>
      <c r="D173" s="1" t="n">
        <v>44587</v>
      </c>
      <c r="E173" s="1" t="n">
        <v>46218</v>
      </c>
      <c r="F173" t="inlineStr">
        <is>
          <t>NORRBOTTENS LÄN</t>
        </is>
      </c>
      <c r="G173" t="inlineStr">
        <is>
          <t>ÖVERTORNEÅ</t>
        </is>
      </c>
      <c r="H173" t="inlineStr">
        <is>
          <t>Kommuner</t>
        </is>
      </c>
      <c r="I173" t="n">
        <v>4</v>
      </c>
      <c r="J173" t="n">
        <v>0</v>
      </c>
      <c r="K173" t="n">
        <v>0</v>
      </c>
      <c r="L173" t="n">
        <v>0</v>
      </c>
      <c r="M173" t="n">
        <v>0</v>
      </c>
      <c r="N173" t="n">
        <v>0</v>
      </c>
      <c r="O173" t="n">
        <v>0</v>
      </c>
      <c r="P173" t="n">
        <v>0</v>
      </c>
      <c r="Q173" t="n">
        <v>0</v>
      </c>
      <c r="R173" t="n">
        <v>0</v>
      </c>
      <c r="S173" t="n">
        <v>0</v>
      </c>
      <c r="T173" t="n">
        <v>0</v>
      </c>
      <c r="U173" s="2" t="inlineStr"/>
    </row>
    <row r="174" ht="15" customHeight="1">
      <c r="A174" t="inlineStr">
        <is>
          <t>A 11617-2025</t>
        </is>
      </c>
      <c r="B174" t="inlineStr">
        <is>
          <t>avverkningsanmälan</t>
        </is>
      </c>
      <c r="C174" t="inlineStr">
        <is>
          <t>Föryngringsavverkning</t>
        </is>
      </c>
      <c r="D174" s="1" t="n">
        <v>45727</v>
      </c>
      <c r="E174" s="1" t="n">
        <v>46218</v>
      </c>
      <c r="F174" t="inlineStr">
        <is>
          <t>NORRBOTTENS LÄN</t>
        </is>
      </c>
      <c r="G174" t="inlineStr">
        <is>
          <t>ÖVERTORNEÅ</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23196-2024</t>
        </is>
      </c>
      <c r="B175" t="inlineStr">
        <is>
          <t>avverkningsanmälan</t>
        </is>
      </c>
      <c r="C175" t="inlineStr">
        <is>
          <t>Föryngringsavverkning</t>
        </is>
      </c>
      <c r="D175" s="1" t="n">
        <v>45451</v>
      </c>
      <c r="E175" s="1" t="n">
        <v>46218</v>
      </c>
      <c r="F175" t="inlineStr">
        <is>
          <t>NORRBOTTENS LÄN</t>
        </is>
      </c>
      <c r="G175" t="inlineStr">
        <is>
          <t>ÖVERTORNEÅ</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12532-2024</t>
        </is>
      </c>
      <c r="B176" t="inlineStr">
        <is>
          <t>avverkningsanmälan</t>
        </is>
      </c>
      <c r="C176" t="inlineStr">
        <is>
          <t>Föryngringsavverkning</t>
        </is>
      </c>
      <c r="D176" s="1" t="n">
        <v>45379</v>
      </c>
      <c r="E176" s="1" t="n">
        <v>46218</v>
      </c>
      <c r="F176" t="inlineStr">
        <is>
          <t>NORRBOTTENS LÄN</t>
        </is>
      </c>
      <c r="G176" t="inlineStr">
        <is>
          <t>ÖVERTORNEÅ</t>
        </is>
      </c>
      <c r="I176" t="n">
        <v>10.3</v>
      </c>
      <c r="J176" t="n">
        <v>0</v>
      </c>
      <c r="K176" t="n">
        <v>0</v>
      </c>
      <c r="L176" t="n">
        <v>0</v>
      </c>
      <c r="M176" t="n">
        <v>0</v>
      </c>
      <c r="N176" t="n">
        <v>0</v>
      </c>
      <c r="O176" t="n">
        <v>0</v>
      </c>
      <c r="P176" t="n">
        <v>0</v>
      </c>
      <c r="Q176" t="n">
        <v>0</v>
      </c>
      <c r="R176" t="n">
        <v>0</v>
      </c>
      <c r="S176" t="n">
        <v>0</v>
      </c>
      <c r="T176" t="n">
        <v>0</v>
      </c>
      <c r="U176" s="2" t="inlineStr"/>
    </row>
    <row r="177" ht="15" customHeight="1">
      <c r="A177" t="inlineStr">
        <is>
          <t>A 58691-2021</t>
        </is>
      </c>
      <c r="B177" t="inlineStr">
        <is>
          <t>avverkningsanmälan</t>
        </is>
      </c>
      <c r="C177" t="inlineStr">
        <is>
          <t>Föryngringsavverkning</t>
        </is>
      </c>
      <c r="D177" s="1" t="n">
        <v>44489</v>
      </c>
      <c r="E177" s="1" t="n">
        <v>46218</v>
      </c>
      <c r="F177" t="inlineStr">
        <is>
          <t>NORRBOTTENS LÄN</t>
        </is>
      </c>
      <c r="G177" t="inlineStr">
        <is>
          <t>ÖVERTORNEÅ</t>
        </is>
      </c>
      <c r="I177" t="n">
        <v>4</v>
      </c>
      <c r="J177" t="n">
        <v>0</v>
      </c>
      <c r="K177" t="n">
        <v>0</v>
      </c>
      <c r="L177" t="n">
        <v>0</v>
      </c>
      <c r="M177" t="n">
        <v>0</v>
      </c>
      <c r="N177" t="n">
        <v>0</v>
      </c>
      <c r="O177" t="n">
        <v>0</v>
      </c>
      <c r="P177" t="n">
        <v>0</v>
      </c>
      <c r="Q177" t="n">
        <v>0</v>
      </c>
      <c r="R177" t="n">
        <v>0</v>
      </c>
      <c r="S177" t="n">
        <v>0</v>
      </c>
      <c r="T177" t="n">
        <v>0</v>
      </c>
      <c r="U177" s="2" t="inlineStr"/>
    </row>
    <row r="178" ht="15" customHeight="1">
      <c r="A178" t="inlineStr">
        <is>
          <t>A 16566-2022</t>
        </is>
      </c>
      <c r="B178" t="inlineStr">
        <is>
          <t>avverkningsanmälan</t>
        </is>
      </c>
      <c r="C178" t="inlineStr">
        <is>
          <t>Avverkning för annat ändamål</t>
        </is>
      </c>
      <c r="D178" s="1" t="n">
        <v>44672</v>
      </c>
      <c r="E178" s="1" t="n">
        <v>46218</v>
      </c>
      <c r="F178" t="inlineStr">
        <is>
          <t>NORRBOTTENS LÄN</t>
        </is>
      </c>
      <c r="G178" t="inlineStr">
        <is>
          <t>ÖVERTORNEÅ</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47912-2025</t>
        </is>
      </c>
      <c r="B179" t="inlineStr">
        <is>
          <t>avverkningsanmälan</t>
        </is>
      </c>
      <c r="C179" t="inlineStr">
        <is>
          <t>Föryngringsavverkning</t>
        </is>
      </c>
      <c r="D179" s="1" t="n">
        <v>45932</v>
      </c>
      <c r="E179" s="1" t="n">
        <v>46218</v>
      </c>
      <c r="F179" t="inlineStr">
        <is>
          <t>NORRBOTTENS LÄN</t>
        </is>
      </c>
      <c r="G179" t="inlineStr">
        <is>
          <t>ÖVERTORNEÅ</t>
        </is>
      </c>
      <c r="H179" t="inlineStr">
        <is>
          <t>Sveaskog</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47914-2025</t>
        </is>
      </c>
      <c r="B180" t="inlineStr">
        <is>
          <t>avverkningsanmälan</t>
        </is>
      </c>
      <c r="C180" t="inlineStr">
        <is>
          <t>Föryngringsavverkning</t>
        </is>
      </c>
      <c r="D180" s="1" t="n">
        <v>45932</v>
      </c>
      <c r="E180" s="1" t="n">
        <v>46218</v>
      </c>
      <c r="F180" t="inlineStr">
        <is>
          <t>NORRBOTTENS LÄN</t>
        </is>
      </c>
      <c r="G180" t="inlineStr">
        <is>
          <t>ÖVERTORNEÅ</t>
        </is>
      </c>
      <c r="H180" t="inlineStr">
        <is>
          <t>Sveaskog</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48701-2025</t>
        </is>
      </c>
      <c r="B181" t="inlineStr">
        <is>
          <t>avverkningsanmälan</t>
        </is>
      </c>
      <c r="C181" t="inlineStr">
        <is>
          <t>Avverkning för annat ändamål</t>
        </is>
      </c>
      <c r="D181" s="1" t="n">
        <v>45936</v>
      </c>
      <c r="E181" s="1" t="n">
        <v>46218</v>
      </c>
      <c r="F181" t="inlineStr">
        <is>
          <t>NORRBOTTENS LÄN</t>
        </is>
      </c>
      <c r="G181" t="inlineStr">
        <is>
          <t>ÖVERTORNEÅ</t>
        </is>
      </c>
      <c r="H181" t="inlineStr">
        <is>
          <t>Sveaskog</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16471-2022</t>
        </is>
      </c>
      <c r="B182" t="inlineStr">
        <is>
          <t>avverkningsanmälan</t>
        </is>
      </c>
      <c r="C182" t="inlineStr">
        <is>
          <t>Föryngringsavverkning</t>
        </is>
      </c>
      <c r="D182" s="1" t="n">
        <v>44671</v>
      </c>
      <c r="E182" s="1" t="n">
        <v>46218</v>
      </c>
      <c r="F182" t="inlineStr">
        <is>
          <t>NORRBOTTENS LÄN</t>
        </is>
      </c>
      <c r="G182" t="inlineStr">
        <is>
          <t>ÖVERTORNEÅ</t>
        </is>
      </c>
      <c r="I182" t="n">
        <v>4.2</v>
      </c>
      <c r="J182" t="n">
        <v>0</v>
      </c>
      <c r="K182" t="n">
        <v>0</v>
      </c>
      <c r="L182" t="n">
        <v>0</v>
      </c>
      <c r="M182" t="n">
        <v>0</v>
      </c>
      <c r="N182" t="n">
        <v>0</v>
      </c>
      <c r="O182" t="n">
        <v>0</v>
      </c>
      <c r="P182" t="n">
        <v>0</v>
      </c>
      <c r="Q182" t="n">
        <v>0</v>
      </c>
      <c r="R182" t="n">
        <v>0</v>
      </c>
      <c r="S182" t="n">
        <v>0</v>
      </c>
      <c r="T182" t="n">
        <v>0</v>
      </c>
      <c r="U182" s="2" t="inlineStr"/>
    </row>
    <row r="183" ht="15" customHeight="1">
      <c r="A183" t="inlineStr">
        <is>
          <t>A 46651-2023</t>
        </is>
      </c>
      <c r="B183" t="inlineStr">
        <is>
          <t>avverkningsanmälan</t>
        </is>
      </c>
      <c r="C183" t="inlineStr">
        <is>
          <t>Föryngringsavverkning</t>
        </is>
      </c>
      <c r="D183" s="1" t="n">
        <v>45194</v>
      </c>
      <c r="E183" s="1" t="n">
        <v>46218</v>
      </c>
      <c r="F183" t="inlineStr">
        <is>
          <t>NORRBOTTENS LÄN</t>
        </is>
      </c>
      <c r="G183" t="inlineStr">
        <is>
          <t>ÖVERTORNEÅ</t>
        </is>
      </c>
      <c r="I183" t="n">
        <v>10.1</v>
      </c>
      <c r="J183" t="n">
        <v>0</v>
      </c>
      <c r="K183" t="n">
        <v>0</v>
      </c>
      <c r="L183" t="n">
        <v>0</v>
      </c>
      <c r="M183" t="n">
        <v>0</v>
      </c>
      <c r="N183" t="n">
        <v>0</v>
      </c>
      <c r="O183" t="n">
        <v>0</v>
      </c>
      <c r="P183" t="n">
        <v>0</v>
      </c>
      <c r="Q183" t="n">
        <v>0</v>
      </c>
      <c r="R183" t="n">
        <v>0</v>
      </c>
      <c r="S183" t="n">
        <v>0</v>
      </c>
      <c r="T183" t="n">
        <v>0</v>
      </c>
      <c r="U183" s="2" t="inlineStr"/>
    </row>
    <row r="184" ht="15" customHeight="1">
      <c r="A184" t="inlineStr">
        <is>
          <t>A 48691-2025</t>
        </is>
      </c>
      <c r="B184" t="inlineStr">
        <is>
          <t>avverkningsanmälan</t>
        </is>
      </c>
      <c r="C184" t="inlineStr">
        <is>
          <t>Föryngringsavverkning</t>
        </is>
      </c>
      <c r="D184" s="1" t="n">
        <v>45936</v>
      </c>
      <c r="E184" s="1" t="n">
        <v>46218</v>
      </c>
      <c r="F184" t="inlineStr">
        <is>
          <t>NORRBOTTENS LÄN</t>
        </is>
      </c>
      <c r="G184" t="inlineStr">
        <is>
          <t>ÖVERTORNEÅ</t>
        </is>
      </c>
      <c r="H184" t="inlineStr">
        <is>
          <t>Sveaskog</t>
        </is>
      </c>
      <c r="I184" t="n">
        <v>7.8</v>
      </c>
      <c r="J184" t="n">
        <v>0</v>
      </c>
      <c r="K184" t="n">
        <v>0</v>
      </c>
      <c r="L184" t="n">
        <v>0</v>
      </c>
      <c r="M184" t="n">
        <v>0</v>
      </c>
      <c r="N184" t="n">
        <v>0</v>
      </c>
      <c r="O184" t="n">
        <v>0</v>
      </c>
      <c r="P184" t="n">
        <v>0</v>
      </c>
      <c r="Q184" t="n">
        <v>0</v>
      </c>
      <c r="R184" t="n">
        <v>0</v>
      </c>
      <c r="S184" t="n">
        <v>0</v>
      </c>
      <c r="T184" t="n">
        <v>0</v>
      </c>
      <c r="U184" s="2" t="inlineStr"/>
    </row>
    <row r="185" ht="15" customHeight="1">
      <c r="A185" t="inlineStr">
        <is>
          <t>A 48610-2025</t>
        </is>
      </c>
      <c r="B185" t="inlineStr">
        <is>
          <t>avverkningsanmälan</t>
        </is>
      </c>
      <c r="C185" t="inlineStr">
        <is>
          <t>Avverkning för annat ändamål</t>
        </is>
      </c>
      <c r="D185" s="1" t="n">
        <v>45936</v>
      </c>
      <c r="E185" s="1" t="n">
        <v>46218</v>
      </c>
      <c r="F185" t="inlineStr">
        <is>
          <t>NORRBOTTENS LÄN</t>
        </is>
      </c>
      <c r="G185" t="inlineStr">
        <is>
          <t>ÖVERTORNEÅ</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43487-2021</t>
        </is>
      </c>
      <c r="B186" t="inlineStr">
        <is>
          <t>avverkningsanmälan</t>
        </is>
      </c>
      <c r="C186" t="inlineStr">
        <is>
          <t>Föryngringsavverkning</t>
        </is>
      </c>
      <c r="D186" s="1" t="n">
        <v>44432</v>
      </c>
      <c r="E186" s="1" t="n">
        <v>46218</v>
      </c>
      <c r="F186" t="inlineStr">
        <is>
          <t>NORRBOTTENS LÄN</t>
        </is>
      </c>
      <c r="G186" t="inlineStr">
        <is>
          <t>ÖVERTORNEÅ</t>
        </is>
      </c>
      <c r="I186" t="n">
        <v>22.5</v>
      </c>
      <c r="J186" t="n">
        <v>0</v>
      </c>
      <c r="K186" t="n">
        <v>0</v>
      </c>
      <c r="L186" t="n">
        <v>0</v>
      </c>
      <c r="M186" t="n">
        <v>0</v>
      </c>
      <c r="N186" t="n">
        <v>0</v>
      </c>
      <c r="O186" t="n">
        <v>0</v>
      </c>
      <c r="P186" t="n">
        <v>0</v>
      </c>
      <c r="Q186" t="n">
        <v>0</v>
      </c>
      <c r="R186" t="n">
        <v>0</v>
      </c>
      <c r="S186" t="n">
        <v>0</v>
      </c>
      <c r="T186" t="n">
        <v>0</v>
      </c>
      <c r="U186" s="2" t="inlineStr"/>
    </row>
    <row r="187" ht="15" customHeight="1">
      <c r="A187" t="inlineStr">
        <is>
          <t>A 49368-2025</t>
        </is>
      </c>
      <c r="B187" t="inlineStr">
        <is>
          <t>avverkningsanmälan</t>
        </is>
      </c>
      <c r="C187" t="inlineStr">
        <is>
          <t>Föryngringsavverkning</t>
        </is>
      </c>
      <c r="D187" s="1" t="n">
        <v>45938</v>
      </c>
      <c r="E187" s="1" t="n">
        <v>46218</v>
      </c>
      <c r="F187" t="inlineStr">
        <is>
          <t>NORRBOTTENS LÄN</t>
        </is>
      </c>
      <c r="G187" t="inlineStr">
        <is>
          <t>ÖVERTORNEÅ</t>
        </is>
      </c>
      <c r="H187" t="inlineStr">
        <is>
          <t>Sveaskog</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49362-2025</t>
        </is>
      </c>
      <c r="B188" t="inlineStr">
        <is>
          <t>avverkningsanmälan</t>
        </is>
      </c>
      <c r="C188" t="inlineStr">
        <is>
          <t>Föryngringsavverkning</t>
        </is>
      </c>
      <c r="D188" s="1" t="n">
        <v>45938</v>
      </c>
      <c r="E188" s="1" t="n">
        <v>46218</v>
      </c>
      <c r="F188" t="inlineStr">
        <is>
          <t>NORRBOTTENS LÄN</t>
        </is>
      </c>
      <c r="G188" t="inlineStr">
        <is>
          <t>ÖVERTORNEÅ</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49353-2025</t>
        </is>
      </c>
      <c r="B189" t="inlineStr">
        <is>
          <t>avverkningsanmälan</t>
        </is>
      </c>
      <c r="C189" t="inlineStr">
        <is>
          <t>Föryngringsavverkning</t>
        </is>
      </c>
      <c r="D189" s="1" t="n">
        <v>45938</v>
      </c>
      <c r="E189" s="1" t="n">
        <v>46218</v>
      </c>
      <c r="F189" t="inlineStr">
        <is>
          <t>NORRBOTTENS LÄN</t>
        </is>
      </c>
      <c r="G189" t="inlineStr">
        <is>
          <t>ÖVERTORNEÅ</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50184-2025</t>
        </is>
      </c>
      <c r="B190" t="inlineStr">
        <is>
          <t>avverkningsanmälan</t>
        </is>
      </c>
      <c r="C190" t="inlineStr">
        <is>
          <t>Föryngringsavverkning</t>
        </is>
      </c>
      <c r="D190" s="1" t="n">
        <v>45943</v>
      </c>
      <c r="E190" s="1" t="n">
        <v>46218</v>
      </c>
      <c r="F190" t="inlineStr">
        <is>
          <t>NORRBOTTENS LÄN</t>
        </is>
      </c>
      <c r="G190" t="inlineStr">
        <is>
          <t>ÖVERTORNEÅ</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49744-2025</t>
        </is>
      </c>
      <c r="B191" t="inlineStr">
        <is>
          <t>avverkningsanmälan</t>
        </is>
      </c>
      <c r="C191" t="inlineStr">
        <is>
          <t>Avverkning för annat ändamål</t>
        </is>
      </c>
      <c r="D191" s="1" t="n">
        <v>45940</v>
      </c>
      <c r="E191" s="1" t="n">
        <v>46218</v>
      </c>
      <c r="F191" t="inlineStr">
        <is>
          <t>NORRBOTTENS LÄN</t>
        </is>
      </c>
      <c r="G191" t="inlineStr">
        <is>
          <t>ÖVERTORNEÅ</t>
        </is>
      </c>
      <c r="H191" t="inlineStr">
        <is>
          <t>Sveaskog</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34579-2024</t>
        </is>
      </c>
      <c r="B192" t="inlineStr">
        <is>
          <t>avverkningsanmälan</t>
        </is>
      </c>
      <c r="C192" t="inlineStr">
        <is>
          <t>Föryngringsavverkning</t>
        </is>
      </c>
      <c r="D192" s="1" t="n">
        <v>45526</v>
      </c>
      <c r="E192" s="1" t="n">
        <v>46218</v>
      </c>
      <c r="F192" t="inlineStr">
        <is>
          <t>NORRBOTTENS LÄN</t>
        </is>
      </c>
      <c r="G192" t="inlineStr">
        <is>
          <t>ÖVERTORNEÅ</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63475-2023</t>
        </is>
      </c>
      <c r="B193" t="inlineStr">
        <is>
          <t>avverkningsanmälan</t>
        </is>
      </c>
      <c r="C193" t="inlineStr">
        <is>
          <t>Föryngringsavverkning</t>
        </is>
      </c>
      <c r="D193" s="1" t="n">
        <v>45274</v>
      </c>
      <c r="E193" s="1" t="n">
        <v>46218</v>
      </c>
      <c r="F193" t="inlineStr">
        <is>
          <t>NORRBOTTENS LÄN</t>
        </is>
      </c>
      <c r="G193" t="inlineStr">
        <is>
          <t>ÖVERTORNEÅ</t>
        </is>
      </c>
      <c r="I193" t="n">
        <v>4.3</v>
      </c>
      <c r="J193" t="n">
        <v>0</v>
      </c>
      <c r="K193" t="n">
        <v>0</v>
      </c>
      <c r="L193" t="n">
        <v>0</v>
      </c>
      <c r="M193" t="n">
        <v>0</v>
      </c>
      <c r="N193" t="n">
        <v>0</v>
      </c>
      <c r="O193" t="n">
        <v>0</v>
      </c>
      <c r="P193" t="n">
        <v>0</v>
      </c>
      <c r="Q193" t="n">
        <v>0</v>
      </c>
      <c r="R193" t="n">
        <v>0</v>
      </c>
      <c r="S193" t="n">
        <v>0</v>
      </c>
      <c r="T193" t="n">
        <v>0</v>
      </c>
      <c r="U193" s="2" t="inlineStr"/>
    </row>
    <row r="194" ht="15" customHeight="1">
      <c r="A194" t="inlineStr">
        <is>
          <t>A 50236-2025</t>
        </is>
      </c>
      <c r="B194" t="inlineStr">
        <is>
          <t>avverkningsanmälan</t>
        </is>
      </c>
      <c r="C194" t="inlineStr">
        <is>
          <t>Föryngringsavverkning</t>
        </is>
      </c>
      <c r="D194" s="1" t="n">
        <v>45943</v>
      </c>
      <c r="E194" s="1" t="n">
        <v>46218</v>
      </c>
      <c r="F194" t="inlineStr">
        <is>
          <t>NORRBOTTENS LÄN</t>
        </is>
      </c>
      <c r="G194" t="inlineStr">
        <is>
          <t>ÖVERTORNEÅ</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57849-2021</t>
        </is>
      </c>
      <c r="B195" t="inlineStr">
        <is>
          <t>avverkningsanmälan</t>
        </is>
      </c>
      <c r="C195" t="inlineStr">
        <is>
          <t>Föryngringsavverkning</t>
        </is>
      </c>
      <c r="D195" s="1" t="n">
        <v>44484</v>
      </c>
      <c r="E195" s="1" t="n">
        <v>46218</v>
      </c>
      <c r="F195" t="inlineStr">
        <is>
          <t>NORRBOTTENS LÄN</t>
        </is>
      </c>
      <c r="G195" t="inlineStr">
        <is>
          <t>ÖVERTORNEÅ</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12005-2022</t>
        </is>
      </c>
      <c r="B196" t="inlineStr">
        <is>
          <t>avverkningsanmälan</t>
        </is>
      </c>
      <c r="C196" t="inlineStr">
        <is>
          <t>Föryngringsavverkning</t>
        </is>
      </c>
      <c r="D196" s="1" t="n">
        <v>44635</v>
      </c>
      <c r="E196" s="1" t="n">
        <v>46218</v>
      </c>
      <c r="F196" t="inlineStr">
        <is>
          <t>NORRBOTTENS LÄN</t>
        </is>
      </c>
      <c r="G196" t="inlineStr">
        <is>
          <t>ÖVERTORNEÅ</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1623-2024</t>
        </is>
      </c>
      <c r="B197" t="inlineStr">
        <is>
          <t>avverkningsanmälan</t>
        </is>
      </c>
      <c r="C197" t="inlineStr">
        <is>
          <t>Föryngringsavverkning</t>
        </is>
      </c>
      <c r="D197" s="1" t="n">
        <v>45306</v>
      </c>
      <c r="E197" s="1" t="n">
        <v>46218</v>
      </c>
      <c r="F197" t="inlineStr">
        <is>
          <t>NORRBOTTENS LÄN</t>
        </is>
      </c>
      <c r="G197" t="inlineStr">
        <is>
          <t>ÖVERTORNEÅ</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855-2024</t>
        </is>
      </c>
      <c r="B198" t="inlineStr">
        <is>
          <t>avverkningsanmälan</t>
        </is>
      </c>
      <c r="C198" t="inlineStr">
        <is>
          <t>Föryngringsavverkning</t>
        </is>
      </c>
      <c r="D198" s="1" t="n">
        <v>45300</v>
      </c>
      <c r="E198" s="1" t="n">
        <v>46218</v>
      </c>
      <c r="F198" t="inlineStr">
        <is>
          <t>NORRBOTTENS LÄN</t>
        </is>
      </c>
      <c r="G198" t="inlineStr">
        <is>
          <t>ÖVERTORNEÅ</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24785-2024</t>
        </is>
      </c>
      <c r="B199" t="inlineStr">
        <is>
          <t>avverkningsanmälan</t>
        </is>
      </c>
      <c r="C199" t="inlineStr">
        <is>
          <t>Föryngringsavverkning</t>
        </is>
      </c>
      <c r="D199" s="1" t="n">
        <v>45460</v>
      </c>
      <c r="E199" s="1" t="n">
        <v>46218</v>
      </c>
      <c r="F199" t="inlineStr">
        <is>
          <t>NORRBOTTENS LÄN</t>
        </is>
      </c>
      <c r="G199" t="inlineStr">
        <is>
          <t>ÖVERTORNEÅ</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51000-2025</t>
        </is>
      </c>
      <c r="B200" t="inlineStr">
        <is>
          <t>avverkningsanmälan</t>
        </is>
      </c>
      <c r="C200" t="inlineStr">
        <is>
          <t>Föryngringsavverkning</t>
        </is>
      </c>
      <c r="D200" s="1" t="n">
        <v>45947</v>
      </c>
      <c r="E200" s="1" t="n">
        <v>46218</v>
      </c>
      <c r="F200" t="inlineStr">
        <is>
          <t>NORRBOTTENS LÄN</t>
        </is>
      </c>
      <c r="G200" t="inlineStr">
        <is>
          <t>ÖVERTORNEÅ</t>
        </is>
      </c>
      <c r="H200" t="inlineStr">
        <is>
          <t>Sveaskog</t>
        </is>
      </c>
      <c r="I200" t="n">
        <v>5.1</v>
      </c>
      <c r="J200" t="n">
        <v>0</v>
      </c>
      <c r="K200" t="n">
        <v>0</v>
      </c>
      <c r="L200" t="n">
        <v>0</v>
      </c>
      <c r="M200" t="n">
        <v>0</v>
      </c>
      <c r="N200" t="n">
        <v>0</v>
      </c>
      <c r="O200" t="n">
        <v>0</v>
      </c>
      <c r="P200" t="n">
        <v>0</v>
      </c>
      <c r="Q200" t="n">
        <v>0</v>
      </c>
      <c r="R200" t="n">
        <v>0</v>
      </c>
      <c r="S200" t="n">
        <v>0</v>
      </c>
      <c r="T200" t="n">
        <v>0</v>
      </c>
      <c r="U200" s="2" t="inlineStr"/>
    </row>
    <row r="201" ht="15" customHeight="1">
      <c r="A201" t="inlineStr">
        <is>
          <t>A 50938-2025</t>
        </is>
      </c>
      <c r="B201" t="inlineStr">
        <is>
          <t>avverkningsanmälan</t>
        </is>
      </c>
      <c r="C201" t="inlineStr">
        <is>
          <t>Föryngringsavverkning</t>
        </is>
      </c>
      <c r="D201" s="1" t="n">
        <v>45946</v>
      </c>
      <c r="E201" s="1" t="n">
        <v>46218</v>
      </c>
      <c r="F201" t="inlineStr">
        <is>
          <t>NORRBOTTENS LÄN</t>
        </is>
      </c>
      <c r="G201" t="inlineStr">
        <is>
          <t>ÖVERTORNEÅ</t>
        </is>
      </c>
      <c r="I201" t="n">
        <v>8.699999999999999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57111-2024</t>
        </is>
      </c>
      <c r="B202" t="inlineStr">
        <is>
          <t>avverkningsanmälan</t>
        </is>
      </c>
      <c r="C202" t="inlineStr">
        <is>
          <t>Föryngringsavverkning</t>
        </is>
      </c>
      <c r="D202" s="1" t="n">
        <v>45629</v>
      </c>
      <c r="E202" s="1" t="n">
        <v>46218</v>
      </c>
      <c r="F202" t="inlineStr">
        <is>
          <t>NORRBOTTENS LÄN</t>
        </is>
      </c>
      <c r="G202" t="inlineStr">
        <is>
          <t>ÖVERTORNEÅ</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14591-2024</t>
        </is>
      </c>
      <c r="B203" t="inlineStr">
        <is>
          <t>avverkningsanmälan</t>
        </is>
      </c>
      <c r="C203" t="inlineStr">
        <is>
          <t>Föryngringsavverkning</t>
        </is>
      </c>
      <c r="D203" s="1" t="n">
        <v>45395</v>
      </c>
      <c r="E203" s="1" t="n">
        <v>46218</v>
      </c>
      <c r="F203" t="inlineStr">
        <is>
          <t>NORRBOTTENS LÄN</t>
        </is>
      </c>
      <c r="G203" t="inlineStr">
        <is>
          <t>ÖVERTORNEÅ</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33600-2024</t>
        </is>
      </c>
      <c r="B204" t="inlineStr">
        <is>
          <t>avverkningsanmälan</t>
        </is>
      </c>
      <c r="C204" t="inlineStr">
        <is>
          <t>Föryngringsavverkning</t>
        </is>
      </c>
      <c r="D204" s="1" t="n">
        <v>45520</v>
      </c>
      <c r="E204" s="1" t="n">
        <v>46218</v>
      </c>
      <c r="F204" t="inlineStr">
        <is>
          <t>NORRBOTTENS LÄN</t>
        </is>
      </c>
      <c r="G204" t="inlineStr">
        <is>
          <t>ÖVERTORNEÅ</t>
        </is>
      </c>
      <c r="I204" t="n">
        <v>4.3</v>
      </c>
      <c r="J204" t="n">
        <v>0</v>
      </c>
      <c r="K204" t="n">
        <v>0</v>
      </c>
      <c r="L204" t="n">
        <v>0</v>
      </c>
      <c r="M204" t="n">
        <v>0</v>
      </c>
      <c r="N204" t="n">
        <v>0</v>
      </c>
      <c r="O204" t="n">
        <v>0</v>
      </c>
      <c r="P204" t="n">
        <v>0</v>
      </c>
      <c r="Q204" t="n">
        <v>0</v>
      </c>
      <c r="R204" t="n">
        <v>0</v>
      </c>
      <c r="S204" t="n">
        <v>0</v>
      </c>
      <c r="T204" t="n">
        <v>0</v>
      </c>
      <c r="U204" s="2" t="inlineStr"/>
    </row>
    <row r="205" ht="15" customHeight="1">
      <c r="A205" t="inlineStr">
        <is>
          <t>A 8509-2024</t>
        </is>
      </c>
      <c r="B205" t="inlineStr">
        <is>
          <t>avverkningsanmälan</t>
        </is>
      </c>
      <c r="C205" t="inlineStr">
        <is>
          <t>Föryngringsavverkning</t>
        </is>
      </c>
      <c r="D205" s="1" t="n">
        <v>45351</v>
      </c>
      <c r="E205" s="1" t="n">
        <v>46218</v>
      </c>
      <c r="F205" t="inlineStr">
        <is>
          <t>NORRBOTTENS LÄN</t>
        </is>
      </c>
      <c r="G205" t="inlineStr">
        <is>
          <t>ÖVERTORNEÅ</t>
        </is>
      </c>
      <c r="I205" t="n">
        <v>7</v>
      </c>
      <c r="J205" t="n">
        <v>0</v>
      </c>
      <c r="K205" t="n">
        <v>0</v>
      </c>
      <c r="L205" t="n">
        <v>0</v>
      </c>
      <c r="M205" t="n">
        <v>0</v>
      </c>
      <c r="N205" t="n">
        <v>0</v>
      </c>
      <c r="O205" t="n">
        <v>0</v>
      </c>
      <c r="P205" t="n">
        <v>0</v>
      </c>
      <c r="Q205" t="n">
        <v>0</v>
      </c>
      <c r="R205" t="n">
        <v>0</v>
      </c>
      <c r="S205" t="n">
        <v>0</v>
      </c>
      <c r="T205" t="n">
        <v>0</v>
      </c>
      <c r="U205" s="2" t="inlineStr"/>
    </row>
    <row r="206" ht="15" customHeight="1">
      <c r="A206" t="inlineStr">
        <is>
          <t>A 26181-2024</t>
        </is>
      </c>
      <c r="B206" t="inlineStr">
        <is>
          <t>avverkningsanmälan</t>
        </is>
      </c>
      <c r="C206" t="inlineStr">
        <is>
          <t>Föryngringsavverkning</t>
        </is>
      </c>
      <c r="D206" s="1" t="n">
        <v>45467</v>
      </c>
      <c r="E206" s="1" t="n">
        <v>46218</v>
      </c>
      <c r="F206" t="inlineStr">
        <is>
          <t>NORRBOTTENS LÄN</t>
        </is>
      </c>
      <c r="G206" t="inlineStr">
        <is>
          <t>ÖVERTORNEÅ</t>
        </is>
      </c>
      <c r="I206" t="n">
        <v>6</v>
      </c>
      <c r="J206" t="n">
        <v>0</v>
      </c>
      <c r="K206" t="n">
        <v>0</v>
      </c>
      <c r="L206" t="n">
        <v>0</v>
      </c>
      <c r="M206" t="n">
        <v>0</v>
      </c>
      <c r="N206" t="n">
        <v>0</v>
      </c>
      <c r="O206" t="n">
        <v>0</v>
      </c>
      <c r="P206" t="n">
        <v>0</v>
      </c>
      <c r="Q206" t="n">
        <v>0</v>
      </c>
      <c r="R206" t="n">
        <v>0</v>
      </c>
      <c r="S206" t="n">
        <v>0</v>
      </c>
      <c r="T206" t="n">
        <v>0</v>
      </c>
      <c r="U206" s="2" t="inlineStr"/>
    </row>
    <row r="207" ht="15" customHeight="1">
      <c r="A207" t="inlineStr">
        <is>
          <t>A 33518-2023</t>
        </is>
      </c>
      <c r="B207" t="inlineStr">
        <is>
          <t>avverkningsanmälan</t>
        </is>
      </c>
      <c r="C207" t="inlineStr">
        <is>
          <t>Föryngringsavverkning</t>
        </is>
      </c>
      <c r="D207" s="1" t="n">
        <v>45118</v>
      </c>
      <c r="E207" s="1" t="n">
        <v>46218</v>
      </c>
      <c r="F207" t="inlineStr">
        <is>
          <t>NORRBOTTENS LÄN</t>
        </is>
      </c>
      <c r="G207" t="inlineStr">
        <is>
          <t>ÖVERTORNEÅ</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4398-2025</t>
        </is>
      </c>
      <c r="B208" t="inlineStr">
        <is>
          <t>avverkningsanmälan</t>
        </is>
      </c>
      <c r="C208" t="inlineStr">
        <is>
          <t>Föryngringsavverkning</t>
        </is>
      </c>
      <c r="D208" s="1" t="n">
        <v>45686</v>
      </c>
      <c r="E208" s="1" t="n">
        <v>46218</v>
      </c>
      <c r="F208" t="inlineStr">
        <is>
          <t>NORRBOTTENS LÄN</t>
        </is>
      </c>
      <c r="G208" t="inlineStr">
        <is>
          <t>ÖVERTORNEÅ</t>
        </is>
      </c>
      <c r="I208" t="n">
        <v>3.2</v>
      </c>
      <c r="J208" t="n">
        <v>0</v>
      </c>
      <c r="K208" t="n">
        <v>0</v>
      </c>
      <c r="L208" t="n">
        <v>0</v>
      </c>
      <c r="M208" t="n">
        <v>0</v>
      </c>
      <c r="N208" t="n">
        <v>0</v>
      </c>
      <c r="O208" t="n">
        <v>0</v>
      </c>
      <c r="P208" t="n">
        <v>0</v>
      </c>
      <c r="Q208" t="n">
        <v>0</v>
      </c>
      <c r="R208" t="n">
        <v>0</v>
      </c>
      <c r="S208" t="n">
        <v>0</v>
      </c>
      <c r="T208" t="n">
        <v>0</v>
      </c>
      <c r="U208" s="2" t="inlineStr"/>
    </row>
    <row r="209" ht="15" customHeight="1">
      <c r="A209" t="inlineStr">
        <is>
          <t>A 6423-2025</t>
        </is>
      </c>
      <c r="B209" t="inlineStr">
        <is>
          <t>avverkningsanmälan</t>
        </is>
      </c>
      <c r="C209" t="inlineStr">
        <is>
          <t>Föryngringsavverkning</t>
        </is>
      </c>
      <c r="D209" s="1" t="n">
        <v>45699</v>
      </c>
      <c r="E209" s="1" t="n">
        <v>46218</v>
      </c>
      <c r="F209" t="inlineStr">
        <is>
          <t>NORRBOTTENS LÄN</t>
        </is>
      </c>
      <c r="G209" t="inlineStr">
        <is>
          <t>ÖVERTORNEÅ</t>
        </is>
      </c>
      <c r="I209" t="n">
        <v>16.5</v>
      </c>
      <c r="J209" t="n">
        <v>0</v>
      </c>
      <c r="K209" t="n">
        <v>0</v>
      </c>
      <c r="L209" t="n">
        <v>0</v>
      </c>
      <c r="M209" t="n">
        <v>0</v>
      </c>
      <c r="N209" t="n">
        <v>0</v>
      </c>
      <c r="O209" t="n">
        <v>0</v>
      </c>
      <c r="P209" t="n">
        <v>0</v>
      </c>
      <c r="Q209" t="n">
        <v>0</v>
      </c>
      <c r="R209" t="n">
        <v>0</v>
      </c>
      <c r="S209" t="n">
        <v>0</v>
      </c>
      <c r="T209" t="n">
        <v>0</v>
      </c>
      <c r="U209" s="2" t="inlineStr"/>
    </row>
    <row r="210" ht="15" customHeight="1">
      <c r="A210" t="inlineStr">
        <is>
          <t>A 52164-2025</t>
        </is>
      </c>
      <c r="B210" t="inlineStr">
        <is>
          <t>avverkningsanmälan</t>
        </is>
      </c>
      <c r="C210" t="inlineStr">
        <is>
          <t>Föryngringsavverkning</t>
        </is>
      </c>
      <c r="D210" s="1" t="n">
        <v>45953</v>
      </c>
      <c r="E210" s="1" t="n">
        <v>46218</v>
      </c>
      <c r="F210" t="inlineStr">
        <is>
          <t>NORRBOTTENS LÄN</t>
        </is>
      </c>
      <c r="G210" t="inlineStr">
        <is>
          <t>ÖVERTORNEÅ</t>
        </is>
      </c>
      <c r="I210" t="n">
        <v>5.8</v>
      </c>
      <c r="J210" t="n">
        <v>0</v>
      </c>
      <c r="K210" t="n">
        <v>0</v>
      </c>
      <c r="L210" t="n">
        <v>0</v>
      </c>
      <c r="M210" t="n">
        <v>0</v>
      </c>
      <c r="N210" t="n">
        <v>0</v>
      </c>
      <c r="O210" t="n">
        <v>0</v>
      </c>
      <c r="P210" t="n">
        <v>0</v>
      </c>
      <c r="Q210" t="n">
        <v>0</v>
      </c>
      <c r="R210" t="n">
        <v>0</v>
      </c>
      <c r="S210" t="n">
        <v>0</v>
      </c>
      <c r="T210" t="n">
        <v>0</v>
      </c>
      <c r="U210" s="2" t="inlineStr"/>
    </row>
    <row r="211" ht="15" customHeight="1">
      <c r="A211" t="inlineStr">
        <is>
          <t>A 52191-2025</t>
        </is>
      </c>
      <c r="B211" t="inlineStr">
        <is>
          <t>avverkningsanmälan</t>
        </is>
      </c>
      <c r="C211" t="inlineStr">
        <is>
          <t>Föryngringsavverkning</t>
        </is>
      </c>
      <c r="D211" s="1" t="n">
        <v>45953</v>
      </c>
      <c r="E211" s="1" t="n">
        <v>46218</v>
      </c>
      <c r="F211" t="inlineStr">
        <is>
          <t>NORRBOTTENS LÄN</t>
        </is>
      </c>
      <c r="G211" t="inlineStr">
        <is>
          <t>ÖVERTORNEÅ</t>
        </is>
      </c>
      <c r="I211" t="n">
        <v>5</v>
      </c>
      <c r="J211" t="n">
        <v>0</v>
      </c>
      <c r="K211" t="n">
        <v>0</v>
      </c>
      <c r="L211" t="n">
        <v>0</v>
      </c>
      <c r="M211" t="n">
        <v>0</v>
      </c>
      <c r="N211" t="n">
        <v>0</v>
      </c>
      <c r="O211" t="n">
        <v>0</v>
      </c>
      <c r="P211" t="n">
        <v>0</v>
      </c>
      <c r="Q211" t="n">
        <v>0</v>
      </c>
      <c r="R211" t="n">
        <v>0</v>
      </c>
      <c r="S211" t="n">
        <v>0</v>
      </c>
      <c r="T211" t="n">
        <v>0</v>
      </c>
      <c r="U211" s="2" t="inlineStr"/>
    </row>
    <row r="212" ht="15" customHeight="1">
      <c r="A212" t="inlineStr">
        <is>
          <t>A 21386-2025</t>
        </is>
      </c>
      <c r="B212" t="inlineStr">
        <is>
          <t>avverkningsanmälan</t>
        </is>
      </c>
      <c r="C212" t="inlineStr">
        <is>
          <t>Föryngringsavverkning</t>
        </is>
      </c>
      <c r="D212" s="1" t="n">
        <v>45782</v>
      </c>
      <c r="E212" s="1" t="n">
        <v>46218</v>
      </c>
      <c r="F212" t="inlineStr">
        <is>
          <t>NORRBOTTENS LÄN</t>
        </is>
      </c>
      <c r="G212" t="inlineStr">
        <is>
          <t>ÖVERTORNEÅ</t>
        </is>
      </c>
      <c r="I212" t="n">
        <v>30</v>
      </c>
      <c r="J212" t="n">
        <v>0</v>
      </c>
      <c r="K212" t="n">
        <v>0</v>
      </c>
      <c r="L212" t="n">
        <v>0</v>
      </c>
      <c r="M212" t="n">
        <v>0</v>
      </c>
      <c r="N212" t="n">
        <v>0</v>
      </c>
      <c r="O212" t="n">
        <v>0</v>
      </c>
      <c r="P212" t="n">
        <v>0</v>
      </c>
      <c r="Q212" t="n">
        <v>0</v>
      </c>
      <c r="R212" t="n">
        <v>0</v>
      </c>
      <c r="S212" t="n">
        <v>0</v>
      </c>
      <c r="T212" t="n">
        <v>0</v>
      </c>
      <c r="U212" s="2" t="inlineStr"/>
    </row>
    <row r="213" ht="15" customHeight="1">
      <c r="A213" t="inlineStr">
        <is>
          <t>A 597-2023</t>
        </is>
      </c>
      <c r="B213" t="inlineStr">
        <is>
          <t>avverkningsanmälan</t>
        </is>
      </c>
      <c r="C213" t="inlineStr">
        <is>
          <t>Föryngringsavverkning</t>
        </is>
      </c>
      <c r="D213" s="1" t="n">
        <v>44930</v>
      </c>
      <c r="E213" s="1" t="n">
        <v>46218</v>
      </c>
      <c r="F213" t="inlineStr">
        <is>
          <t>NORRBOTTENS LÄN</t>
        </is>
      </c>
      <c r="G213" t="inlineStr">
        <is>
          <t>ÖVERTORNEÅ</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50807-2023</t>
        </is>
      </c>
      <c r="B214" t="inlineStr">
        <is>
          <t>avverkningsanmälan</t>
        </is>
      </c>
      <c r="C214" t="inlineStr">
        <is>
          <t>Avverkning för annat ändamål</t>
        </is>
      </c>
      <c r="D214" s="1" t="n">
        <v>45217</v>
      </c>
      <c r="E214" s="1" t="n">
        <v>46218</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20173-2025</t>
        </is>
      </c>
      <c r="B215" t="inlineStr">
        <is>
          <t>avverkningsanmälan</t>
        </is>
      </c>
      <c r="C215" t="inlineStr">
        <is>
          <t>Avverkning för annat ändamål</t>
        </is>
      </c>
      <c r="D215" s="1" t="n">
        <v>45772</v>
      </c>
      <c r="E215" s="1" t="n">
        <v>46218</v>
      </c>
      <c r="F215" t="inlineStr">
        <is>
          <t>NORRBOTTENS LÄN</t>
        </is>
      </c>
      <c r="G215" t="inlineStr">
        <is>
          <t>ÖVERTORNEÅ</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10753-2024</t>
        </is>
      </c>
      <c r="B216" t="inlineStr">
        <is>
          <t>avverkningsanmälan</t>
        </is>
      </c>
      <c r="C216" t="inlineStr">
        <is>
          <t>Föryngringsavverkning</t>
        </is>
      </c>
      <c r="D216" s="1" t="n">
        <v>45369</v>
      </c>
      <c r="E216" s="1" t="n">
        <v>46218</v>
      </c>
      <c r="F216" t="inlineStr">
        <is>
          <t>NORRBOTTENS LÄN</t>
        </is>
      </c>
      <c r="G216" t="inlineStr">
        <is>
          <t>ÖVERTORNEÅ</t>
        </is>
      </c>
      <c r="I216" t="n">
        <v>3.8</v>
      </c>
      <c r="J216" t="n">
        <v>0</v>
      </c>
      <c r="K216" t="n">
        <v>0</v>
      </c>
      <c r="L216" t="n">
        <v>0</v>
      </c>
      <c r="M216" t="n">
        <v>0</v>
      </c>
      <c r="N216" t="n">
        <v>0</v>
      </c>
      <c r="O216" t="n">
        <v>0</v>
      </c>
      <c r="P216" t="n">
        <v>0</v>
      </c>
      <c r="Q216" t="n">
        <v>0</v>
      </c>
      <c r="R216" t="n">
        <v>0</v>
      </c>
      <c r="S216" t="n">
        <v>0</v>
      </c>
      <c r="T216" t="n">
        <v>0</v>
      </c>
      <c r="U216" s="2" t="inlineStr"/>
    </row>
    <row r="217" ht="15" customHeight="1">
      <c r="A217" t="inlineStr">
        <is>
          <t>A 7505-2025</t>
        </is>
      </c>
      <c r="B217" t="inlineStr">
        <is>
          <t>avverkningsanmälan</t>
        </is>
      </c>
      <c r="C217" t="inlineStr">
        <is>
          <t>Föryngringsavverkning</t>
        </is>
      </c>
      <c r="D217" s="1" t="n">
        <v>45705</v>
      </c>
      <c r="E217" s="1" t="n">
        <v>46218</v>
      </c>
      <c r="F217" t="inlineStr">
        <is>
          <t>NORRBOTTENS LÄN</t>
        </is>
      </c>
      <c r="G217" t="inlineStr">
        <is>
          <t>ÖVERTORNEÅ</t>
        </is>
      </c>
      <c r="I217" t="n">
        <v>8.6</v>
      </c>
      <c r="J217" t="n">
        <v>0</v>
      </c>
      <c r="K217" t="n">
        <v>0</v>
      </c>
      <c r="L217" t="n">
        <v>0</v>
      </c>
      <c r="M217" t="n">
        <v>0</v>
      </c>
      <c r="N217" t="n">
        <v>0</v>
      </c>
      <c r="O217" t="n">
        <v>0</v>
      </c>
      <c r="P217" t="n">
        <v>0</v>
      </c>
      <c r="Q217" t="n">
        <v>0</v>
      </c>
      <c r="R217" t="n">
        <v>0</v>
      </c>
      <c r="S217" t="n">
        <v>0</v>
      </c>
      <c r="T217" t="n">
        <v>0</v>
      </c>
      <c r="U217" s="2" t="inlineStr"/>
    </row>
    <row r="218" ht="15" customHeight="1">
      <c r="A218" t="inlineStr">
        <is>
          <t>A 17068-2024</t>
        </is>
      </c>
      <c r="B218" t="inlineStr">
        <is>
          <t>avverkningsanmälan</t>
        </is>
      </c>
      <c r="C218" t="inlineStr">
        <is>
          <t>Avverkning för att bevara och utveckla /försöksver</t>
        </is>
      </c>
      <c r="D218" s="1" t="n">
        <v>45412</v>
      </c>
      <c r="E218" s="1" t="n">
        <v>46218</v>
      </c>
      <c r="F218" t="inlineStr">
        <is>
          <t>NORRBOTTENS LÄN</t>
        </is>
      </c>
      <c r="G218" t="inlineStr">
        <is>
          <t>ÖVERTORNEÅ</t>
        </is>
      </c>
      <c r="H218" t="inlineStr">
        <is>
          <t>Naturvårdsverket</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39775-2023</t>
        </is>
      </c>
      <c r="B219" t="inlineStr">
        <is>
          <t>avverkningsanmälan</t>
        </is>
      </c>
      <c r="C219" t="inlineStr">
        <is>
          <t>Avverkning för annat ändamål</t>
        </is>
      </c>
      <c r="D219" s="1" t="n">
        <v>45167</v>
      </c>
      <c r="E219" s="1" t="n">
        <v>46218</v>
      </c>
      <c r="F219" t="inlineStr">
        <is>
          <t>NORRBOTTENS LÄN</t>
        </is>
      </c>
      <c r="G219" t="inlineStr">
        <is>
          <t>ÖVERTORNEÅ</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28658-2022</t>
        </is>
      </c>
      <c r="B220" t="inlineStr">
        <is>
          <t>avverkningsanmälan</t>
        </is>
      </c>
      <c r="C220" t="inlineStr">
        <is>
          <t>Föryngringsavverkning</t>
        </is>
      </c>
      <c r="D220" s="1" t="n">
        <v>44748</v>
      </c>
      <c r="E220" s="1" t="n">
        <v>46218</v>
      </c>
      <c r="F220" t="inlineStr">
        <is>
          <t>NORRBOTTENS LÄN</t>
        </is>
      </c>
      <c r="G220" t="inlineStr">
        <is>
          <t>ÖVERTORNEÅ</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51272-2024</t>
        </is>
      </c>
      <c r="B221" t="inlineStr">
        <is>
          <t>avverkningsanmälan</t>
        </is>
      </c>
      <c r="C221" t="inlineStr">
        <is>
          <t>Föryngringsavverkning</t>
        </is>
      </c>
      <c r="D221" s="1" t="n">
        <v>45602</v>
      </c>
      <c r="E221" s="1" t="n">
        <v>46218</v>
      </c>
      <c r="F221" t="inlineStr">
        <is>
          <t>NORRBOTTENS LÄN</t>
        </is>
      </c>
      <c r="G221" t="inlineStr">
        <is>
          <t>ÖVERTORNEÅ</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53429-2025</t>
        </is>
      </c>
      <c r="B222" t="inlineStr">
        <is>
          <t>avverkningsanmälan</t>
        </is>
      </c>
      <c r="C222" t="inlineStr">
        <is>
          <t>Föryngringsavverkning</t>
        </is>
      </c>
      <c r="D222" s="1" t="n">
        <v>45959</v>
      </c>
      <c r="E222" s="1" t="n">
        <v>46218</v>
      </c>
      <c r="F222" t="inlineStr">
        <is>
          <t>NORRBOTTENS LÄN</t>
        </is>
      </c>
      <c r="G222" t="inlineStr">
        <is>
          <t>ÖVERTORNEÅ</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34702-2024</t>
        </is>
      </c>
      <c r="B223" t="inlineStr">
        <is>
          <t>avverkningsanmälan</t>
        </is>
      </c>
      <c r="C223" t="inlineStr">
        <is>
          <t>Föryngringsavverkning</t>
        </is>
      </c>
      <c r="D223" s="1" t="n">
        <v>45526</v>
      </c>
      <c r="E223" s="1" t="n">
        <v>46218</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17896-2023</t>
        </is>
      </c>
      <c r="B224" t="inlineStr">
        <is>
          <t>avverkningsanmälan</t>
        </is>
      </c>
      <c r="C224" t="inlineStr">
        <is>
          <t>Föryngringsavverkning</t>
        </is>
      </c>
      <c r="D224" s="1" t="n">
        <v>45039</v>
      </c>
      <c r="E224" s="1" t="n">
        <v>46218</v>
      </c>
      <c r="F224" t="inlineStr">
        <is>
          <t>NORRBOTTENS LÄN</t>
        </is>
      </c>
      <c r="G224" t="inlineStr">
        <is>
          <t>ÖVERTORNEÅ</t>
        </is>
      </c>
      <c r="I224" t="n">
        <v>0.3</v>
      </c>
      <c r="J224" t="n">
        <v>0</v>
      </c>
      <c r="K224" t="n">
        <v>0</v>
      </c>
      <c r="L224" t="n">
        <v>0</v>
      </c>
      <c r="M224" t="n">
        <v>0</v>
      </c>
      <c r="N224" t="n">
        <v>0</v>
      </c>
      <c r="O224" t="n">
        <v>0</v>
      </c>
      <c r="P224" t="n">
        <v>0</v>
      </c>
      <c r="Q224" t="n">
        <v>0</v>
      </c>
      <c r="R224" t="n">
        <v>0</v>
      </c>
      <c r="S224" t="n">
        <v>0</v>
      </c>
      <c r="T224" t="n">
        <v>0</v>
      </c>
      <c r="U224" s="2" t="inlineStr"/>
    </row>
    <row r="225" ht="15" customHeight="1">
      <c r="A225" t="inlineStr">
        <is>
          <t>A 14264-2024</t>
        </is>
      </c>
      <c r="B225" t="inlineStr">
        <is>
          <t>avverkningsanmälan</t>
        </is>
      </c>
      <c r="C225" t="inlineStr">
        <is>
          <t>Avverkning för annat ändamål</t>
        </is>
      </c>
      <c r="D225" s="1" t="n">
        <v>45393</v>
      </c>
      <c r="E225" s="1" t="n">
        <v>46218</v>
      </c>
      <c r="F225" t="inlineStr">
        <is>
          <t>NORRBOTTENS LÄN</t>
        </is>
      </c>
      <c r="G225" t="inlineStr">
        <is>
          <t>ÖVERTORNEÅ</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22481-2025</t>
        </is>
      </c>
      <c r="B226" t="inlineStr">
        <is>
          <t>avverkningsanmälan</t>
        </is>
      </c>
      <c r="C226" t="inlineStr">
        <is>
          <t>Föryngringsavverkning</t>
        </is>
      </c>
      <c r="D226" s="1" t="n">
        <v>45786</v>
      </c>
      <c r="E226" s="1" t="n">
        <v>46218</v>
      </c>
      <c r="F226" t="inlineStr">
        <is>
          <t>NORRBOTTENS LÄN</t>
        </is>
      </c>
      <c r="G226" t="inlineStr">
        <is>
          <t>ÖVERTORNEÅ</t>
        </is>
      </c>
      <c r="H226" t="inlineStr">
        <is>
          <t>Sveaskog</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14392-2024</t>
        </is>
      </c>
      <c r="B227" t="inlineStr">
        <is>
          <t>avverkningsanmälan</t>
        </is>
      </c>
      <c r="C227" t="inlineStr">
        <is>
          <t>Föryngringsavverkning</t>
        </is>
      </c>
      <c r="D227" s="1" t="n">
        <v>45394</v>
      </c>
      <c r="E227" s="1" t="n">
        <v>46218</v>
      </c>
      <c r="F227" t="inlineStr">
        <is>
          <t>NORRBOTTENS LÄN</t>
        </is>
      </c>
      <c r="G227" t="inlineStr">
        <is>
          <t>ÖVERTORNEÅ</t>
        </is>
      </c>
      <c r="I227" t="n">
        <v>5.7</v>
      </c>
      <c r="J227" t="n">
        <v>0</v>
      </c>
      <c r="K227" t="n">
        <v>0</v>
      </c>
      <c r="L227" t="n">
        <v>0</v>
      </c>
      <c r="M227" t="n">
        <v>0</v>
      </c>
      <c r="N227" t="n">
        <v>0</v>
      </c>
      <c r="O227" t="n">
        <v>0</v>
      </c>
      <c r="P227" t="n">
        <v>0</v>
      </c>
      <c r="Q227" t="n">
        <v>0</v>
      </c>
      <c r="R227" t="n">
        <v>0</v>
      </c>
      <c r="S227" t="n">
        <v>0</v>
      </c>
      <c r="T227" t="n">
        <v>0</v>
      </c>
      <c r="U227" s="2" t="inlineStr"/>
    </row>
    <row r="228" ht="15" customHeight="1">
      <c r="A228" t="inlineStr">
        <is>
          <t>A 48780-2021</t>
        </is>
      </c>
      <c r="B228" t="inlineStr">
        <is>
          <t>avverkningsanmälan</t>
        </is>
      </c>
      <c r="C228" t="inlineStr">
        <is>
          <t>Föryngringsavverkning</t>
        </is>
      </c>
      <c r="D228" s="1" t="n">
        <v>44452</v>
      </c>
      <c r="E228" s="1" t="n">
        <v>46218</v>
      </c>
      <c r="F228" t="inlineStr">
        <is>
          <t>NORRBOTTENS LÄN</t>
        </is>
      </c>
      <c r="G228" t="inlineStr">
        <is>
          <t>ÖVERTORNEÅ</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46037-2021</t>
        </is>
      </c>
      <c r="B229" t="inlineStr">
        <is>
          <t>avverkningsanmälan</t>
        </is>
      </c>
      <c r="C229" t="inlineStr">
        <is>
          <t>Föryngringsavverkning</t>
        </is>
      </c>
      <c r="D229" s="1" t="n">
        <v>44441</v>
      </c>
      <c r="E229" s="1" t="n">
        <v>46218</v>
      </c>
      <c r="F229" t="inlineStr">
        <is>
          <t>NORRBOTTENS LÄN</t>
        </is>
      </c>
      <c r="G229" t="inlineStr">
        <is>
          <t>ÖVERTORNEÅ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54000-2025</t>
        </is>
      </c>
      <c r="B230" t="inlineStr">
        <is>
          <t>avverkningsanmälan</t>
        </is>
      </c>
      <c r="C230" t="inlineStr">
        <is>
          <t>Föryngringsavverkning</t>
        </is>
      </c>
      <c r="D230" s="1" t="n">
        <v>45961</v>
      </c>
      <c r="E230" s="1" t="n">
        <v>46218</v>
      </c>
      <c r="F230" t="inlineStr">
        <is>
          <t>NORRBOTTENS LÄN</t>
        </is>
      </c>
      <c r="G230" t="inlineStr">
        <is>
          <t>ÖVERTORNEÅ</t>
        </is>
      </c>
      <c r="H230" t="inlineStr">
        <is>
          <t>Sveaskog</t>
        </is>
      </c>
      <c r="I230" t="n">
        <v>4.3</v>
      </c>
      <c r="J230" t="n">
        <v>0</v>
      </c>
      <c r="K230" t="n">
        <v>0</v>
      </c>
      <c r="L230" t="n">
        <v>0</v>
      </c>
      <c r="M230" t="n">
        <v>0</v>
      </c>
      <c r="N230" t="n">
        <v>0</v>
      </c>
      <c r="O230" t="n">
        <v>0</v>
      </c>
      <c r="P230" t="n">
        <v>0</v>
      </c>
      <c r="Q230" t="n">
        <v>0</v>
      </c>
      <c r="R230" t="n">
        <v>0</v>
      </c>
      <c r="S230" t="n">
        <v>0</v>
      </c>
      <c r="T230" t="n">
        <v>0</v>
      </c>
      <c r="U230" s="2" t="inlineStr"/>
    </row>
    <row r="231" ht="15" customHeight="1">
      <c r="A231" t="inlineStr">
        <is>
          <t>A 23613-2025</t>
        </is>
      </c>
      <c r="B231" t="inlineStr">
        <is>
          <t>avverkningsanmälan</t>
        </is>
      </c>
      <c r="C231" t="inlineStr">
        <is>
          <t>Föryngringsavverkning</t>
        </is>
      </c>
      <c r="D231" s="1" t="n">
        <v>45792</v>
      </c>
      <c r="E231" s="1" t="n">
        <v>46218</v>
      </c>
      <c r="F231" t="inlineStr">
        <is>
          <t>NORRBOTTENS LÄN</t>
        </is>
      </c>
      <c r="G231" t="inlineStr">
        <is>
          <t>ÖVERTORNEÅ</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41030-2024</t>
        </is>
      </c>
      <c r="B232" t="inlineStr">
        <is>
          <t>avverkningsanmälan</t>
        </is>
      </c>
      <c r="C232" t="inlineStr">
        <is>
          <t>Föryngringsavverkning</t>
        </is>
      </c>
      <c r="D232" s="1" t="n">
        <v>45559</v>
      </c>
      <c r="E232" s="1" t="n">
        <v>46218</v>
      </c>
      <c r="F232" t="inlineStr">
        <is>
          <t>NORRBOTTENS LÄN</t>
        </is>
      </c>
      <c r="G232" t="inlineStr">
        <is>
          <t>ÖVERTORNEÅ</t>
        </is>
      </c>
      <c r="I232" t="n">
        <v>0.1</v>
      </c>
      <c r="J232" t="n">
        <v>0</v>
      </c>
      <c r="K232" t="n">
        <v>0</v>
      </c>
      <c r="L232" t="n">
        <v>0</v>
      </c>
      <c r="M232" t="n">
        <v>0</v>
      </c>
      <c r="N232" t="n">
        <v>0</v>
      </c>
      <c r="O232" t="n">
        <v>0</v>
      </c>
      <c r="P232" t="n">
        <v>0</v>
      </c>
      <c r="Q232" t="n">
        <v>0</v>
      </c>
      <c r="R232" t="n">
        <v>0</v>
      </c>
      <c r="S232" t="n">
        <v>0</v>
      </c>
      <c r="T232" t="n">
        <v>0</v>
      </c>
      <c r="U232" s="2" t="inlineStr"/>
    </row>
    <row r="233" ht="15" customHeight="1">
      <c r="A233" t="inlineStr">
        <is>
          <t>A 54389-2025</t>
        </is>
      </c>
      <c r="B233" t="inlineStr">
        <is>
          <t>avverkningsanmälan</t>
        </is>
      </c>
      <c r="C233" t="inlineStr">
        <is>
          <t>Föryngringsavverkning</t>
        </is>
      </c>
      <c r="D233" s="1" t="n">
        <v>45965</v>
      </c>
      <c r="E233" s="1" t="n">
        <v>46218</v>
      </c>
      <c r="F233" t="inlineStr">
        <is>
          <t>NORRBOTTENS LÄN</t>
        </is>
      </c>
      <c r="G233" t="inlineStr">
        <is>
          <t>ÖVERTORNEÅ</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54394-2025</t>
        </is>
      </c>
      <c r="B234" t="inlineStr">
        <is>
          <t>avverkningsanmälan</t>
        </is>
      </c>
      <c r="C234" t="inlineStr">
        <is>
          <t>Föryngringsavverkning</t>
        </is>
      </c>
      <c r="D234" s="1" t="n">
        <v>45965</v>
      </c>
      <c r="E234" s="1" t="n">
        <v>46218</v>
      </c>
      <c r="F234" t="inlineStr">
        <is>
          <t>NORRBOTTENS LÄN</t>
        </is>
      </c>
      <c r="G234" t="inlineStr">
        <is>
          <t>ÖVERTORNEÅ</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20405-2024</t>
        </is>
      </c>
      <c r="B235" t="inlineStr">
        <is>
          <t>avverkningsanmälan</t>
        </is>
      </c>
      <c r="C235" t="inlineStr">
        <is>
          <t>Föryngringsavverkning</t>
        </is>
      </c>
      <c r="D235" s="1" t="n">
        <v>45435</v>
      </c>
      <c r="E235" s="1" t="n">
        <v>46218</v>
      </c>
      <c r="F235" t="inlineStr">
        <is>
          <t>NORRBOTTENS LÄN</t>
        </is>
      </c>
      <c r="G235" t="inlineStr">
        <is>
          <t>ÖVERTORNEÅ</t>
        </is>
      </c>
      <c r="H235" t="inlineStr">
        <is>
          <t>Sveaskog</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54384-2025</t>
        </is>
      </c>
      <c r="B236" t="inlineStr">
        <is>
          <t>avverkningsanmälan</t>
        </is>
      </c>
      <c r="C236" t="inlineStr">
        <is>
          <t>Föryngringsavverkning</t>
        </is>
      </c>
      <c r="D236" s="1" t="n">
        <v>45965</v>
      </c>
      <c r="E236" s="1" t="n">
        <v>46218</v>
      </c>
      <c r="F236" t="inlineStr">
        <is>
          <t>NORRBOTTENS LÄN</t>
        </is>
      </c>
      <c r="G236" t="inlineStr">
        <is>
          <t>ÖVERTORNEÅ</t>
        </is>
      </c>
      <c r="I236" t="n">
        <v>1.5</v>
      </c>
      <c r="J236" t="n">
        <v>0</v>
      </c>
      <c r="K236" t="n">
        <v>0</v>
      </c>
      <c r="L236" t="n">
        <v>0</v>
      </c>
      <c r="M236" t="n">
        <v>0</v>
      </c>
      <c r="N236" t="n">
        <v>0</v>
      </c>
      <c r="O236" t="n">
        <v>0</v>
      </c>
      <c r="P236" t="n">
        <v>0</v>
      </c>
      <c r="Q236" t="n">
        <v>0</v>
      </c>
      <c r="R236" t="n">
        <v>0</v>
      </c>
      <c r="S236" t="n">
        <v>0</v>
      </c>
      <c r="T236" t="n">
        <v>0</v>
      </c>
      <c r="U236" s="2" t="inlineStr"/>
    </row>
    <row r="237" ht="15" customHeight="1">
      <c r="A237" t="inlineStr">
        <is>
          <t>A 54399-2025</t>
        </is>
      </c>
      <c r="B237" t="inlineStr">
        <is>
          <t>avverkningsanmälan</t>
        </is>
      </c>
      <c r="C237" t="inlineStr">
        <is>
          <t>Föryngringsavverkning</t>
        </is>
      </c>
      <c r="D237" s="1" t="n">
        <v>45965</v>
      </c>
      <c r="E237" s="1" t="n">
        <v>46218</v>
      </c>
      <c r="F237" t="inlineStr">
        <is>
          <t>NORRBOTTENS LÄN</t>
        </is>
      </c>
      <c r="G237" t="inlineStr">
        <is>
          <t>ÖVERTORNEÅ</t>
        </is>
      </c>
      <c r="I237" t="n">
        <v>6.2</v>
      </c>
      <c r="J237" t="n">
        <v>0</v>
      </c>
      <c r="K237" t="n">
        <v>0</v>
      </c>
      <c r="L237" t="n">
        <v>0</v>
      </c>
      <c r="M237" t="n">
        <v>0</v>
      </c>
      <c r="N237" t="n">
        <v>0</v>
      </c>
      <c r="O237" t="n">
        <v>0</v>
      </c>
      <c r="P237" t="n">
        <v>0</v>
      </c>
      <c r="Q237" t="n">
        <v>0</v>
      </c>
      <c r="R237" t="n">
        <v>0</v>
      </c>
      <c r="S237" t="n">
        <v>0</v>
      </c>
      <c r="T237" t="n">
        <v>0</v>
      </c>
      <c r="U237" s="2" t="inlineStr"/>
    </row>
    <row r="238" ht="15" customHeight="1">
      <c r="A238" t="inlineStr">
        <is>
          <t>A 28927-2024</t>
        </is>
      </c>
      <c r="B238" t="inlineStr">
        <is>
          <t>avverkningsanmälan</t>
        </is>
      </c>
      <c r="C238" t="inlineStr">
        <is>
          <t>Föryngringsavverkning</t>
        </is>
      </c>
      <c r="D238" s="1" t="n">
        <v>45481</v>
      </c>
      <c r="E238" s="1" t="n">
        <v>46218</v>
      </c>
      <c r="F238" t="inlineStr">
        <is>
          <t>NORRBOTTENS LÄN</t>
        </is>
      </c>
      <c r="G238" t="inlineStr">
        <is>
          <t>ÖVERTORNEÅ</t>
        </is>
      </c>
      <c r="H238" t="inlineStr">
        <is>
          <t>Sveaskog</t>
        </is>
      </c>
      <c r="I238" t="n">
        <v>7.8</v>
      </c>
      <c r="J238" t="n">
        <v>0</v>
      </c>
      <c r="K238" t="n">
        <v>0</v>
      </c>
      <c r="L238" t="n">
        <v>0</v>
      </c>
      <c r="M238" t="n">
        <v>0</v>
      </c>
      <c r="N238" t="n">
        <v>0</v>
      </c>
      <c r="O238" t="n">
        <v>0</v>
      </c>
      <c r="P238" t="n">
        <v>0</v>
      </c>
      <c r="Q238" t="n">
        <v>0</v>
      </c>
      <c r="R238" t="n">
        <v>0</v>
      </c>
      <c r="S238" t="n">
        <v>0</v>
      </c>
      <c r="T238" t="n">
        <v>0</v>
      </c>
      <c r="U238" s="2" t="inlineStr"/>
    </row>
    <row r="239" ht="15" customHeight="1">
      <c r="A239" t="inlineStr">
        <is>
          <t>A 34154-2023</t>
        </is>
      </c>
      <c r="B239" t="inlineStr">
        <is>
          <t>avverkningsanmälan</t>
        </is>
      </c>
      <c r="C239" t="inlineStr">
        <is>
          <t>Föryngringsavverkning</t>
        </is>
      </c>
      <c r="D239" s="1" t="n">
        <v>45137</v>
      </c>
      <c r="E239" s="1" t="n">
        <v>46218</v>
      </c>
      <c r="F239" t="inlineStr">
        <is>
          <t>NORRBOTTENS LÄN</t>
        </is>
      </c>
      <c r="G239" t="inlineStr">
        <is>
          <t>ÖVERTORNEÅ</t>
        </is>
      </c>
      <c r="I239" t="n">
        <v>37.1</v>
      </c>
      <c r="J239" t="n">
        <v>0</v>
      </c>
      <c r="K239" t="n">
        <v>0</v>
      </c>
      <c r="L239" t="n">
        <v>0</v>
      </c>
      <c r="M239" t="n">
        <v>0</v>
      </c>
      <c r="N239" t="n">
        <v>0</v>
      </c>
      <c r="O239" t="n">
        <v>0</v>
      </c>
      <c r="P239" t="n">
        <v>0</v>
      </c>
      <c r="Q239" t="n">
        <v>0</v>
      </c>
      <c r="R239" t="n">
        <v>0</v>
      </c>
      <c r="S239" t="n">
        <v>0</v>
      </c>
      <c r="T239" t="n">
        <v>0</v>
      </c>
      <c r="U239" s="2" t="inlineStr"/>
    </row>
    <row r="240" ht="15" customHeight="1">
      <c r="A240" t="inlineStr">
        <is>
          <t>A 51682-2023</t>
        </is>
      </c>
      <c r="B240" t="inlineStr">
        <is>
          <t>avverkningsanmälan</t>
        </is>
      </c>
      <c r="C240" t="inlineStr">
        <is>
          <t>Föryngringsavverkning</t>
        </is>
      </c>
      <c r="D240" s="1" t="n">
        <v>45222</v>
      </c>
      <c r="E240" s="1" t="n">
        <v>46218</v>
      </c>
      <c r="F240" t="inlineStr">
        <is>
          <t>NORRBOTTENS LÄN</t>
        </is>
      </c>
      <c r="G240" t="inlineStr">
        <is>
          <t>ÖVERTORNEÅ</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16356-2025</t>
        </is>
      </c>
      <c r="B241" t="inlineStr">
        <is>
          <t>avverkningsanmälan</t>
        </is>
      </c>
      <c r="C241" t="inlineStr">
        <is>
          <t>Föryngringsavverkning</t>
        </is>
      </c>
      <c r="D241" s="1" t="n">
        <v>45750</v>
      </c>
      <c r="E241" s="1" t="n">
        <v>46218</v>
      </c>
      <c r="F241" t="inlineStr">
        <is>
          <t>NORRBOTTENS LÄN</t>
        </is>
      </c>
      <c r="G241" t="inlineStr">
        <is>
          <t>ÖVERTORNEÅ</t>
        </is>
      </c>
      <c r="I241" t="n">
        <v>9.1</v>
      </c>
      <c r="J241" t="n">
        <v>0</v>
      </c>
      <c r="K241" t="n">
        <v>0</v>
      </c>
      <c r="L241" t="n">
        <v>0</v>
      </c>
      <c r="M241" t="n">
        <v>0</v>
      </c>
      <c r="N241" t="n">
        <v>0</v>
      </c>
      <c r="O241" t="n">
        <v>0</v>
      </c>
      <c r="P241" t="n">
        <v>0</v>
      </c>
      <c r="Q241" t="n">
        <v>0</v>
      </c>
      <c r="R241" t="n">
        <v>0</v>
      </c>
      <c r="S241" t="n">
        <v>0</v>
      </c>
      <c r="T241" t="n">
        <v>0</v>
      </c>
      <c r="U241" s="2" t="inlineStr"/>
    </row>
    <row r="242" ht="15" customHeight="1">
      <c r="A242" t="inlineStr">
        <is>
          <t>A 28928-2024</t>
        </is>
      </c>
      <c r="B242" t="inlineStr">
        <is>
          <t>avverkningsanmälan</t>
        </is>
      </c>
      <c r="C242" t="inlineStr">
        <is>
          <t>Avverkning för annat ändamål</t>
        </is>
      </c>
      <c r="D242" s="1" t="n">
        <v>45481</v>
      </c>
      <c r="E242" s="1" t="n">
        <v>46218</v>
      </c>
      <c r="F242" t="inlineStr">
        <is>
          <t>NORRBOTTENS LÄN</t>
        </is>
      </c>
      <c r="G242" t="inlineStr">
        <is>
          <t>ÖVERTORNEÅ</t>
        </is>
      </c>
      <c r="H242" t="inlineStr">
        <is>
          <t>Sveaskog</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68764-2021</t>
        </is>
      </c>
      <c r="B243" t="inlineStr">
        <is>
          <t>avverkningsanmälan</t>
        </is>
      </c>
      <c r="C243" t="inlineStr">
        <is>
          <t>Föryngringsavverkning</t>
        </is>
      </c>
      <c r="D243" s="1" t="n">
        <v>44529</v>
      </c>
      <c r="E243" s="1" t="n">
        <v>46218</v>
      </c>
      <c r="F243" t="inlineStr">
        <is>
          <t>NORRBOTTENS LÄN</t>
        </is>
      </c>
      <c r="G243" t="inlineStr">
        <is>
          <t>ÖVERTORNEÅ</t>
        </is>
      </c>
      <c r="I243" t="n">
        <v>19.2</v>
      </c>
      <c r="J243" t="n">
        <v>0</v>
      </c>
      <c r="K243" t="n">
        <v>0</v>
      </c>
      <c r="L243" t="n">
        <v>0</v>
      </c>
      <c r="M243" t="n">
        <v>0</v>
      </c>
      <c r="N243" t="n">
        <v>0</v>
      </c>
      <c r="O243" t="n">
        <v>0</v>
      </c>
      <c r="P243" t="n">
        <v>0</v>
      </c>
      <c r="Q243" t="n">
        <v>0</v>
      </c>
      <c r="R243" t="n">
        <v>0</v>
      </c>
      <c r="S243" t="n">
        <v>0</v>
      </c>
      <c r="T243" t="n">
        <v>0</v>
      </c>
      <c r="U243" s="2" t="inlineStr"/>
    </row>
    <row r="244" ht="15" customHeight="1">
      <c r="A244" t="inlineStr">
        <is>
          <t>A 24877-2025</t>
        </is>
      </c>
      <c r="B244" t="inlineStr">
        <is>
          <t>avverkningsanmälan</t>
        </is>
      </c>
      <c r="C244" t="inlineStr">
        <is>
          <t>Föryngringsavverkning</t>
        </is>
      </c>
      <c r="D244" s="1" t="n">
        <v>45799</v>
      </c>
      <c r="E244" s="1" t="n">
        <v>46218</v>
      </c>
      <c r="F244" t="inlineStr">
        <is>
          <t>NORRBOTTENS LÄN</t>
        </is>
      </c>
      <c r="G244" t="inlineStr">
        <is>
          <t>ÖVERTORNEÅ</t>
        </is>
      </c>
      <c r="I244" t="n">
        <v>10.3</v>
      </c>
      <c r="J244" t="n">
        <v>0</v>
      </c>
      <c r="K244" t="n">
        <v>0</v>
      </c>
      <c r="L244" t="n">
        <v>0</v>
      </c>
      <c r="M244" t="n">
        <v>0</v>
      </c>
      <c r="N244" t="n">
        <v>0</v>
      </c>
      <c r="O244" t="n">
        <v>0</v>
      </c>
      <c r="P244" t="n">
        <v>0</v>
      </c>
      <c r="Q244" t="n">
        <v>0</v>
      </c>
      <c r="R244" t="n">
        <v>0</v>
      </c>
      <c r="S244" t="n">
        <v>0</v>
      </c>
      <c r="T244" t="n">
        <v>0</v>
      </c>
      <c r="U244" s="2" t="inlineStr"/>
    </row>
    <row r="245" ht="15" customHeight="1">
      <c r="A245" t="inlineStr">
        <is>
          <t>A 25245-2025</t>
        </is>
      </c>
      <c r="B245" t="inlineStr">
        <is>
          <t>avverkningsanmälan</t>
        </is>
      </c>
      <c r="C245" t="inlineStr">
        <is>
          <t>Föryngringsavverkning</t>
        </is>
      </c>
      <c r="D245" s="1" t="n">
        <v>45799</v>
      </c>
      <c r="E245" s="1" t="n">
        <v>46218</v>
      </c>
      <c r="F245" t="inlineStr">
        <is>
          <t>NORRBOTTENS LÄN</t>
        </is>
      </c>
      <c r="G245" t="inlineStr">
        <is>
          <t>ÖVERTORNEÅ</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19051-2024</t>
        </is>
      </c>
      <c r="B246" t="inlineStr">
        <is>
          <t>avverkningsanmälan</t>
        </is>
      </c>
      <c r="C246" t="inlineStr">
        <is>
          <t>Föryngringsavverkning</t>
        </is>
      </c>
      <c r="D246" s="1" t="n">
        <v>45427</v>
      </c>
      <c r="E246" s="1" t="n">
        <v>46218</v>
      </c>
      <c r="F246" t="inlineStr">
        <is>
          <t>NORRBOTTENS LÄN</t>
        </is>
      </c>
      <c r="G246" t="inlineStr">
        <is>
          <t>ÖVERTORNEÅ</t>
        </is>
      </c>
      <c r="I246" t="n">
        <v>8.199999999999999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51273-2024</t>
        </is>
      </c>
      <c r="B247" t="inlineStr">
        <is>
          <t>avverkningsanmälan</t>
        </is>
      </c>
      <c r="C247" t="inlineStr">
        <is>
          <t>Föryngringsavverkning</t>
        </is>
      </c>
      <c r="D247" s="1" t="n">
        <v>45602</v>
      </c>
      <c r="E247" s="1" t="n">
        <v>46218</v>
      </c>
      <c r="F247" t="inlineStr">
        <is>
          <t>NORRBOTTENS LÄN</t>
        </is>
      </c>
      <c r="G247" t="inlineStr">
        <is>
          <t>ÖVERTORNEÅ</t>
        </is>
      </c>
      <c r="I247" t="n">
        <v>13.6</v>
      </c>
      <c r="J247" t="n">
        <v>0</v>
      </c>
      <c r="K247" t="n">
        <v>0</v>
      </c>
      <c r="L247" t="n">
        <v>0</v>
      </c>
      <c r="M247" t="n">
        <v>0</v>
      </c>
      <c r="N247" t="n">
        <v>0</v>
      </c>
      <c r="O247" t="n">
        <v>0</v>
      </c>
      <c r="P247" t="n">
        <v>0</v>
      </c>
      <c r="Q247" t="n">
        <v>0</v>
      </c>
      <c r="R247" t="n">
        <v>0</v>
      </c>
      <c r="S247" t="n">
        <v>0</v>
      </c>
      <c r="T247" t="n">
        <v>0</v>
      </c>
      <c r="U247" s="2" t="inlineStr"/>
    </row>
    <row r="248" ht="15" customHeight="1">
      <c r="A248" t="inlineStr">
        <is>
          <t>A 58386-2024</t>
        </is>
      </c>
      <c r="B248" t="inlineStr">
        <is>
          <t>avverkningsanmälan</t>
        </is>
      </c>
      <c r="C248" t="inlineStr">
        <is>
          <t>Föryngringsavverkning</t>
        </is>
      </c>
      <c r="D248" s="1" t="n">
        <v>45633</v>
      </c>
      <c r="E248" s="1" t="n">
        <v>46218</v>
      </c>
      <c r="F248" t="inlineStr">
        <is>
          <t>NORRBOTTENS LÄN</t>
        </is>
      </c>
      <c r="G248" t="inlineStr">
        <is>
          <t>ÖVERTORNEÅ</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63285-2023</t>
        </is>
      </c>
      <c r="B249" t="inlineStr">
        <is>
          <t>avverkningsanmälan</t>
        </is>
      </c>
      <c r="C249" t="inlineStr">
        <is>
          <t>Föryngringsavverkning</t>
        </is>
      </c>
      <c r="D249" s="1" t="n">
        <v>45273</v>
      </c>
      <c r="E249" s="1" t="n">
        <v>46218</v>
      </c>
      <c r="F249" t="inlineStr">
        <is>
          <t>NORRBOTTENS LÄN</t>
        </is>
      </c>
      <c r="G249" t="inlineStr">
        <is>
          <t>ÖVERTORNEÅ</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37958-2025</t>
        </is>
      </c>
      <c r="B250" t="inlineStr">
        <is>
          <t>avverkningsanmälan</t>
        </is>
      </c>
      <c r="C250" t="inlineStr">
        <is>
          <t>Föryngringsavverkning</t>
        </is>
      </c>
      <c r="D250" s="1" t="n">
        <v>45881</v>
      </c>
      <c r="E250" s="1" t="n">
        <v>46218</v>
      </c>
      <c r="F250" t="inlineStr">
        <is>
          <t>NORRBOTTENS LÄN</t>
        </is>
      </c>
      <c r="G250" t="inlineStr">
        <is>
          <t>ÖVERTORNEÅ</t>
        </is>
      </c>
      <c r="H250" t="inlineStr">
        <is>
          <t>Sveaskog</t>
        </is>
      </c>
      <c r="I250" t="n">
        <v>16.3</v>
      </c>
      <c r="J250" t="n">
        <v>0</v>
      </c>
      <c r="K250" t="n">
        <v>0</v>
      </c>
      <c r="L250" t="n">
        <v>0</v>
      </c>
      <c r="M250" t="n">
        <v>0</v>
      </c>
      <c r="N250" t="n">
        <v>0</v>
      </c>
      <c r="O250" t="n">
        <v>0</v>
      </c>
      <c r="P250" t="n">
        <v>0</v>
      </c>
      <c r="Q250" t="n">
        <v>0</v>
      </c>
      <c r="R250" t="n">
        <v>0</v>
      </c>
      <c r="S250" t="n">
        <v>0</v>
      </c>
      <c r="T250" t="n">
        <v>0</v>
      </c>
      <c r="U250" s="2" t="inlineStr"/>
    </row>
    <row r="251" ht="15" customHeight="1">
      <c r="A251" t="inlineStr">
        <is>
          <t>A 46026-2021</t>
        </is>
      </c>
      <c r="B251" t="inlineStr">
        <is>
          <t>avverkningsanmälan</t>
        </is>
      </c>
      <c r="C251" t="inlineStr">
        <is>
          <t>Föryngringsavverkning</t>
        </is>
      </c>
      <c r="D251" s="1" t="n">
        <v>44441</v>
      </c>
      <c r="E251" s="1" t="n">
        <v>46218</v>
      </c>
      <c r="F251" t="inlineStr">
        <is>
          <t>NORRBOTTENS LÄN</t>
        </is>
      </c>
      <c r="G251" t="inlineStr">
        <is>
          <t>ÖVERTORNEÅ</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46035-2021</t>
        </is>
      </c>
      <c r="B252" t="inlineStr">
        <is>
          <t>avverkningsanmälan</t>
        </is>
      </c>
      <c r="C252" t="inlineStr">
        <is>
          <t>Föryngringsavverkning</t>
        </is>
      </c>
      <c r="D252" s="1" t="n">
        <v>44441</v>
      </c>
      <c r="E252" s="1" t="n">
        <v>46218</v>
      </c>
      <c r="F252" t="inlineStr">
        <is>
          <t>NORRBOTTENS LÄN</t>
        </is>
      </c>
      <c r="G252" t="inlineStr">
        <is>
          <t>ÖVERTORNEÅ</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34398-2023</t>
        </is>
      </c>
      <c r="B253" t="inlineStr">
        <is>
          <t>avverkningsanmälan</t>
        </is>
      </c>
      <c r="C253" t="inlineStr">
        <is>
          <t>Föryngringsavverkning</t>
        </is>
      </c>
      <c r="D253" s="1" t="n">
        <v>45139</v>
      </c>
      <c r="E253" s="1" t="n">
        <v>46218</v>
      </c>
      <c r="F253" t="inlineStr">
        <is>
          <t>NORRBOTTENS LÄN</t>
        </is>
      </c>
      <c r="G253" t="inlineStr">
        <is>
          <t>ÖVERTORNEÅ</t>
        </is>
      </c>
      <c r="I253" t="n">
        <v>8.9</v>
      </c>
      <c r="J253" t="n">
        <v>0</v>
      </c>
      <c r="K253" t="n">
        <v>0</v>
      </c>
      <c r="L253" t="n">
        <v>0</v>
      </c>
      <c r="M253" t="n">
        <v>0</v>
      </c>
      <c r="N253" t="n">
        <v>0</v>
      </c>
      <c r="O253" t="n">
        <v>0</v>
      </c>
      <c r="P253" t="n">
        <v>0</v>
      </c>
      <c r="Q253" t="n">
        <v>0</v>
      </c>
      <c r="R253" t="n">
        <v>0</v>
      </c>
      <c r="S253" t="n">
        <v>0</v>
      </c>
      <c r="T253" t="n">
        <v>0</v>
      </c>
      <c r="U253" s="2" t="inlineStr"/>
    </row>
    <row r="254" ht="15" customHeight="1">
      <c r="A254" t="inlineStr">
        <is>
          <t>A 74228-2021</t>
        </is>
      </c>
      <c r="B254" t="inlineStr">
        <is>
          <t>avverkningsanmälan</t>
        </is>
      </c>
      <c r="C254" t="inlineStr">
        <is>
          <t>Föryngringsavverkning</t>
        </is>
      </c>
      <c r="D254" s="1" t="n">
        <v>44553</v>
      </c>
      <c r="E254" s="1" t="n">
        <v>46218</v>
      </c>
      <c r="F254" t="inlineStr">
        <is>
          <t>NORRBOTTENS LÄN</t>
        </is>
      </c>
      <c r="G254" t="inlineStr">
        <is>
          <t>ÖVERTORNEÅ</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26887-2025</t>
        </is>
      </c>
      <c r="B255" t="inlineStr">
        <is>
          <t>avverkningsanmälan</t>
        </is>
      </c>
      <c r="C255" t="inlineStr">
        <is>
          <t>Föryngringsavverkning</t>
        </is>
      </c>
      <c r="D255" s="1" t="n">
        <v>45810</v>
      </c>
      <c r="E255" s="1" t="n">
        <v>46218</v>
      </c>
      <c r="F255" t="inlineStr">
        <is>
          <t>NORRBOTTENS LÄN</t>
        </is>
      </c>
      <c r="G255" t="inlineStr">
        <is>
          <t>ÖVERTORNEÅ</t>
        </is>
      </c>
      <c r="H255" t="inlineStr">
        <is>
          <t>Sveaskog</t>
        </is>
      </c>
      <c r="I255" t="n">
        <v>9.300000000000001</v>
      </c>
      <c r="J255" t="n">
        <v>0</v>
      </c>
      <c r="K255" t="n">
        <v>0</v>
      </c>
      <c r="L255" t="n">
        <v>0</v>
      </c>
      <c r="M255" t="n">
        <v>0</v>
      </c>
      <c r="N255" t="n">
        <v>0</v>
      </c>
      <c r="O255" t="n">
        <v>0</v>
      </c>
      <c r="P255" t="n">
        <v>0</v>
      </c>
      <c r="Q255" t="n">
        <v>0</v>
      </c>
      <c r="R255" t="n">
        <v>0</v>
      </c>
      <c r="S255" t="n">
        <v>0</v>
      </c>
      <c r="T255" t="n">
        <v>0</v>
      </c>
      <c r="U255" s="2" t="inlineStr"/>
    </row>
    <row r="256" ht="15" customHeight="1">
      <c r="A256" t="inlineStr">
        <is>
          <t>A 58201-2024</t>
        </is>
      </c>
      <c r="B256" t="inlineStr">
        <is>
          <t>avverkningsanmälan</t>
        </is>
      </c>
      <c r="C256" t="inlineStr">
        <is>
          <t>Föryngringsavverkning</t>
        </is>
      </c>
      <c r="D256" s="1" t="n">
        <v>45632</v>
      </c>
      <c r="E256" s="1" t="n">
        <v>46218</v>
      </c>
      <c r="F256" t="inlineStr">
        <is>
          <t>NORRBOTTENS LÄN</t>
        </is>
      </c>
      <c r="G256" t="inlineStr">
        <is>
          <t>ÖVERTORNEÅ</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27497-2025</t>
        </is>
      </c>
      <c r="B257" t="inlineStr">
        <is>
          <t>avverkningsanmälan</t>
        </is>
      </c>
      <c r="C257" t="inlineStr">
        <is>
          <t>Avverkning för annat ändamål</t>
        </is>
      </c>
      <c r="D257" s="1" t="n">
        <v>45813</v>
      </c>
      <c r="E257" s="1" t="n">
        <v>46218</v>
      </c>
      <c r="F257" t="inlineStr">
        <is>
          <t>NORRBOTTENS LÄN</t>
        </is>
      </c>
      <c r="G257" t="inlineStr">
        <is>
          <t>ÖVERTORNEÅ</t>
        </is>
      </c>
      <c r="H257" t="inlineStr">
        <is>
          <t>Sveaskog</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60537-2022</t>
        </is>
      </c>
      <c r="B258" t="inlineStr">
        <is>
          <t>avverkningsanmälan</t>
        </is>
      </c>
      <c r="C258" t="inlineStr">
        <is>
          <t>Föryngringsavverkning</t>
        </is>
      </c>
      <c r="D258" s="1" t="n">
        <v>44904</v>
      </c>
      <c r="E258" s="1" t="n">
        <v>46218</v>
      </c>
      <c r="F258" t="inlineStr">
        <is>
          <t>NORRBOTTENS LÄN</t>
        </is>
      </c>
      <c r="G258" t="inlineStr">
        <is>
          <t>ÖVERTORNEÅ</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48036-2024</t>
        </is>
      </c>
      <c r="B259" t="inlineStr">
        <is>
          <t>avverkningsanmälan</t>
        </is>
      </c>
      <c r="C259" t="inlineStr">
        <is>
          <t>Föryngringsavverkning</t>
        </is>
      </c>
      <c r="D259" s="1" t="n">
        <v>45589</v>
      </c>
      <c r="E259" s="1" t="n">
        <v>46218</v>
      </c>
      <c r="F259" t="inlineStr">
        <is>
          <t>NORRBOTTENS LÄN</t>
        </is>
      </c>
      <c r="G259" t="inlineStr">
        <is>
          <t>ÖVERTORNEÅ</t>
        </is>
      </c>
      <c r="H259" t="inlineStr">
        <is>
          <t>Kommuner</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60515-2022</t>
        </is>
      </c>
      <c r="B260" t="inlineStr">
        <is>
          <t>avverkningsanmälan</t>
        </is>
      </c>
      <c r="C260" t="inlineStr">
        <is>
          <t>Föryngringsavverkning</t>
        </is>
      </c>
      <c r="D260" s="1" t="n">
        <v>44911</v>
      </c>
      <c r="E260" s="1" t="n">
        <v>46218</v>
      </c>
      <c r="F260" t="inlineStr">
        <is>
          <t>NORRBOTTENS LÄN</t>
        </is>
      </c>
      <c r="G260" t="inlineStr">
        <is>
          <t>ÖVERTORNEÅ</t>
        </is>
      </c>
      <c r="I260" t="n">
        <v>7.1</v>
      </c>
      <c r="J260" t="n">
        <v>0</v>
      </c>
      <c r="K260" t="n">
        <v>0</v>
      </c>
      <c r="L260" t="n">
        <v>0</v>
      </c>
      <c r="M260" t="n">
        <v>0</v>
      </c>
      <c r="N260" t="n">
        <v>0</v>
      </c>
      <c r="O260" t="n">
        <v>0</v>
      </c>
      <c r="P260" t="n">
        <v>0</v>
      </c>
      <c r="Q260" t="n">
        <v>0</v>
      </c>
      <c r="R260" t="n">
        <v>0</v>
      </c>
      <c r="S260" t="n">
        <v>0</v>
      </c>
      <c r="T260" t="n">
        <v>0</v>
      </c>
      <c r="U260" s="2" t="inlineStr"/>
    </row>
    <row r="261" ht="15" customHeight="1">
      <c r="A261" t="inlineStr">
        <is>
          <t>A 5093-2025</t>
        </is>
      </c>
      <c r="B261" t="inlineStr">
        <is>
          <t>avverkningsanmälan</t>
        </is>
      </c>
      <c r="C261" t="inlineStr">
        <is>
          <t>Avverkning för annat ändamål</t>
        </is>
      </c>
      <c r="D261" s="1" t="n">
        <v>45691</v>
      </c>
      <c r="E261" s="1" t="n">
        <v>46218</v>
      </c>
      <c r="F261" t="inlineStr">
        <is>
          <t>NORRBOTTENS LÄN</t>
        </is>
      </c>
      <c r="G261" t="inlineStr">
        <is>
          <t>ÖVERTORNEÅ</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58172-2024</t>
        </is>
      </c>
      <c r="B262" t="inlineStr">
        <is>
          <t>avverkningsanmälan</t>
        </is>
      </c>
      <c r="C262" t="inlineStr">
        <is>
          <t>Föryngringsavverkning</t>
        </is>
      </c>
      <c r="D262" s="1" t="n">
        <v>45632</v>
      </c>
      <c r="E262" s="1" t="n">
        <v>46218</v>
      </c>
      <c r="F262" t="inlineStr">
        <is>
          <t>NORRBOTTENS LÄN</t>
        </is>
      </c>
      <c r="G262" t="inlineStr">
        <is>
          <t>ÖVERTORNEÅ</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58178-2024</t>
        </is>
      </c>
      <c r="B263" t="inlineStr">
        <is>
          <t>avverkningsanmälan</t>
        </is>
      </c>
      <c r="C263" t="inlineStr">
        <is>
          <t>Föryngringsavverkning</t>
        </is>
      </c>
      <c r="D263" s="1" t="n">
        <v>45632</v>
      </c>
      <c r="E263" s="1" t="n">
        <v>46218</v>
      </c>
      <c r="F263" t="inlineStr">
        <is>
          <t>NORRBOTTENS LÄN</t>
        </is>
      </c>
      <c r="G263" t="inlineStr">
        <is>
          <t>ÖVERTORNEÅ</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40589-2024</t>
        </is>
      </c>
      <c r="B264" t="inlineStr">
        <is>
          <t>avverkningsanmälan</t>
        </is>
      </c>
      <c r="C264" t="inlineStr">
        <is>
          <t>Föryngringsavverkning</t>
        </is>
      </c>
      <c r="D264" s="1" t="n">
        <v>45555</v>
      </c>
      <c r="E264" s="1" t="n">
        <v>46218</v>
      </c>
      <c r="F264" t="inlineStr">
        <is>
          <t>NORRBOTTENS LÄN</t>
        </is>
      </c>
      <c r="G264" t="inlineStr">
        <is>
          <t>ÖVERTORNEÅ</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56952-2025</t>
        </is>
      </c>
      <c r="B265" t="inlineStr">
        <is>
          <t>avverkningsanmälan</t>
        </is>
      </c>
      <c r="C265" t="inlineStr">
        <is>
          <t>Föryngringsavverkning</t>
        </is>
      </c>
      <c r="D265" s="1" t="n">
        <v>45978</v>
      </c>
      <c r="E265" s="1" t="n">
        <v>46218</v>
      </c>
      <c r="F265" t="inlineStr">
        <is>
          <t>NORRBOTTENS LÄN</t>
        </is>
      </c>
      <c r="G265" t="inlineStr">
        <is>
          <t>ÖVERTORNEÅ</t>
        </is>
      </c>
      <c r="I265" t="n">
        <v>5.9</v>
      </c>
      <c r="J265" t="n">
        <v>0</v>
      </c>
      <c r="K265" t="n">
        <v>0</v>
      </c>
      <c r="L265" t="n">
        <v>0</v>
      </c>
      <c r="M265" t="n">
        <v>0</v>
      </c>
      <c r="N265" t="n">
        <v>0</v>
      </c>
      <c r="O265" t="n">
        <v>0</v>
      </c>
      <c r="P265" t="n">
        <v>0</v>
      </c>
      <c r="Q265" t="n">
        <v>0</v>
      </c>
      <c r="R265" t="n">
        <v>0</v>
      </c>
      <c r="S265" t="n">
        <v>0</v>
      </c>
      <c r="T265" t="n">
        <v>0</v>
      </c>
      <c r="U265" s="2" t="inlineStr"/>
    </row>
    <row r="266" ht="15" customHeight="1">
      <c r="A266" t="inlineStr">
        <is>
          <t>A 24647-2024</t>
        </is>
      </c>
      <c r="B266" t="inlineStr">
        <is>
          <t>avverkningsanmälan</t>
        </is>
      </c>
      <c r="C266" t="inlineStr">
        <is>
          <t>Föryngringsavverkning</t>
        </is>
      </c>
      <c r="D266" s="1" t="n">
        <v>45460</v>
      </c>
      <c r="E266" s="1" t="n">
        <v>46218</v>
      </c>
      <c r="F266" t="inlineStr">
        <is>
          <t>NORRBOTTENS LÄN</t>
        </is>
      </c>
      <c r="G266" t="inlineStr">
        <is>
          <t>ÖVERTORNEÅ</t>
        </is>
      </c>
      <c r="H266" t="inlineStr">
        <is>
          <t>Sveaskog</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57027-2025</t>
        </is>
      </c>
      <c r="B267" t="inlineStr">
        <is>
          <t>avverkningsanmälan</t>
        </is>
      </c>
      <c r="C267" t="inlineStr">
        <is>
          <t>Avverkning för annat ändamål</t>
        </is>
      </c>
      <c r="D267" s="1" t="n">
        <v>45979</v>
      </c>
      <c r="E267" s="1" t="n">
        <v>46218</v>
      </c>
      <c r="F267" t="inlineStr">
        <is>
          <t>NORRBOTTENS LÄN</t>
        </is>
      </c>
      <c r="G267" t="inlineStr">
        <is>
          <t>ÖVERTORNEÅ</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57028-2025</t>
        </is>
      </c>
      <c r="B268" t="inlineStr">
        <is>
          <t>avverkningsanmälan</t>
        </is>
      </c>
      <c r="C268" t="inlineStr">
        <is>
          <t>Avverkning för annat ändamål</t>
        </is>
      </c>
      <c r="D268" s="1" t="n">
        <v>45979</v>
      </c>
      <c r="E268" s="1" t="n">
        <v>46218</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57032-2025</t>
        </is>
      </c>
      <c r="B269" t="inlineStr">
        <is>
          <t>avverkningsanmälan</t>
        </is>
      </c>
      <c r="C269" t="inlineStr">
        <is>
          <t>Avverkning för annat ändamål</t>
        </is>
      </c>
      <c r="D269" s="1" t="n">
        <v>45979</v>
      </c>
      <c r="E269" s="1" t="n">
        <v>46218</v>
      </c>
      <c r="F269" t="inlineStr">
        <is>
          <t>NORRBOTTENS LÄN</t>
        </is>
      </c>
      <c r="G269" t="inlineStr">
        <is>
          <t>ÖVERTORNEÅ</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57031-2025</t>
        </is>
      </c>
      <c r="B270" t="inlineStr">
        <is>
          <t>avverkningsanmälan</t>
        </is>
      </c>
      <c r="C270" t="inlineStr">
        <is>
          <t>Avverkning för annat ändamål</t>
        </is>
      </c>
      <c r="D270" s="1" t="n">
        <v>45979</v>
      </c>
      <c r="E270" s="1" t="n">
        <v>46218</v>
      </c>
      <c r="F270" t="inlineStr">
        <is>
          <t>NORRBOTTENS LÄN</t>
        </is>
      </c>
      <c r="G270" t="inlineStr">
        <is>
          <t>ÖVERTORNEÅ</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58992-2024</t>
        </is>
      </c>
      <c r="B271" t="inlineStr">
        <is>
          <t>avverkningsanmälan</t>
        </is>
      </c>
      <c r="C271" t="inlineStr">
        <is>
          <t>Föryngringsavverkning</t>
        </is>
      </c>
      <c r="D271" s="1" t="n">
        <v>45636</v>
      </c>
      <c r="E271" s="1" t="n">
        <v>46218</v>
      </c>
      <c r="F271" t="inlineStr">
        <is>
          <t>NORRBOTTENS LÄN</t>
        </is>
      </c>
      <c r="G271" t="inlineStr">
        <is>
          <t>ÖVERTORNEÅ</t>
        </is>
      </c>
      <c r="I271" t="n">
        <v>44.5</v>
      </c>
      <c r="J271" t="n">
        <v>0</v>
      </c>
      <c r="K271" t="n">
        <v>0</v>
      </c>
      <c r="L271" t="n">
        <v>0</v>
      </c>
      <c r="M271" t="n">
        <v>0</v>
      </c>
      <c r="N271" t="n">
        <v>0</v>
      </c>
      <c r="O271" t="n">
        <v>0</v>
      </c>
      <c r="P271" t="n">
        <v>0</v>
      </c>
      <c r="Q271" t="n">
        <v>0</v>
      </c>
      <c r="R271" t="n">
        <v>0</v>
      </c>
      <c r="S271" t="n">
        <v>0</v>
      </c>
      <c r="T271" t="n">
        <v>0</v>
      </c>
      <c r="U271" s="2" t="inlineStr"/>
    </row>
    <row r="272" ht="15" customHeight="1">
      <c r="A272" t="inlineStr">
        <is>
          <t>A 48770-2021</t>
        </is>
      </c>
      <c r="B272" t="inlineStr">
        <is>
          <t>avverkningsanmälan</t>
        </is>
      </c>
      <c r="C272" t="inlineStr">
        <is>
          <t>Föryngringsavverkning</t>
        </is>
      </c>
      <c r="D272" s="1" t="n">
        <v>44452</v>
      </c>
      <c r="E272" s="1" t="n">
        <v>46218</v>
      </c>
      <c r="F272" t="inlineStr">
        <is>
          <t>NORRBOTTENS LÄN</t>
        </is>
      </c>
      <c r="G272" t="inlineStr">
        <is>
          <t>ÖVERTORNEÅ</t>
        </is>
      </c>
      <c r="I272" t="n">
        <v>9.4</v>
      </c>
      <c r="J272" t="n">
        <v>0</v>
      </c>
      <c r="K272" t="n">
        <v>0</v>
      </c>
      <c r="L272" t="n">
        <v>0</v>
      </c>
      <c r="M272" t="n">
        <v>0</v>
      </c>
      <c r="N272" t="n">
        <v>0</v>
      </c>
      <c r="O272" t="n">
        <v>0</v>
      </c>
      <c r="P272" t="n">
        <v>0</v>
      </c>
      <c r="Q272" t="n">
        <v>0</v>
      </c>
      <c r="R272" t="n">
        <v>0</v>
      </c>
      <c r="S272" t="n">
        <v>0</v>
      </c>
      <c r="T272" t="n">
        <v>0</v>
      </c>
      <c r="U272" s="2" t="inlineStr"/>
    </row>
    <row r="273" ht="15" customHeight="1">
      <c r="A273" t="inlineStr">
        <is>
          <t>A 16452-2024</t>
        </is>
      </c>
      <c r="B273" t="inlineStr">
        <is>
          <t>avverkningsanmälan</t>
        </is>
      </c>
      <c r="C273" t="inlineStr">
        <is>
          <t>Föryngringsavverkning</t>
        </is>
      </c>
      <c r="D273" s="1" t="n">
        <v>45407</v>
      </c>
      <c r="E273" s="1" t="n">
        <v>46218</v>
      </c>
      <c r="F273" t="inlineStr">
        <is>
          <t>NORRBOTTENS LÄN</t>
        </is>
      </c>
      <c r="G273" t="inlineStr">
        <is>
          <t>ÖVERTORNEÅ</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13754-2024</t>
        </is>
      </c>
      <c r="B274" t="inlineStr">
        <is>
          <t>avverkningsanmälan</t>
        </is>
      </c>
      <c r="C274" t="inlineStr">
        <is>
          <t>Föryngringsavverkning</t>
        </is>
      </c>
      <c r="D274" s="1" t="n">
        <v>45390</v>
      </c>
      <c r="E274" s="1" t="n">
        <v>46218</v>
      </c>
      <c r="F274" t="inlineStr">
        <is>
          <t>NORRBOTTENS LÄN</t>
        </is>
      </c>
      <c r="G274" t="inlineStr">
        <is>
          <t>ÖVERTORNEÅ</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27300-2022</t>
        </is>
      </c>
      <c r="B275" t="inlineStr">
        <is>
          <t>avverkningsanmälan</t>
        </is>
      </c>
      <c r="C275" t="inlineStr">
        <is>
          <t>Föryngringsavverkning</t>
        </is>
      </c>
      <c r="D275" s="1" t="n">
        <v>44741</v>
      </c>
      <c r="E275" s="1" t="n">
        <v>46218</v>
      </c>
      <c r="F275" t="inlineStr">
        <is>
          <t>NORRBOTTENS LÄN</t>
        </is>
      </c>
      <c r="G275" t="inlineStr">
        <is>
          <t>ÖVERTORNEÅ</t>
        </is>
      </c>
      <c r="H275" t="inlineStr">
        <is>
          <t>Sveaskog</t>
        </is>
      </c>
      <c r="I275" t="n">
        <v>2.9</v>
      </c>
      <c r="J275" t="n">
        <v>0</v>
      </c>
      <c r="K275" t="n">
        <v>0</v>
      </c>
      <c r="L275" t="n">
        <v>0</v>
      </c>
      <c r="M275" t="n">
        <v>0</v>
      </c>
      <c r="N275" t="n">
        <v>0</v>
      </c>
      <c r="O275" t="n">
        <v>0</v>
      </c>
      <c r="P275" t="n">
        <v>0</v>
      </c>
      <c r="Q275" t="n">
        <v>0</v>
      </c>
      <c r="R275" t="n">
        <v>0</v>
      </c>
      <c r="S275" t="n">
        <v>0</v>
      </c>
      <c r="T275" t="n">
        <v>0</v>
      </c>
      <c r="U275" s="2" t="inlineStr"/>
    </row>
    <row r="276" ht="15" customHeight="1">
      <c r="A276" t="inlineStr">
        <is>
          <t>A 48792-2021</t>
        </is>
      </c>
      <c r="B276" t="inlineStr">
        <is>
          <t>avverkningsanmälan</t>
        </is>
      </c>
      <c r="C276" t="inlineStr">
        <is>
          <t>Föryngringsavverkning</t>
        </is>
      </c>
      <c r="D276" s="1" t="n">
        <v>44452</v>
      </c>
      <c r="E276" s="1" t="n">
        <v>46218</v>
      </c>
      <c r="F276" t="inlineStr">
        <is>
          <t>NORRBOTTENS LÄN</t>
        </is>
      </c>
      <c r="G276" t="inlineStr">
        <is>
          <t>ÖVERTORNEÅ</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64554-2023</t>
        </is>
      </c>
      <c r="B277" t="inlineStr">
        <is>
          <t>avverkningsanmälan</t>
        </is>
      </c>
      <c r="C277" t="inlineStr">
        <is>
          <t>Föryngringsavverkning</t>
        </is>
      </c>
      <c r="D277" s="1" t="n">
        <v>45281</v>
      </c>
      <c r="E277" s="1" t="n">
        <v>46218</v>
      </c>
      <c r="F277" t="inlineStr">
        <is>
          <t>NORRBOTTENS LÄN</t>
        </is>
      </c>
      <c r="G277" t="inlineStr">
        <is>
          <t>ÖVERTORNEÅ</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58424-2025</t>
        </is>
      </c>
      <c r="B278" t="inlineStr">
        <is>
          <t>avverkningsanmälan</t>
        </is>
      </c>
      <c r="C278" t="inlineStr">
        <is>
          <t>Föryngringsavverkning</t>
        </is>
      </c>
      <c r="D278" s="1" t="n">
        <v>45985</v>
      </c>
      <c r="E278" s="1" t="n">
        <v>46218</v>
      </c>
      <c r="F278" t="inlineStr">
        <is>
          <t>NORRBOTTENS LÄN</t>
        </is>
      </c>
      <c r="G278" t="inlineStr">
        <is>
          <t>ÖVERTORNEÅ</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57968-2025</t>
        </is>
      </c>
      <c r="B279" t="inlineStr">
        <is>
          <t>avverkningsanmälan</t>
        </is>
      </c>
      <c r="C279" t="inlineStr">
        <is>
          <t>Avverkning för annat ändamål</t>
        </is>
      </c>
      <c r="D279" s="1" t="n">
        <v>45982</v>
      </c>
      <c r="E279" s="1" t="n">
        <v>46218</v>
      </c>
      <c r="F279" t="inlineStr">
        <is>
          <t>NORRBOTTENS LÄN</t>
        </is>
      </c>
      <c r="G279" t="inlineStr">
        <is>
          <t>ÖVERTORNEÅ</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29907-2025</t>
        </is>
      </c>
      <c r="B280" t="inlineStr">
        <is>
          <t>avverkningsanmälan</t>
        </is>
      </c>
      <c r="C280" t="inlineStr">
        <is>
          <t>Föryngringsavverkning</t>
        </is>
      </c>
      <c r="D280" s="1" t="n">
        <v>45826</v>
      </c>
      <c r="E280" s="1" t="n">
        <v>46218</v>
      </c>
      <c r="F280" t="inlineStr">
        <is>
          <t>NORRBOTTENS LÄN</t>
        </is>
      </c>
      <c r="G280" t="inlineStr">
        <is>
          <t>ÖVERTORNEÅ</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13842-2024</t>
        </is>
      </c>
      <c r="B281" t="inlineStr">
        <is>
          <t>avverkningsanmälan</t>
        </is>
      </c>
      <c r="C281" t="inlineStr">
        <is>
          <t>Föryngringsavverkning</t>
        </is>
      </c>
      <c r="D281" s="1" t="n">
        <v>45390</v>
      </c>
      <c r="E281" s="1" t="n">
        <v>46218</v>
      </c>
      <c r="F281" t="inlineStr">
        <is>
          <t>NORRBOTTENS LÄN</t>
        </is>
      </c>
      <c r="G281" t="inlineStr">
        <is>
          <t>ÖVERTORNEÅ</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30780-2025</t>
        </is>
      </c>
      <c r="B282" t="inlineStr">
        <is>
          <t>avverkningsanmälan</t>
        </is>
      </c>
      <c r="C282" t="inlineStr">
        <is>
          <t>Föryngringsavverkning</t>
        </is>
      </c>
      <c r="D282" s="1" t="n">
        <v>45831</v>
      </c>
      <c r="E282" s="1" t="n">
        <v>46218</v>
      </c>
      <c r="F282" t="inlineStr">
        <is>
          <t>NORRBOTTENS LÄN</t>
        </is>
      </c>
      <c r="G282" t="inlineStr">
        <is>
          <t>ÖVERTORNEÅ</t>
        </is>
      </c>
      <c r="H282" t="inlineStr">
        <is>
          <t>Sveaskog</t>
        </is>
      </c>
      <c r="I282" t="n">
        <v>4.3</v>
      </c>
      <c r="J282" t="n">
        <v>0</v>
      </c>
      <c r="K282" t="n">
        <v>0</v>
      </c>
      <c r="L282" t="n">
        <v>0</v>
      </c>
      <c r="M282" t="n">
        <v>0</v>
      </c>
      <c r="N282" t="n">
        <v>0</v>
      </c>
      <c r="O282" t="n">
        <v>0</v>
      </c>
      <c r="P282" t="n">
        <v>0</v>
      </c>
      <c r="Q282" t="n">
        <v>0</v>
      </c>
      <c r="R282" t="n">
        <v>0</v>
      </c>
      <c r="S282" t="n">
        <v>0</v>
      </c>
      <c r="T282" t="n">
        <v>0</v>
      </c>
      <c r="U282" s="2" t="inlineStr"/>
    </row>
    <row r="283" ht="15" customHeight="1">
      <c r="A283" t="inlineStr">
        <is>
          <t>A 6790-2025</t>
        </is>
      </c>
      <c r="B283" t="inlineStr">
        <is>
          <t>avverkningsanmälan</t>
        </is>
      </c>
      <c r="C283" t="inlineStr">
        <is>
          <t>Föryngringsavverkning</t>
        </is>
      </c>
      <c r="D283" s="1" t="n">
        <v>45700</v>
      </c>
      <c r="E283" s="1" t="n">
        <v>46218</v>
      </c>
      <c r="F283" t="inlineStr">
        <is>
          <t>NORRBOTTENS LÄN</t>
        </is>
      </c>
      <c r="G283" t="inlineStr">
        <is>
          <t>ÖVERTORNEÅ</t>
        </is>
      </c>
      <c r="I283" t="n">
        <v>8.1</v>
      </c>
      <c r="J283" t="n">
        <v>0</v>
      </c>
      <c r="K283" t="n">
        <v>0</v>
      </c>
      <c r="L283" t="n">
        <v>0</v>
      </c>
      <c r="M283" t="n">
        <v>0</v>
      </c>
      <c r="N283" t="n">
        <v>0</v>
      </c>
      <c r="O283" t="n">
        <v>0</v>
      </c>
      <c r="P283" t="n">
        <v>0</v>
      </c>
      <c r="Q283" t="n">
        <v>0</v>
      </c>
      <c r="R283" t="n">
        <v>0</v>
      </c>
      <c r="S283" t="n">
        <v>0</v>
      </c>
      <c r="T283" t="n">
        <v>0</v>
      </c>
      <c r="U283" s="2" t="inlineStr"/>
    </row>
    <row r="284" ht="15" customHeight="1">
      <c r="A284" t="inlineStr">
        <is>
          <t>A 25776-2026</t>
        </is>
      </c>
      <c r="B284" t="inlineStr">
        <is>
          <t>avverkningsanmälan</t>
        </is>
      </c>
      <c r="C284" t="inlineStr">
        <is>
          <t>Föryngringsavverkning</t>
        </is>
      </c>
      <c r="D284" s="1" t="n">
        <v>46178</v>
      </c>
      <c r="E284" s="1" t="n">
        <v>46218</v>
      </c>
      <c r="F284" t="inlineStr">
        <is>
          <t>NORRBOTTENS LÄN</t>
        </is>
      </c>
      <c r="G284" t="inlineStr">
        <is>
          <t>ÖVERTORNEÅ</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32156-2025</t>
        </is>
      </c>
      <c r="B285" t="inlineStr">
        <is>
          <t>avverkningsanmälan</t>
        </is>
      </c>
      <c r="C285" t="inlineStr">
        <is>
          <t>Föryngringsavverkning</t>
        </is>
      </c>
      <c r="D285" s="1" t="n">
        <v>45835</v>
      </c>
      <c r="E285" s="1" t="n">
        <v>46218</v>
      </c>
      <c r="F285" t="inlineStr">
        <is>
          <t>NORRBOTTENS LÄN</t>
        </is>
      </c>
      <c r="G285" t="inlineStr">
        <is>
          <t>ÖVERTORNEÅ</t>
        </is>
      </c>
      <c r="H285" t="inlineStr">
        <is>
          <t>Sveaskog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32144-2025</t>
        </is>
      </c>
      <c r="B286" t="inlineStr">
        <is>
          <t>avverkningsanmälan</t>
        </is>
      </c>
      <c r="C286" t="inlineStr">
        <is>
          <t>Föryngringsavverkning</t>
        </is>
      </c>
      <c r="D286" s="1" t="n">
        <v>45835</v>
      </c>
      <c r="E286" s="1" t="n">
        <v>46218</v>
      </c>
      <c r="F286" t="inlineStr">
        <is>
          <t>NORRBOTTENS LÄN</t>
        </is>
      </c>
      <c r="G286" t="inlineStr">
        <is>
          <t>ÖVERTORNEÅ</t>
        </is>
      </c>
      <c r="H286" t="inlineStr">
        <is>
          <t>Sveaskog</t>
        </is>
      </c>
      <c r="I286" t="n">
        <v>4.3</v>
      </c>
      <c r="J286" t="n">
        <v>0</v>
      </c>
      <c r="K286" t="n">
        <v>0</v>
      </c>
      <c r="L286" t="n">
        <v>0</v>
      </c>
      <c r="M286" t="n">
        <v>0</v>
      </c>
      <c r="N286" t="n">
        <v>0</v>
      </c>
      <c r="O286" t="n">
        <v>0</v>
      </c>
      <c r="P286" t="n">
        <v>0</v>
      </c>
      <c r="Q286" t="n">
        <v>0</v>
      </c>
      <c r="R286" t="n">
        <v>0</v>
      </c>
      <c r="S286" t="n">
        <v>0</v>
      </c>
      <c r="T286" t="n">
        <v>0</v>
      </c>
      <c r="U286" s="2" t="inlineStr"/>
    </row>
    <row r="287" ht="15" customHeight="1">
      <c r="A287" t="inlineStr">
        <is>
          <t>A 31773-2025</t>
        </is>
      </c>
      <c r="B287" t="inlineStr">
        <is>
          <t>avverkningsanmälan</t>
        </is>
      </c>
      <c r="C287" t="inlineStr">
        <is>
          <t>Föryngringsavverkning</t>
        </is>
      </c>
      <c r="D287" s="1" t="n">
        <v>45834</v>
      </c>
      <c r="E287" s="1" t="n">
        <v>46218</v>
      </c>
      <c r="F287" t="inlineStr">
        <is>
          <t>NORRBOTTENS LÄN</t>
        </is>
      </c>
      <c r="G287" t="inlineStr">
        <is>
          <t>ÖVERTORNEÅ</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32576-2025</t>
        </is>
      </c>
      <c r="B288" t="inlineStr">
        <is>
          <t>avverkningsanmälan</t>
        </is>
      </c>
      <c r="C288" t="inlineStr">
        <is>
          <t>Föryngringsavverkning</t>
        </is>
      </c>
      <c r="D288" s="1" t="n">
        <v>45838</v>
      </c>
      <c r="E288" s="1" t="n">
        <v>46218</v>
      </c>
      <c r="F288" t="inlineStr">
        <is>
          <t>NORRBOTTENS LÄN</t>
        </is>
      </c>
      <c r="G288" t="inlineStr">
        <is>
          <t>ÖVERTORNEÅ</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24656-2024</t>
        </is>
      </c>
      <c r="B289" t="inlineStr">
        <is>
          <t>avverkningsanmälan</t>
        </is>
      </c>
      <c r="C289" t="inlineStr">
        <is>
          <t>Föryngringsavverkning</t>
        </is>
      </c>
      <c r="D289" s="1" t="n">
        <v>45460</v>
      </c>
      <c r="E289" s="1" t="n">
        <v>46218</v>
      </c>
      <c r="F289" t="inlineStr">
        <is>
          <t>NORRBOTTENS LÄN</t>
        </is>
      </c>
      <c r="G289" t="inlineStr">
        <is>
          <t>ÖVERTORNEÅ</t>
        </is>
      </c>
      <c r="H289" t="inlineStr">
        <is>
          <t>Sveaskog</t>
        </is>
      </c>
      <c r="I289" t="n">
        <v>16.9</v>
      </c>
      <c r="J289" t="n">
        <v>0</v>
      </c>
      <c r="K289" t="n">
        <v>0</v>
      </c>
      <c r="L289" t="n">
        <v>0</v>
      </c>
      <c r="M289" t="n">
        <v>0</v>
      </c>
      <c r="N289" t="n">
        <v>0</v>
      </c>
      <c r="O289" t="n">
        <v>0</v>
      </c>
      <c r="P289" t="n">
        <v>0</v>
      </c>
      <c r="Q289" t="n">
        <v>0</v>
      </c>
      <c r="R289" t="n">
        <v>0</v>
      </c>
      <c r="S289" t="n">
        <v>0</v>
      </c>
      <c r="T289" t="n">
        <v>0</v>
      </c>
      <c r="U289" s="2" t="inlineStr"/>
    </row>
    <row r="290" ht="15" customHeight="1">
      <c r="A290" t="inlineStr">
        <is>
          <t>A 20129-2026</t>
        </is>
      </c>
      <c r="B290" t="inlineStr">
        <is>
          <t>avverkningsanmälan</t>
        </is>
      </c>
      <c r="C290" t="inlineStr">
        <is>
          <t>Föryngringsavverkning</t>
        </is>
      </c>
      <c r="D290" s="1" t="n">
        <v>46136</v>
      </c>
      <c r="E290" s="1" t="n">
        <v>46218</v>
      </c>
      <c r="F290" t="inlineStr">
        <is>
          <t>NORRBOTTENS LÄN</t>
        </is>
      </c>
      <c r="G290" t="inlineStr">
        <is>
          <t>ÖVERTORNEÅ</t>
        </is>
      </c>
      <c r="H290" t="inlineStr">
        <is>
          <t>Sveaskog</t>
        </is>
      </c>
      <c r="I290" t="n">
        <v>33.5</v>
      </c>
      <c r="J290" t="n">
        <v>0</v>
      </c>
      <c r="K290" t="n">
        <v>0</v>
      </c>
      <c r="L290" t="n">
        <v>0</v>
      </c>
      <c r="M290" t="n">
        <v>0</v>
      </c>
      <c r="N290" t="n">
        <v>0</v>
      </c>
      <c r="O290" t="n">
        <v>0</v>
      </c>
      <c r="P290" t="n">
        <v>0</v>
      </c>
      <c r="Q290" t="n">
        <v>0</v>
      </c>
      <c r="R290" t="n">
        <v>0</v>
      </c>
      <c r="S290" t="n">
        <v>0</v>
      </c>
      <c r="T290" t="n">
        <v>0</v>
      </c>
      <c r="U290" s="2" t="inlineStr"/>
    </row>
    <row r="291" ht="15" customHeight="1">
      <c r="A291" t="inlineStr">
        <is>
          <t>A 25751-2026</t>
        </is>
      </c>
      <c r="B291" t="inlineStr">
        <is>
          <t>avverkningsanmälan</t>
        </is>
      </c>
      <c r="C291" t="inlineStr">
        <is>
          <t>Föryngringsavverkning</t>
        </is>
      </c>
      <c r="D291" s="1" t="n">
        <v>46178</v>
      </c>
      <c r="E291" s="1" t="n">
        <v>46218</v>
      </c>
      <c r="F291" t="inlineStr">
        <is>
          <t>NORRBOTTENS LÄN</t>
        </is>
      </c>
      <c r="G291" t="inlineStr">
        <is>
          <t>ÖVERTORNEÅ</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34799-2025</t>
        </is>
      </c>
      <c r="B292" t="inlineStr">
        <is>
          <t>avverkningsanmälan</t>
        </is>
      </c>
      <c r="C292" t="inlineStr">
        <is>
          <t>Föryngringsavverkning</t>
        </is>
      </c>
      <c r="D292" s="1" t="n">
        <v>45848</v>
      </c>
      <c r="E292" s="1" t="n">
        <v>46218</v>
      </c>
      <c r="F292" t="inlineStr">
        <is>
          <t>NORRBOTTENS LÄN</t>
        </is>
      </c>
      <c r="G292" t="inlineStr">
        <is>
          <t>ÖVERTORNEÅ</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31774-2022</t>
        </is>
      </c>
      <c r="B293" t="inlineStr">
        <is>
          <t>avverkningsanmälan</t>
        </is>
      </c>
      <c r="C293" t="inlineStr">
        <is>
          <t>Föryngringsavverkning</t>
        </is>
      </c>
      <c r="D293" s="1" t="n">
        <v>44776</v>
      </c>
      <c r="E293" s="1" t="n">
        <v>46218</v>
      </c>
      <c r="F293" t="inlineStr">
        <is>
          <t>NORRBOTTENS LÄN</t>
        </is>
      </c>
      <c r="G293" t="inlineStr">
        <is>
          <t>ÖVERTORNEÅ</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34801-2025</t>
        </is>
      </c>
      <c r="B294" t="inlineStr">
        <is>
          <t>avverkningsanmälan</t>
        </is>
      </c>
      <c r="C294" t="inlineStr">
        <is>
          <t>Föryngringsavverkning</t>
        </is>
      </c>
      <c r="D294" s="1" t="n">
        <v>45848</v>
      </c>
      <c r="E294" s="1" t="n">
        <v>46218</v>
      </c>
      <c r="F294" t="inlineStr">
        <is>
          <t>NORRBOTTENS LÄN</t>
        </is>
      </c>
      <c r="G294" t="inlineStr">
        <is>
          <t>ÖVERTORNEÅ</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26154-2026</t>
        </is>
      </c>
      <c r="B295" t="inlineStr">
        <is>
          <t>avverkningsanmälan</t>
        </is>
      </c>
      <c r="C295" t="inlineStr">
        <is>
          <t>Avverkning för annat ändamål</t>
        </is>
      </c>
      <c r="D295" s="1" t="n">
        <v>46181</v>
      </c>
      <c r="E295" s="1" t="n">
        <v>46218</v>
      </c>
      <c r="F295" t="inlineStr">
        <is>
          <t>NORRBOTTENS LÄN</t>
        </is>
      </c>
      <c r="G295" t="inlineStr">
        <is>
          <t>ÖVERTORNEÅ</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35594-2025</t>
        </is>
      </c>
      <c r="B296" t="inlineStr">
        <is>
          <t>avverkningsanmälan</t>
        </is>
      </c>
      <c r="C296" t="inlineStr">
        <is>
          <t>Föryngringsavverkning</t>
        </is>
      </c>
      <c r="D296" s="1" t="n">
        <v>45857</v>
      </c>
      <c r="E296" s="1" t="n">
        <v>46218</v>
      </c>
      <c r="F296" t="inlineStr">
        <is>
          <t>NORRBOTTENS LÄN</t>
        </is>
      </c>
      <c r="G296" t="inlineStr">
        <is>
          <t>ÖVERTORNEÅ</t>
        </is>
      </c>
      <c r="I296" t="n">
        <v>2.7</v>
      </c>
      <c r="J296" t="n">
        <v>0</v>
      </c>
      <c r="K296" t="n">
        <v>0</v>
      </c>
      <c r="L296" t="n">
        <v>0</v>
      </c>
      <c r="M296" t="n">
        <v>0</v>
      </c>
      <c r="N296" t="n">
        <v>0</v>
      </c>
      <c r="O296" t="n">
        <v>0</v>
      </c>
      <c r="P296" t="n">
        <v>0</v>
      </c>
      <c r="Q296" t="n">
        <v>0</v>
      </c>
      <c r="R296" t="n">
        <v>0</v>
      </c>
      <c r="S296" t="n">
        <v>0</v>
      </c>
      <c r="T296" t="n">
        <v>0</v>
      </c>
      <c r="U296" s="2" t="inlineStr"/>
    </row>
    <row r="297" ht="15" customHeight="1">
      <c r="A297" t="inlineStr">
        <is>
          <t>A 35591-2025</t>
        </is>
      </c>
      <c r="B297" t="inlineStr">
        <is>
          <t>avverkningsanmälan</t>
        </is>
      </c>
      <c r="C297" t="inlineStr">
        <is>
          <t>Föryngringsavverkning</t>
        </is>
      </c>
      <c r="D297" s="1" t="n">
        <v>45857</v>
      </c>
      <c r="E297" s="1" t="n">
        <v>46218</v>
      </c>
      <c r="F297" t="inlineStr">
        <is>
          <t>NORRBOTTENS LÄN</t>
        </is>
      </c>
      <c r="G297" t="inlineStr">
        <is>
          <t>ÖVERTORNEÅ</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35837-2025</t>
        </is>
      </c>
      <c r="B298" t="inlineStr">
        <is>
          <t>avverkningsanmälan</t>
        </is>
      </c>
      <c r="C298" t="inlineStr">
        <is>
          <t>Föryngringsavverkning</t>
        </is>
      </c>
      <c r="D298" s="1" t="n">
        <v>45861</v>
      </c>
      <c r="E298" s="1" t="n">
        <v>46218</v>
      </c>
      <c r="F298" t="inlineStr">
        <is>
          <t>NORRBOTTENS LÄN</t>
        </is>
      </c>
      <c r="G298" t="inlineStr">
        <is>
          <t>ÖVERTORNEÅ</t>
        </is>
      </c>
      <c r="I298" t="n">
        <v>16.4</v>
      </c>
      <c r="J298" t="n">
        <v>0</v>
      </c>
      <c r="K298" t="n">
        <v>0</v>
      </c>
      <c r="L298" t="n">
        <v>0</v>
      </c>
      <c r="M298" t="n">
        <v>0</v>
      </c>
      <c r="N298" t="n">
        <v>0</v>
      </c>
      <c r="O298" t="n">
        <v>0</v>
      </c>
      <c r="P298" t="n">
        <v>0</v>
      </c>
      <c r="Q298" t="n">
        <v>0</v>
      </c>
      <c r="R298" t="n">
        <v>0</v>
      </c>
      <c r="S298" t="n">
        <v>0</v>
      </c>
      <c r="T298" t="n">
        <v>0</v>
      </c>
      <c r="U298" s="2" t="inlineStr"/>
    </row>
    <row r="299" ht="15" customHeight="1">
      <c r="A299" t="inlineStr">
        <is>
          <t>A 4400-2025</t>
        </is>
      </c>
      <c r="B299" t="inlineStr">
        <is>
          <t>avverkningsanmälan</t>
        </is>
      </c>
      <c r="C299" t="inlineStr">
        <is>
          <t>Föryngringsavverkning</t>
        </is>
      </c>
      <c r="D299" s="1" t="n">
        <v>45686</v>
      </c>
      <c r="E299" s="1" t="n">
        <v>46218</v>
      </c>
      <c r="F299" t="inlineStr">
        <is>
          <t>NORRBOTTENS LÄN</t>
        </is>
      </c>
      <c r="G299" t="inlineStr">
        <is>
          <t>ÖVERTORNEÅ</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35603-2025</t>
        </is>
      </c>
      <c r="B300" t="inlineStr">
        <is>
          <t>avverkningsanmälan</t>
        </is>
      </c>
      <c r="C300" t="inlineStr">
        <is>
          <t>Föryngringsavverkning</t>
        </is>
      </c>
      <c r="D300" s="1" t="n">
        <v>45859</v>
      </c>
      <c r="E300" s="1" t="n">
        <v>46218</v>
      </c>
      <c r="F300" t="inlineStr">
        <is>
          <t>NORRBOTTENS LÄN</t>
        </is>
      </c>
      <c r="G300" t="inlineStr">
        <is>
          <t>ÖVERTORNEÅ</t>
        </is>
      </c>
      <c r="H300" t="inlineStr">
        <is>
          <t>Sveaskog</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4514-2022</t>
        </is>
      </c>
      <c r="B301" t="inlineStr">
        <is>
          <t>avverkningsanmälan</t>
        </is>
      </c>
      <c r="C301" t="inlineStr">
        <is>
          <t>Avverkning för annat ändamål</t>
        </is>
      </c>
      <c r="D301" s="1" t="n">
        <v>44589</v>
      </c>
      <c r="E301" s="1" t="n">
        <v>46218</v>
      </c>
      <c r="F301" t="inlineStr">
        <is>
          <t>NORRBOTTENS LÄN</t>
        </is>
      </c>
      <c r="G301" t="inlineStr">
        <is>
          <t>ÖVERTORNEÅ</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53810-2025</t>
        </is>
      </c>
      <c r="B302" t="inlineStr">
        <is>
          <t>avverkningsanmälan</t>
        </is>
      </c>
      <c r="C302" t="inlineStr">
        <is>
          <t>Föryngringsavverkning</t>
        </is>
      </c>
      <c r="D302" s="1" t="n">
        <v>45960</v>
      </c>
      <c r="E302" s="1" t="n">
        <v>46218</v>
      </c>
      <c r="F302" t="inlineStr">
        <is>
          <t>NORRBOTTENS LÄN</t>
        </is>
      </c>
      <c r="G302" t="inlineStr">
        <is>
          <t>ÖVERTORNEÅ</t>
        </is>
      </c>
      <c r="I302" t="n">
        <v>5.6</v>
      </c>
      <c r="J302" t="n">
        <v>0</v>
      </c>
      <c r="K302" t="n">
        <v>0</v>
      </c>
      <c r="L302" t="n">
        <v>0</v>
      </c>
      <c r="M302" t="n">
        <v>0</v>
      </c>
      <c r="N302" t="n">
        <v>0</v>
      </c>
      <c r="O302" t="n">
        <v>0</v>
      </c>
      <c r="P302" t="n">
        <v>0</v>
      </c>
      <c r="Q302" t="n">
        <v>0</v>
      </c>
      <c r="R302" t="n">
        <v>0</v>
      </c>
      <c r="S302" t="n">
        <v>0</v>
      </c>
      <c r="T302" t="n">
        <v>0</v>
      </c>
      <c r="U302" s="2" t="inlineStr"/>
    </row>
    <row r="303" ht="15" customHeight="1">
      <c r="A303" t="inlineStr">
        <is>
          <t>A 4283-2025</t>
        </is>
      </c>
      <c r="B303" t="inlineStr">
        <is>
          <t>avverkningsanmälan</t>
        </is>
      </c>
      <c r="C303" t="inlineStr">
        <is>
          <t>Föryngringsavverkning</t>
        </is>
      </c>
      <c r="D303" s="1" t="n">
        <v>45685</v>
      </c>
      <c r="E303" s="1" t="n">
        <v>46218</v>
      </c>
      <c r="F303" t="inlineStr">
        <is>
          <t>NORRBOTTENS LÄN</t>
        </is>
      </c>
      <c r="G303" t="inlineStr">
        <is>
          <t>ÖVERTORNEÅ</t>
        </is>
      </c>
      <c r="I303" t="n">
        <v>7.7</v>
      </c>
      <c r="J303" t="n">
        <v>0</v>
      </c>
      <c r="K303" t="n">
        <v>0</v>
      </c>
      <c r="L303" t="n">
        <v>0</v>
      </c>
      <c r="M303" t="n">
        <v>0</v>
      </c>
      <c r="N303" t="n">
        <v>0</v>
      </c>
      <c r="O303" t="n">
        <v>0</v>
      </c>
      <c r="P303" t="n">
        <v>0</v>
      </c>
      <c r="Q303" t="n">
        <v>0</v>
      </c>
      <c r="R303" t="n">
        <v>0</v>
      </c>
      <c r="S303" t="n">
        <v>0</v>
      </c>
      <c r="T303" t="n">
        <v>0</v>
      </c>
      <c r="U303" s="2" t="inlineStr"/>
    </row>
    <row r="304" ht="15" customHeight="1">
      <c r="A304" t="inlineStr">
        <is>
          <t>A 20516-2026</t>
        </is>
      </c>
      <c r="B304" t="inlineStr">
        <is>
          <t>avverkningsanmälan</t>
        </is>
      </c>
      <c r="C304" t="inlineStr">
        <is>
          <t>Föryngringsavverkning</t>
        </is>
      </c>
      <c r="D304" s="1" t="n">
        <v>46140</v>
      </c>
      <c r="E304" s="1" t="n">
        <v>46218</v>
      </c>
      <c r="F304" t="inlineStr">
        <is>
          <t>NORRBOTTENS LÄN</t>
        </is>
      </c>
      <c r="G304" t="inlineStr">
        <is>
          <t>ÖVERTORNEÅ</t>
        </is>
      </c>
      <c r="I304" t="n">
        <v>6.9</v>
      </c>
      <c r="J304" t="n">
        <v>0</v>
      </c>
      <c r="K304" t="n">
        <v>0</v>
      </c>
      <c r="L304" t="n">
        <v>0</v>
      </c>
      <c r="M304" t="n">
        <v>0</v>
      </c>
      <c r="N304" t="n">
        <v>0</v>
      </c>
      <c r="O304" t="n">
        <v>0</v>
      </c>
      <c r="P304" t="n">
        <v>0</v>
      </c>
      <c r="Q304" t="n">
        <v>0</v>
      </c>
      <c r="R304" t="n">
        <v>0</v>
      </c>
      <c r="S304" t="n">
        <v>0</v>
      </c>
      <c r="T304" t="n">
        <v>0</v>
      </c>
      <c r="U304" s="2" t="inlineStr"/>
    </row>
    <row r="305" ht="15" customHeight="1">
      <c r="A305" t="inlineStr">
        <is>
          <t>A 46032-2021</t>
        </is>
      </c>
      <c r="B305" t="inlineStr">
        <is>
          <t>avverkningsanmälan</t>
        </is>
      </c>
      <c r="C305" t="inlineStr">
        <is>
          <t>Föryngringsavverkning</t>
        </is>
      </c>
      <c r="D305" s="1" t="n">
        <v>44441</v>
      </c>
      <c r="E305" s="1" t="n">
        <v>46218</v>
      </c>
      <c r="F305" t="inlineStr">
        <is>
          <t>NORRBOTTENS LÄN</t>
        </is>
      </c>
      <c r="G305" t="inlineStr">
        <is>
          <t>ÖVERTORNEÅ</t>
        </is>
      </c>
      <c r="I305" t="n">
        <v>6</v>
      </c>
      <c r="J305" t="n">
        <v>0</v>
      </c>
      <c r="K305" t="n">
        <v>0</v>
      </c>
      <c r="L305" t="n">
        <v>0</v>
      </c>
      <c r="M305" t="n">
        <v>0</v>
      </c>
      <c r="N305" t="n">
        <v>0</v>
      </c>
      <c r="O305" t="n">
        <v>0</v>
      </c>
      <c r="P305" t="n">
        <v>0</v>
      </c>
      <c r="Q305" t="n">
        <v>0</v>
      </c>
      <c r="R305" t="n">
        <v>0</v>
      </c>
      <c r="S305" t="n">
        <v>0</v>
      </c>
      <c r="T305" t="n">
        <v>0</v>
      </c>
      <c r="U305" s="2" t="inlineStr"/>
    </row>
    <row r="306" ht="15" customHeight="1">
      <c r="A306" t="inlineStr">
        <is>
          <t>A 36115-2025</t>
        </is>
      </c>
      <c r="B306" t="inlineStr">
        <is>
          <t>avverkningsanmälan</t>
        </is>
      </c>
      <c r="C306" t="inlineStr">
        <is>
          <t>Föryngringsavverkning</t>
        </is>
      </c>
      <c r="D306" s="1" t="n">
        <v>45866</v>
      </c>
      <c r="E306" s="1" t="n">
        <v>46218</v>
      </c>
      <c r="F306" t="inlineStr">
        <is>
          <t>NORRBOTTENS LÄN</t>
        </is>
      </c>
      <c r="G306" t="inlineStr">
        <is>
          <t>ÖVERTORNEÅ</t>
        </is>
      </c>
      <c r="H306" t="inlineStr">
        <is>
          <t>Sveaskog</t>
        </is>
      </c>
      <c r="I306" t="n">
        <v>12.9</v>
      </c>
      <c r="J306" t="n">
        <v>0</v>
      </c>
      <c r="K306" t="n">
        <v>0</v>
      </c>
      <c r="L306" t="n">
        <v>0</v>
      </c>
      <c r="M306" t="n">
        <v>0</v>
      </c>
      <c r="N306" t="n">
        <v>0</v>
      </c>
      <c r="O306" t="n">
        <v>0</v>
      </c>
      <c r="P306" t="n">
        <v>0</v>
      </c>
      <c r="Q306" t="n">
        <v>0</v>
      </c>
      <c r="R306" t="n">
        <v>0</v>
      </c>
      <c r="S306" t="n">
        <v>0</v>
      </c>
      <c r="T306" t="n">
        <v>0</v>
      </c>
      <c r="U306" s="2" t="inlineStr"/>
    </row>
    <row r="307" ht="15" customHeight="1">
      <c r="A307" t="inlineStr">
        <is>
          <t>A 26162-2024</t>
        </is>
      </c>
      <c r="B307" t="inlineStr">
        <is>
          <t>avverkningsanmälan</t>
        </is>
      </c>
      <c r="C307" t="inlineStr">
        <is>
          <t>Föryngringsavverkning</t>
        </is>
      </c>
      <c r="D307" s="1" t="n">
        <v>45467</v>
      </c>
      <c r="E307" s="1" t="n">
        <v>46218</v>
      </c>
      <c r="F307" t="inlineStr">
        <is>
          <t>NORRBOTTENS LÄN</t>
        </is>
      </c>
      <c r="G307" t="inlineStr">
        <is>
          <t>ÖVERTORNEÅ</t>
        </is>
      </c>
      <c r="I307" t="n">
        <v>5.5</v>
      </c>
      <c r="J307" t="n">
        <v>0</v>
      </c>
      <c r="K307" t="n">
        <v>0</v>
      </c>
      <c r="L307" t="n">
        <v>0</v>
      </c>
      <c r="M307" t="n">
        <v>0</v>
      </c>
      <c r="N307" t="n">
        <v>0</v>
      </c>
      <c r="O307" t="n">
        <v>0</v>
      </c>
      <c r="P307" t="n">
        <v>0</v>
      </c>
      <c r="Q307" t="n">
        <v>0</v>
      </c>
      <c r="R307" t="n">
        <v>0</v>
      </c>
      <c r="S307" t="n">
        <v>0</v>
      </c>
      <c r="T307" t="n">
        <v>0</v>
      </c>
      <c r="U307" s="2" t="inlineStr"/>
    </row>
    <row r="308" ht="15" customHeight="1">
      <c r="A308" t="inlineStr">
        <is>
          <t>A 16000-2024</t>
        </is>
      </c>
      <c r="B308" t="inlineStr">
        <is>
          <t>avverkningsanmälan</t>
        </is>
      </c>
      <c r="C308" t="inlineStr">
        <is>
          <t>Föryngringsavverkning</t>
        </is>
      </c>
      <c r="D308" s="1" t="n">
        <v>45405</v>
      </c>
      <c r="E308" s="1" t="n">
        <v>46218</v>
      </c>
      <c r="F308" t="inlineStr">
        <is>
          <t>NORRBOTTENS LÄN</t>
        </is>
      </c>
      <c r="G308" t="inlineStr">
        <is>
          <t>ÖVERTORNEÅ</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46024-2021</t>
        </is>
      </c>
      <c r="B309" t="inlineStr">
        <is>
          <t>avverkningsanmälan</t>
        </is>
      </c>
      <c r="C309" t="inlineStr">
        <is>
          <t>Föryngringsavverkning</t>
        </is>
      </c>
      <c r="D309" s="1" t="n">
        <v>44441</v>
      </c>
      <c r="E309" s="1" t="n">
        <v>46218</v>
      </c>
      <c r="F309" t="inlineStr">
        <is>
          <t>NORRBOTTENS LÄN</t>
        </is>
      </c>
      <c r="G309" t="inlineStr">
        <is>
          <t>ÖVERTORNEÅ</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55545-2024</t>
        </is>
      </c>
      <c r="B310" t="inlineStr">
        <is>
          <t>avverkningsanmälan</t>
        </is>
      </c>
      <c r="C310" t="inlineStr">
        <is>
          <t>Föryngringsavverkning</t>
        </is>
      </c>
      <c r="D310" s="1" t="n">
        <v>45622</v>
      </c>
      <c r="E310" s="1" t="n">
        <v>46218</v>
      </c>
      <c r="F310" t="inlineStr">
        <is>
          <t>NORRBOTTENS LÄN</t>
        </is>
      </c>
      <c r="G310" t="inlineStr">
        <is>
          <t>ÖVERTORNEÅ</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36608-2025</t>
        </is>
      </c>
      <c r="B311" t="inlineStr">
        <is>
          <t>avverkningsanmälan</t>
        </is>
      </c>
      <c r="C311" t="inlineStr">
        <is>
          <t>Föryngringsavverkning</t>
        </is>
      </c>
      <c r="D311" s="1" t="n">
        <v>45870</v>
      </c>
      <c r="E311" s="1" t="n">
        <v>46218</v>
      </c>
      <c r="F311" t="inlineStr">
        <is>
          <t>NORRBOTTENS LÄN</t>
        </is>
      </c>
      <c r="G311" t="inlineStr">
        <is>
          <t>ÖVERTORNEÅ</t>
        </is>
      </c>
      <c r="H311" t="inlineStr">
        <is>
          <t>Sveaskog</t>
        </is>
      </c>
      <c r="I311" t="n">
        <v>9.800000000000001</v>
      </c>
      <c r="J311" t="n">
        <v>0</v>
      </c>
      <c r="K311" t="n">
        <v>0</v>
      </c>
      <c r="L311" t="n">
        <v>0</v>
      </c>
      <c r="M311" t="n">
        <v>0</v>
      </c>
      <c r="N311" t="n">
        <v>0</v>
      </c>
      <c r="O311" t="n">
        <v>0</v>
      </c>
      <c r="P311" t="n">
        <v>0</v>
      </c>
      <c r="Q311" t="n">
        <v>0</v>
      </c>
      <c r="R311" t="n">
        <v>0</v>
      </c>
      <c r="S311" t="n">
        <v>0</v>
      </c>
      <c r="T311" t="n">
        <v>0</v>
      </c>
      <c r="U311" s="2" t="inlineStr"/>
    </row>
    <row r="312" ht="15" customHeight="1">
      <c r="A312" t="inlineStr">
        <is>
          <t>A 20645-2026</t>
        </is>
      </c>
      <c r="B312" t="inlineStr">
        <is>
          <t>avverkningsanmälan</t>
        </is>
      </c>
      <c r="C312" t="inlineStr">
        <is>
          <t>Föryngringsavverkning</t>
        </is>
      </c>
      <c r="D312" s="1" t="n">
        <v>46141</v>
      </c>
      <c r="E312" s="1" t="n">
        <v>46218</v>
      </c>
      <c r="F312" t="inlineStr">
        <is>
          <t>NORRBOTTENS LÄN</t>
        </is>
      </c>
      <c r="G312" t="inlineStr">
        <is>
          <t>ÖVERTORNEÅ</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20537-2026</t>
        </is>
      </c>
      <c r="B313" t="inlineStr">
        <is>
          <t>avverkningsanmälan</t>
        </is>
      </c>
      <c r="C313" t="inlineStr">
        <is>
          <t>Föryngringsavverkning</t>
        </is>
      </c>
      <c r="D313" s="1" t="n">
        <v>46140</v>
      </c>
      <c r="E313" s="1" t="n">
        <v>46218</v>
      </c>
      <c r="F313" t="inlineStr">
        <is>
          <t>NORRBOTTENS LÄN</t>
        </is>
      </c>
      <c r="G313" t="inlineStr">
        <is>
          <t>ÖVERTORNEÅ</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33572-2024</t>
        </is>
      </c>
      <c r="B314" t="inlineStr">
        <is>
          <t>avverkningsanmälan</t>
        </is>
      </c>
      <c r="C314" t="inlineStr">
        <is>
          <t>Föryngringsavverkning</t>
        </is>
      </c>
      <c r="D314" s="1" t="n">
        <v>45520</v>
      </c>
      <c r="E314" s="1" t="n">
        <v>46218</v>
      </c>
      <c r="F314" t="inlineStr">
        <is>
          <t>NORRBOTTENS LÄN</t>
        </is>
      </c>
      <c r="G314" t="inlineStr">
        <is>
          <t>ÖVERTORNEÅ</t>
        </is>
      </c>
      <c r="I314" t="n">
        <v>5.9</v>
      </c>
      <c r="J314" t="n">
        <v>0</v>
      </c>
      <c r="K314" t="n">
        <v>0</v>
      </c>
      <c r="L314" t="n">
        <v>0</v>
      </c>
      <c r="M314" t="n">
        <v>0</v>
      </c>
      <c r="N314" t="n">
        <v>0</v>
      </c>
      <c r="O314" t="n">
        <v>0</v>
      </c>
      <c r="P314" t="n">
        <v>0</v>
      </c>
      <c r="Q314" t="n">
        <v>0</v>
      </c>
      <c r="R314" t="n">
        <v>0</v>
      </c>
      <c r="S314" t="n">
        <v>0</v>
      </c>
      <c r="T314" t="n">
        <v>0</v>
      </c>
      <c r="U314" s="2" t="inlineStr"/>
    </row>
    <row r="315" ht="15" customHeight="1">
      <c r="A315" t="inlineStr">
        <is>
          <t>A 8514-2024</t>
        </is>
      </c>
      <c r="B315" t="inlineStr">
        <is>
          <t>avverkningsanmälan</t>
        </is>
      </c>
      <c r="C315" t="inlineStr">
        <is>
          <t>Föryngringsavverkning</t>
        </is>
      </c>
      <c r="D315" s="1" t="n">
        <v>45351</v>
      </c>
      <c r="E315" s="1" t="n">
        <v>46218</v>
      </c>
      <c r="F315" t="inlineStr">
        <is>
          <t>NORRBOTTENS LÄN</t>
        </is>
      </c>
      <c r="G315" t="inlineStr">
        <is>
          <t>ÖVERTORNEÅ</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26118-2024</t>
        </is>
      </c>
      <c r="B316" t="inlineStr">
        <is>
          <t>avverkningsanmälan</t>
        </is>
      </c>
      <c r="C316" t="inlineStr">
        <is>
          <t>Föryngringsavverkning</t>
        </is>
      </c>
      <c r="D316" s="1" t="n">
        <v>45467</v>
      </c>
      <c r="E316" s="1" t="n">
        <v>46218</v>
      </c>
      <c r="F316" t="inlineStr">
        <is>
          <t>NORRBOTTENS LÄN</t>
        </is>
      </c>
      <c r="G316" t="inlineStr">
        <is>
          <t>ÖVERTORNEÅ</t>
        </is>
      </c>
      <c r="I316" t="n">
        <v>12.4</v>
      </c>
      <c r="J316" t="n">
        <v>0</v>
      </c>
      <c r="K316" t="n">
        <v>0</v>
      </c>
      <c r="L316" t="n">
        <v>0</v>
      </c>
      <c r="M316" t="n">
        <v>0</v>
      </c>
      <c r="N316" t="n">
        <v>0</v>
      </c>
      <c r="O316" t="n">
        <v>0</v>
      </c>
      <c r="P316" t="n">
        <v>0</v>
      </c>
      <c r="Q316" t="n">
        <v>0</v>
      </c>
      <c r="R316" t="n">
        <v>0</v>
      </c>
      <c r="S316" t="n">
        <v>0</v>
      </c>
      <c r="T316" t="n">
        <v>0</v>
      </c>
      <c r="U316" s="2" t="inlineStr"/>
    </row>
    <row r="317" ht="15" customHeight="1">
      <c r="A317" t="inlineStr">
        <is>
          <t>A 63465-2025</t>
        </is>
      </c>
      <c r="B317" t="inlineStr">
        <is>
          <t>avverkningsanmälan</t>
        </is>
      </c>
      <c r="C317" t="inlineStr">
        <is>
          <t>Föryngringsavverkning</t>
        </is>
      </c>
      <c r="D317" s="1" t="n">
        <v>46013</v>
      </c>
      <c r="E317" s="1" t="n">
        <v>46218</v>
      </c>
      <c r="F317" t="inlineStr">
        <is>
          <t>NORRBOTTENS LÄN</t>
        </is>
      </c>
      <c r="G317" t="inlineStr">
        <is>
          <t>ÖVERTORNEÅ</t>
        </is>
      </c>
      <c r="I317" t="n">
        <v>12.7</v>
      </c>
      <c r="J317" t="n">
        <v>0</v>
      </c>
      <c r="K317" t="n">
        <v>0</v>
      </c>
      <c r="L317" t="n">
        <v>0</v>
      </c>
      <c r="M317" t="n">
        <v>0</v>
      </c>
      <c r="N317" t="n">
        <v>0</v>
      </c>
      <c r="O317" t="n">
        <v>0</v>
      </c>
      <c r="P317" t="n">
        <v>0</v>
      </c>
      <c r="Q317" t="n">
        <v>0</v>
      </c>
      <c r="R317" t="n">
        <v>0</v>
      </c>
      <c r="S317" t="n">
        <v>0</v>
      </c>
      <c r="T317" t="n">
        <v>0</v>
      </c>
      <c r="U317" s="2" t="inlineStr"/>
    </row>
    <row r="318" ht="15" customHeight="1">
      <c r="A318" t="inlineStr">
        <is>
          <t>A 37361-2025</t>
        </is>
      </c>
      <c r="B318" t="inlineStr">
        <is>
          <t>avverkningsanmälan</t>
        </is>
      </c>
      <c r="C318" t="inlineStr">
        <is>
          <t>Föryngringsavverkning</t>
        </is>
      </c>
      <c r="D318" s="1" t="n">
        <v>45877</v>
      </c>
      <c r="E318" s="1" t="n">
        <v>46218</v>
      </c>
      <c r="F318" t="inlineStr">
        <is>
          <t>NORRBOTTENS LÄN</t>
        </is>
      </c>
      <c r="G318" t="inlineStr">
        <is>
          <t>ÖVERTORNEÅ</t>
        </is>
      </c>
      <c r="I318" t="n">
        <v>4.2</v>
      </c>
      <c r="J318" t="n">
        <v>0</v>
      </c>
      <c r="K318" t="n">
        <v>0</v>
      </c>
      <c r="L318" t="n">
        <v>0</v>
      </c>
      <c r="M318" t="n">
        <v>0</v>
      </c>
      <c r="N318" t="n">
        <v>0</v>
      </c>
      <c r="O318" t="n">
        <v>0</v>
      </c>
      <c r="P318" t="n">
        <v>0</v>
      </c>
      <c r="Q318" t="n">
        <v>0</v>
      </c>
      <c r="R318" t="n">
        <v>0</v>
      </c>
      <c r="S318" t="n">
        <v>0</v>
      </c>
      <c r="T318" t="n">
        <v>0</v>
      </c>
      <c r="U318" s="2" t="inlineStr"/>
    </row>
    <row r="319" ht="15" customHeight="1">
      <c r="A319" t="inlineStr">
        <is>
          <t>A 48891-2022</t>
        </is>
      </c>
      <c r="B319" t="inlineStr">
        <is>
          <t>avverkningsanmälan</t>
        </is>
      </c>
      <c r="C319" t="inlineStr">
        <is>
          <t>Föryngringsavverkning</t>
        </is>
      </c>
      <c r="D319" s="1" t="n">
        <v>44859</v>
      </c>
      <c r="E319" s="1" t="n">
        <v>46218</v>
      </c>
      <c r="F319" t="inlineStr">
        <is>
          <t>NORRBOTTENS LÄN</t>
        </is>
      </c>
      <c r="G319" t="inlineStr">
        <is>
          <t>ÖVERTORNEÅ</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28839-2023</t>
        </is>
      </c>
      <c r="B320" t="inlineStr">
        <is>
          <t>avverkningsanmälan</t>
        </is>
      </c>
      <c r="C320" t="inlineStr">
        <is>
          <t>Föryngringsavverkning</t>
        </is>
      </c>
      <c r="D320" s="1" t="n">
        <v>45104</v>
      </c>
      <c r="E320" s="1" t="n">
        <v>46218</v>
      </c>
      <c r="F320" t="inlineStr">
        <is>
          <t>NORRBOTTENS LÄN</t>
        </is>
      </c>
      <c r="G320" t="inlineStr">
        <is>
          <t>ÖVERTORNEÅ</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6935-2026</t>
        </is>
      </c>
      <c r="B321" t="inlineStr">
        <is>
          <t>avverkningsanmälan</t>
        </is>
      </c>
      <c r="C321" t="inlineStr">
        <is>
          <t>Föryngringsavverkning</t>
        </is>
      </c>
      <c r="D321" s="1" t="n">
        <v>46057</v>
      </c>
      <c r="E321" s="1" t="n">
        <v>46218</v>
      </c>
      <c r="F321" t="inlineStr">
        <is>
          <t>NORRBOTTENS LÄN</t>
        </is>
      </c>
      <c r="G321" t="inlineStr">
        <is>
          <t>ÖVERTORNEÅ</t>
        </is>
      </c>
      <c r="I321" t="n">
        <v>3.1</v>
      </c>
      <c r="J321" t="n">
        <v>0</v>
      </c>
      <c r="K321" t="n">
        <v>0</v>
      </c>
      <c r="L321" t="n">
        <v>0</v>
      </c>
      <c r="M321" t="n">
        <v>0</v>
      </c>
      <c r="N321" t="n">
        <v>0</v>
      </c>
      <c r="O321" t="n">
        <v>0</v>
      </c>
      <c r="P321" t="n">
        <v>0</v>
      </c>
      <c r="Q321" t="n">
        <v>0</v>
      </c>
      <c r="R321" t="n">
        <v>0</v>
      </c>
      <c r="S321" t="n">
        <v>0</v>
      </c>
      <c r="T321" t="n">
        <v>0</v>
      </c>
      <c r="U321" s="2" t="inlineStr"/>
    </row>
    <row r="322" ht="15" customHeight="1">
      <c r="A322" t="inlineStr">
        <is>
          <t>A 60522-2025</t>
        </is>
      </c>
      <c r="B322" t="inlineStr">
        <is>
          <t>avverkningsanmälan</t>
        </is>
      </c>
      <c r="C322" t="inlineStr">
        <is>
          <t>Föryngringsavverkning</t>
        </is>
      </c>
      <c r="D322" s="1" t="n">
        <v>45995</v>
      </c>
      <c r="E322" s="1" t="n">
        <v>46218</v>
      </c>
      <c r="F322" t="inlineStr">
        <is>
          <t>NORRBOTTENS LÄN</t>
        </is>
      </c>
      <c r="G322" t="inlineStr">
        <is>
          <t>ÖVERTORNEÅ</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26372-2026</t>
        </is>
      </c>
      <c r="B323" t="inlineStr">
        <is>
          <t>avverkningsanmälan</t>
        </is>
      </c>
      <c r="C323" t="inlineStr">
        <is>
          <t>Föryngringsavverkning</t>
        </is>
      </c>
      <c r="D323" s="1" t="n">
        <v>46183</v>
      </c>
      <c r="E323" s="1" t="n">
        <v>46218</v>
      </c>
      <c r="F323" t="inlineStr">
        <is>
          <t>NORRBOTTENS LÄN</t>
        </is>
      </c>
      <c r="G323" t="inlineStr">
        <is>
          <t>ÖVERTORNEÅ</t>
        </is>
      </c>
      <c r="I323" t="n">
        <v>4.3</v>
      </c>
      <c r="J323" t="n">
        <v>0</v>
      </c>
      <c r="K323" t="n">
        <v>0</v>
      </c>
      <c r="L323" t="n">
        <v>0</v>
      </c>
      <c r="M323" t="n">
        <v>0</v>
      </c>
      <c r="N323" t="n">
        <v>0</v>
      </c>
      <c r="O323" t="n">
        <v>0</v>
      </c>
      <c r="P323" t="n">
        <v>0</v>
      </c>
      <c r="Q323" t="n">
        <v>0</v>
      </c>
      <c r="R323" t="n">
        <v>0</v>
      </c>
      <c r="S323" t="n">
        <v>0</v>
      </c>
      <c r="T323" t="n">
        <v>0</v>
      </c>
      <c r="U323" s="2" t="inlineStr"/>
    </row>
    <row r="324" ht="15" customHeight="1">
      <c r="A324" t="inlineStr">
        <is>
          <t>A 26556-2023</t>
        </is>
      </c>
      <c r="B324" t="inlineStr">
        <is>
          <t>avverkningsanmälan</t>
        </is>
      </c>
      <c r="C324" t="inlineStr">
        <is>
          <t>Avverkning för annat ändamål</t>
        </is>
      </c>
      <c r="D324" s="1" t="n">
        <v>45092</v>
      </c>
      <c r="E324" s="1" t="n">
        <v>46218</v>
      </c>
      <c r="F324" t="inlineStr">
        <is>
          <t>NORRBOTTENS LÄN</t>
        </is>
      </c>
      <c r="G324" t="inlineStr">
        <is>
          <t>ÖVERTORNEÅ</t>
        </is>
      </c>
      <c r="H324" t="inlineStr">
        <is>
          <t>Sveaskog</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60675-2025</t>
        </is>
      </c>
      <c r="B325" t="inlineStr">
        <is>
          <t>avverkningsanmälan</t>
        </is>
      </c>
      <c r="C325" t="inlineStr">
        <is>
          <t>Föryngringsavverkning</t>
        </is>
      </c>
      <c r="D325" s="1" t="n">
        <v>45996</v>
      </c>
      <c r="E325" s="1" t="n">
        <v>46218</v>
      </c>
      <c r="F325" t="inlineStr">
        <is>
          <t>NORRBOTTENS LÄN</t>
        </is>
      </c>
      <c r="G325" t="inlineStr">
        <is>
          <t>ÖVERTORNEÅ</t>
        </is>
      </c>
      <c r="I325" t="n">
        <v>4.3</v>
      </c>
      <c r="J325" t="n">
        <v>0</v>
      </c>
      <c r="K325" t="n">
        <v>0</v>
      </c>
      <c r="L325" t="n">
        <v>0</v>
      </c>
      <c r="M325" t="n">
        <v>0</v>
      </c>
      <c r="N325" t="n">
        <v>0</v>
      </c>
      <c r="O325" t="n">
        <v>0</v>
      </c>
      <c r="P325" t="n">
        <v>0</v>
      </c>
      <c r="Q325" t="n">
        <v>0</v>
      </c>
      <c r="R325" t="n">
        <v>0</v>
      </c>
      <c r="S325" t="n">
        <v>0</v>
      </c>
      <c r="T325" t="n">
        <v>0</v>
      </c>
      <c r="U325" s="2" t="inlineStr"/>
    </row>
    <row r="326" ht="15" customHeight="1">
      <c r="A326" t="inlineStr">
        <is>
          <t>A 1575-2026</t>
        </is>
      </c>
      <c r="B326" t="inlineStr">
        <is>
          <t>avverkningsanmälan</t>
        </is>
      </c>
      <c r="C326" t="inlineStr">
        <is>
          <t>Föryngringsavverkning</t>
        </is>
      </c>
      <c r="D326" s="1" t="n">
        <v>46034</v>
      </c>
      <c r="E326" s="1" t="n">
        <v>46218</v>
      </c>
      <c r="F326" t="inlineStr">
        <is>
          <t>NORRBOTTENS LÄN</t>
        </is>
      </c>
      <c r="G326" t="inlineStr">
        <is>
          <t>ÖVERTORNEÅ</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11972-2024</t>
        </is>
      </c>
      <c r="B327" t="inlineStr">
        <is>
          <t>avverkningsanmälan</t>
        </is>
      </c>
      <c r="C327" t="inlineStr">
        <is>
          <t>Föryngringsavverkning</t>
        </is>
      </c>
      <c r="D327" s="1" t="n">
        <v>45376</v>
      </c>
      <c r="E327" s="1" t="n">
        <v>46218</v>
      </c>
      <c r="F327" t="inlineStr">
        <is>
          <t>NORRBOTTENS LÄN</t>
        </is>
      </c>
      <c r="G327" t="inlineStr">
        <is>
          <t>ÖVERTORNEÅ</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20564-2025</t>
        </is>
      </c>
      <c r="B328" t="inlineStr">
        <is>
          <t>avverkningsanmälan</t>
        </is>
      </c>
      <c r="C328" t="inlineStr">
        <is>
          <t>Föryngringsavverkning</t>
        </is>
      </c>
      <c r="D328" s="1" t="n">
        <v>45775</v>
      </c>
      <c r="E328" s="1" t="n">
        <v>46218</v>
      </c>
      <c r="F328" t="inlineStr">
        <is>
          <t>NORRBOTTENS LÄN</t>
        </is>
      </c>
      <c r="G328" t="inlineStr">
        <is>
          <t>ÖVERTORNEÅ</t>
        </is>
      </c>
      <c r="H328" t="inlineStr">
        <is>
          <t>Sveaskog</t>
        </is>
      </c>
      <c r="I328" t="n">
        <v>39.6</v>
      </c>
      <c r="J328" t="n">
        <v>0</v>
      </c>
      <c r="K328" t="n">
        <v>0</v>
      </c>
      <c r="L328" t="n">
        <v>0</v>
      </c>
      <c r="M328" t="n">
        <v>0</v>
      </c>
      <c r="N328" t="n">
        <v>0</v>
      </c>
      <c r="O328" t="n">
        <v>0</v>
      </c>
      <c r="P328" t="n">
        <v>0</v>
      </c>
      <c r="Q328" t="n">
        <v>0</v>
      </c>
      <c r="R328" t="n">
        <v>0</v>
      </c>
      <c r="S328" t="n">
        <v>0</v>
      </c>
      <c r="T328" t="n">
        <v>0</v>
      </c>
      <c r="U328" s="2" t="inlineStr"/>
    </row>
    <row r="329" ht="15" customHeight="1">
      <c r="A329" t="inlineStr">
        <is>
          <t>A 4274-2025</t>
        </is>
      </c>
      <c r="B329" t="inlineStr">
        <is>
          <t>avverkningsanmälan</t>
        </is>
      </c>
      <c r="C329" t="inlineStr">
        <is>
          <t>Föryngringsavverkning</t>
        </is>
      </c>
      <c r="D329" s="1" t="n">
        <v>45685</v>
      </c>
      <c r="E329" s="1" t="n">
        <v>46218</v>
      </c>
      <c r="F329" t="inlineStr">
        <is>
          <t>NORRBOTTENS LÄN</t>
        </is>
      </c>
      <c r="G329" t="inlineStr">
        <is>
          <t>ÖVERTORNEÅ</t>
        </is>
      </c>
      <c r="I329" t="n">
        <v>7.1</v>
      </c>
      <c r="J329" t="n">
        <v>0</v>
      </c>
      <c r="K329" t="n">
        <v>0</v>
      </c>
      <c r="L329" t="n">
        <v>0</v>
      </c>
      <c r="M329" t="n">
        <v>0</v>
      </c>
      <c r="N329" t="n">
        <v>0</v>
      </c>
      <c r="O329" t="n">
        <v>0</v>
      </c>
      <c r="P329" t="n">
        <v>0</v>
      </c>
      <c r="Q329" t="n">
        <v>0</v>
      </c>
      <c r="R329" t="n">
        <v>0</v>
      </c>
      <c r="S329" t="n">
        <v>0</v>
      </c>
      <c r="T329" t="n">
        <v>0</v>
      </c>
      <c r="U329" s="2" t="inlineStr"/>
    </row>
    <row r="330" ht="15" customHeight="1">
      <c r="A330" t="inlineStr">
        <is>
          <t>A 27015-2026</t>
        </is>
      </c>
      <c r="B330" t="inlineStr">
        <is>
          <t>avverkningsanmälan</t>
        </is>
      </c>
      <c r="C330" t="inlineStr">
        <is>
          <t>Föryngringsavverkning</t>
        </is>
      </c>
      <c r="D330" s="1" t="n">
        <v>46185</v>
      </c>
      <c r="E330" s="1" t="n">
        <v>46218</v>
      </c>
      <c r="F330" t="inlineStr">
        <is>
          <t>NORRBOTTENS LÄN</t>
        </is>
      </c>
      <c r="G330" t="inlineStr">
        <is>
          <t>ÖVERTORNEÅ</t>
        </is>
      </c>
      <c r="I330" t="n">
        <v>10.6</v>
      </c>
      <c r="J330" t="n">
        <v>0</v>
      </c>
      <c r="K330" t="n">
        <v>0</v>
      </c>
      <c r="L330" t="n">
        <v>0</v>
      </c>
      <c r="M330" t="n">
        <v>0</v>
      </c>
      <c r="N330" t="n">
        <v>0</v>
      </c>
      <c r="O330" t="n">
        <v>0</v>
      </c>
      <c r="P330" t="n">
        <v>0</v>
      </c>
      <c r="Q330" t="n">
        <v>0</v>
      </c>
      <c r="R330" t="n">
        <v>0</v>
      </c>
      <c r="S330" t="n">
        <v>0</v>
      </c>
      <c r="T330" t="n">
        <v>0</v>
      </c>
      <c r="U330" s="2" t="inlineStr"/>
    </row>
    <row r="331" ht="15" customHeight="1">
      <c r="A331" t="inlineStr">
        <is>
          <t>A 26716-2026</t>
        </is>
      </c>
      <c r="B331" t="inlineStr">
        <is>
          <t>avverkningsanmälan</t>
        </is>
      </c>
      <c r="C331" t="inlineStr">
        <is>
          <t>Föryngringsavverkning</t>
        </is>
      </c>
      <c r="D331" s="1" t="n">
        <v>46184</v>
      </c>
      <c r="E331" s="1" t="n">
        <v>46218</v>
      </c>
      <c r="F331" t="inlineStr">
        <is>
          <t>NORRBOTTENS LÄN</t>
        </is>
      </c>
      <c r="G331" t="inlineStr">
        <is>
          <t>ÖVERTORNEÅ</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21316-2026</t>
        </is>
      </c>
      <c r="B332" t="inlineStr">
        <is>
          <t>avverkningsanmälan</t>
        </is>
      </c>
      <c r="C332" t="inlineStr">
        <is>
          <t>Föryngringsavverkning</t>
        </is>
      </c>
      <c r="D332" s="1" t="n">
        <v>46142</v>
      </c>
      <c r="E332" s="1" t="n">
        <v>46218</v>
      </c>
      <c r="F332" t="inlineStr">
        <is>
          <t>NORRBOTTENS LÄN</t>
        </is>
      </c>
      <c r="G332" t="inlineStr">
        <is>
          <t>ÖVERTORNEÅ</t>
        </is>
      </c>
      <c r="I332" t="n">
        <v>10.7</v>
      </c>
      <c r="J332" t="n">
        <v>0</v>
      </c>
      <c r="K332" t="n">
        <v>0</v>
      </c>
      <c r="L332" t="n">
        <v>0</v>
      </c>
      <c r="M332" t="n">
        <v>0</v>
      </c>
      <c r="N332" t="n">
        <v>0</v>
      </c>
      <c r="O332" t="n">
        <v>0</v>
      </c>
      <c r="P332" t="n">
        <v>0</v>
      </c>
      <c r="Q332" t="n">
        <v>0</v>
      </c>
      <c r="R332" t="n">
        <v>0</v>
      </c>
      <c r="S332" t="n">
        <v>0</v>
      </c>
      <c r="T332" t="n">
        <v>0</v>
      </c>
      <c r="U332" s="2" t="inlineStr"/>
    </row>
    <row r="333" ht="15" customHeight="1">
      <c r="A333" t="inlineStr">
        <is>
          <t>A 61923-2025</t>
        </is>
      </c>
      <c r="B333" t="inlineStr">
        <is>
          <t>avverkningsanmälan</t>
        </is>
      </c>
      <c r="C333" t="inlineStr">
        <is>
          <t>Föryngringsavverkning</t>
        </is>
      </c>
      <c r="D333" s="1" t="n">
        <v>46003</v>
      </c>
      <c r="E333" s="1" t="n">
        <v>46218</v>
      </c>
      <c r="F333" t="inlineStr">
        <is>
          <t>NORRBOTTENS LÄN</t>
        </is>
      </c>
      <c r="G333" t="inlineStr">
        <is>
          <t>ÖVERTORNEÅ</t>
        </is>
      </c>
      <c r="I333" t="n">
        <v>13.5</v>
      </c>
      <c r="J333" t="n">
        <v>0</v>
      </c>
      <c r="K333" t="n">
        <v>0</v>
      </c>
      <c r="L333" t="n">
        <v>0</v>
      </c>
      <c r="M333" t="n">
        <v>0</v>
      </c>
      <c r="N333" t="n">
        <v>0</v>
      </c>
      <c r="O333" t="n">
        <v>0</v>
      </c>
      <c r="P333" t="n">
        <v>0</v>
      </c>
      <c r="Q333" t="n">
        <v>0</v>
      </c>
      <c r="R333" t="n">
        <v>0</v>
      </c>
      <c r="S333" t="n">
        <v>0</v>
      </c>
      <c r="T333" t="n">
        <v>0</v>
      </c>
      <c r="U333" s="2" t="inlineStr"/>
    </row>
    <row r="334" ht="15" customHeight="1">
      <c r="A334" t="inlineStr">
        <is>
          <t>A 26615-2026</t>
        </is>
      </c>
      <c r="B334" t="inlineStr">
        <is>
          <t>avverkningsanmälan</t>
        </is>
      </c>
      <c r="C334" t="inlineStr">
        <is>
          <t>Föryngringsavverkning</t>
        </is>
      </c>
      <c r="D334" s="1" t="n">
        <v>46184</v>
      </c>
      <c r="E334" s="1" t="n">
        <v>46218</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s="2" t="inlineStr"/>
    </row>
    <row r="335" ht="15" customHeight="1">
      <c r="A335" t="inlineStr">
        <is>
          <t>A 61921-2025</t>
        </is>
      </c>
      <c r="B335" t="inlineStr">
        <is>
          <t>avverkningsanmälan</t>
        </is>
      </c>
      <c r="C335" t="inlineStr">
        <is>
          <t>Föryngringsavverkning</t>
        </is>
      </c>
      <c r="D335" s="1" t="n">
        <v>46003</v>
      </c>
      <c r="E335" s="1" t="n">
        <v>46218</v>
      </c>
      <c r="F335" t="inlineStr">
        <is>
          <t>NORRBOTTENS LÄN</t>
        </is>
      </c>
      <c r="G335" t="inlineStr">
        <is>
          <t>ÖVERTORNEÅ</t>
        </is>
      </c>
      <c r="I335" t="n">
        <v>18.4</v>
      </c>
      <c r="J335" t="n">
        <v>0</v>
      </c>
      <c r="K335" t="n">
        <v>0</v>
      </c>
      <c r="L335" t="n">
        <v>0</v>
      </c>
      <c r="M335" t="n">
        <v>0</v>
      </c>
      <c r="N335" t="n">
        <v>0</v>
      </c>
      <c r="O335" t="n">
        <v>0</v>
      </c>
      <c r="P335" t="n">
        <v>0</v>
      </c>
      <c r="Q335" t="n">
        <v>0</v>
      </c>
      <c r="R335" t="n">
        <v>0</v>
      </c>
      <c r="S335" t="n">
        <v>0</v>
      </c>
      <c r="T335" t="n">
        <v>0</v>
      </c>
      <c r="U335" s="2" t="inlineStr"/>
    </row>
    <row r="336" ht="15" customHeight="1">
      <c r="A336" t="inlineStr">
        <is>
          <t>A 26272-2026</t>
        </is>
      </c>
      <c r="B336" t="inlineStr">
        <is>
          <t>avverkningsanmälan</t>
        </is>
      </c>
      <c r="C336" t="inlineStr">
        <is>
          <t>Föryngringsavverkning</t>
        </is>
      </c>
      <c r="D336" s="1" t="n">
        <v>46182</v>
      </c>
      <c r="E336" s="1" t="n">
        <v>46218</v>
      </c>
      <c r="F336" t="inlineStr">
        <is>
          <t>NORRBOTTENS LÄN</t>
        </is>
      </c>
      <c r="G336" t="inlineStr">
        <is>
          <t>ÖVERTORNEÅ</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27012-2026</t>
        </is>
      </c>
      <c r="B337" t="inlineStr">
        <is>
          <t>avverkningsanmälan</t>
        </is>
      </c>
      <c r="C337" t="inlineStr">
        <is>
          <t>Föryngringsavverkning</t>
        </is>
      </c>
      <c r="D337" s="1" t="n">
        <v>46185</v>
      </c>
      <c r="E337" s="1" t="n">
        <v>46218</v>
      </c>
      <c r="F337" t="inlineStr">
        <is>
          <t>NORRBOTTENS LÄN</t>
        </is>
      </c>
      <c r="G337" t="inlineStr">
        <is>
          <t>ÖVERTORNEÅ</t>
        </is>
      </c>
      <c r="I337" t="n">
        <v>22.7</v>
      </c>
      <c r="J337" t="n">
        <v>0</v>
      </c>
      <c r="K337" t="n">
        <v>0</v>
      </c>
      <c r="L337" t="n">
        <v>0</v>
      </c>
      <c r="M337" t="n">
        <v>0</v>
      </c>
      <c r="N337" t="n">
        <v>0</v>
      </c>
      <c r="O337" t="n">
        <v>0</v>
      </c>
      <c r="P337" t="n">
        <v>0</v>
      </c>
      <c r="Q337" t="n">
        <v>0</v>
      </c>
      <c r="R337" t="n">
        <v>0</v>
      </c>
      <c r="S337" t="n">
        <v>0</v>
      </c>
      <c r="T337" t="n">
        <v>0</v>
      </c>
      <c r="U337" s="2" t="inlineStr"/>
    </row>
    <row r="338" ht="15" customHeight="1">
      <c r="A338" t="inlineStr">
        <is>
          <t>A 59662-2024</t>
        </is>
      </c>
      <c r="B338" t="inlineStr">
        <is>
          <t>avverkningsanmälan</t>
        </is>
      </c>
      <c r="C338" t="inlineStr">
        <is>
          <t>Föryngringsavverkning</t>
        </is>
      </c>
      <c r="D338" s="1" t="n">
        <v>45639</v>
      </c>
      <c r="E338" s="1" t="n">
        <v>46218</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s="2" t="inlineStr"/>
    </row>
    <row r="339" ht="15" customHeight="1">
      <c r="A339" t="inlineStr">
        <is>
          <t>A 47475-2023</t>
        </is>
      </c>
      <c r="B339" t="inlineStr">
        <is>
          <t>avverkningsanmälan</t>
        </is>
      </c>
      <c r="C339" t="inlineStr">
        <is>
          <t>Föryngringsavverkning</t>
        </is>
      </c>
      <c r="D339" s="1" t="n">
        <v>45202</v>
      </c>
      <c r="E339" s="1" t="n">
        <v>46218</v>
      </c>
      <c r="F339" t="inlineStr">
        <is>
          <t>NORRBOTTENS LÄN</t>
        </is>
      </c>
      <c r="G339" t="inlineStr">
        <is>
          <t>ÖVERTORNEÅ</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34402-2023</t>
        </is>
      </c>
      <c r="B340" t="inlineStr">
        <is>
          <t>avverkningsanmälan</t>
        </is>
      </c>
      <c r="C340" t="inlineStr">
        <is>
          <t>Föryngringsavverkning</t>
        </is>
      </c>
      <c r="D340" s="1" t="n">
        <v>45139</v>
      </c>
      <c r="E340" s="1" t="n">
        <v>46218</v>
      </c>
      <c r="F340" t="inlineStr">
        <is>
          <t>NORRBOTTENS LÄN</t>
        </is>
      </c>
      <c r="G340" t="inlineStr">
        <is>
          <t>ÖVERTORNEÅ</t>
        </is>
      </c>
      <c r="I340" t="n">
        <v>7.6</v>
      </c>
      <c r="J340" t="n">
        <v>0</v>
      </c>
      <c r="K340" t="n">
        <v>0</v>
      </c>
      <c r="L340" t="n">
        <v>0</v>
      </c>
      <c r="M340" t="n">
        <v>0</v>
      </c>
      <c r="N340" t="n">
        <v>0</v>
      </c>
      <c r="O340" t="n">
        <v>0</v>
      </c>
      <c r="P340" t="n">
        <v>0</v>
      </c>
      <c r="Q340" t="n">
        <v>0</v>
      </c>
      <c r="R340" t="n">
        <v>0</v>
      </c>
      <c r="S340" t="n">
        <v>0</v>
      </c>
      <c r="T340" t="n">
        <v>0</v>
      </c>
      <c r="U340" s="2" t="inlineStr"/>
    </row>
    <row r="341" ht="15" customHeight="1">
      <c r="A341" t="inlineStr">
        <is>
          <t>A 62669-2025</t>
        </is>
      </c>
      <c r="B341" t="inlineStr">
        <is>
          <t>avverkningsanmälan</t>
        </is>
      </c>
      <c r="C341" t="inlineStr">
        <is>
          <t>Föryngringsavverkning</t>
        </is>
      </c>
      <c r="D341" s="1" t="n">
        <v>46008</v>
      </c>
      <c r="E341" s="1" t="n">
        <v>46218</v>
      </c>
      <c r="F341" t="inlineStr">
        <is>
          <t>NORRBOTTENS LÄN</t>
        </is>
      </c>
      <c r="G341" t="inlineStr">
        <is>
          <t>ÖVERTORNEÅ</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62786-2025</t>
        </is>
      </c>
      <c r="B342" t="inlineStr">
        <is>
          <t>avverkningsanmälan</t>
        </is>
      </c>
      <c r="C342" t="inlineStr">
        <is>
          <t>Föryngringsavverkning</t>
        </is>
      </c>
      <c r="D342" s="1" t="n">
        <v>46008</v>
      </c>
      <c r="E342" s="1" t="n">
        <v>46218</v>
      </c>
      <c r="F342" t="inlineStr">
        <is>
          <t>NORRBOTTENS LÄN</t>
        </is>
      </c>
      <c r="G342" t="inlineStr">
        <is>
          <t>ÖVERTORNEÅ</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62658-2025</t>
        </is>
      </c>
      <c r="B343" t="inlineStr">
        <is>
          <t>avverkningsanmälan</t>
        </is>
      </c>
      <c r="C343" t="inlineStr">
        <is>
          <t>Föryngringsavverkning</t>
        </is>
      </c>
      <c r="D343" s="1" t="n">
        <v>46008</v>
      </c>
      <c r="E343" s="1" t="n">
        <v>46218</v>
      </c>
      <c r="F343" t="inlineStr">
        <is>
          <t>NORRBOTTENS LÄN</t>
        </is>
      </c>
      <c r="G343" t="inlineStr">
        <is>
          <t>ÖVERTORNEÅ</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A 38500-2021</t>
        </is>
      </c>
      <c r="B344" t="inlineStr">
        <is>
          <t>avverkningsanmälan</t>
        </is>
      </c>
      <c r="C344" t="inlineStr">
        <is>
          <t>Föryngringsavverkning</t>
        </is>
      </c>
      <c r="D344" s="1" t="n">
        <v>44406</v>
      </c>
      <c r="E344" s="1" t="n">
        <v>46218</v>
      </c>
      <c r="F344" t="inlineStr">
        <is>
          <t>NORRBOTTENS LÄN</t>
        </is>
      </c>
      <c r="G344" t="inlineStr">
        <is>
          <t>ÖVERTORNEÅ</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62653-2025</t>
        </is>
      </c>
      <c r="B345" t="inlineStr">
        <is>
          <t>avverkningsanmälan</t>
        </is>
      </c>
      <c r="C345" t="inlineStr">
        <is>
          <t>Föryngringsavverkning</t>
        </is>
      </c>
      <c r="D345" s="1" t="n">
        <v>46008</v>
      </c>
      <c r="E345" s="1" t="n">
        <v>46218</v>
      </c>
      <c r="F345" t="inlineStr">
        <is>
          <t>NORRBOTTENS LÄN</t>
        </is>
      </c>
      <c r="G345" t="inlineStr">
        <is>
          <t>ÖVERTORNEÅ</t>
        </is>
      </c>
      <c r="I345" t="n">
        <v>8</v>
      </c>
      <c r="J345" t="n">
        <v>0</v>
      </c>
      <c r="K345" t="n">
        <v>0</v>
      </c>
      <c r="L345" t="n">
        <v>0</v>
      </c>
      <c r="M345" t="n">
        <v>0</v>
      </c>
      <c r="N345" t="n">
        <v>0</v>
      </c>
      <c r="O345" t="n">
        <v>0</v>
      </c>
      <c r="P345" t="n">
        <v>0</v>
      </c>
      <c r="Q345" t="n">
        <v>0</v>
      </c>
      <c r="R345" t="n">
        <v>0</v>
      </c>
      <c r="S345" t="n">
        <v>0</v>
      </c>
      <c r="T345" t="n">
        <v>0</v>
      </c>
      <c r="U345" s="2" t="inlineStr"/>
    </row>
    <row r="346" ht="15" customHeight="1">
      <c r="A346" t="inlineStr">
        <is>
          <t>A 22419-2024</t>
        </is>
      </c>
      <c r="B346" t="inlineStr">
        <is>
          <t>avverkningsanmälan</t>
        </is>
      </c>
      <c r="C346" t="inlineStr">
        <is>
          <t>Föryngringsavverkning</t>
        </is>
      </c>
      <c r="D346" s="1" t="n">
        <v>45446</v>
      </c>
      <c r="E346" s="1" t="n">
        <v>46218</v>
      </c>
      <c r="F346" t="inlineStr">
        <is>
          <t>NORRBOTTENS LÄN</t>
        </is>
      </c>
      <c r="G346" t="inlineStr">
        <is>
          <t>ÖVERTORNEÅ</t>
        </is>
      </c>
      <c r="I346" t="n">
        <v>2.8</v>
      </c>
      <c r="J346" t="n">
        <v>0</v>
      </c>
      <c r="K346" t="n">
        <v>0</v>
      </c>
      <c r="L346" t="n">
        <v>0</v>
      </c>
      <c r="M346" t="n">
        <v>0</v>
      </c>
      <c r="N346" t="n">
        <v>0</v>
      </c>
      <c r="O346" t="n">
        <v>0</v>
      </c>
      <c r="P346" t="n">
        <v>0</v>
      </c>
      <c r="Q346" t="n">
        <v>0</v>
      </c>
      <c r="R346" t="n">
        <v>0</v>
      </c>
      <c r="S346" t="n">
        <v>0</v>
      </c>
      <c r="T346" t="n">
        <v>0</v>
      </c>
      <c r="U346" s="2" t="inlineStr"/>
    </row>
    <row r="347" ht="15" customHeight="1">
      <c r="A347" t="inlineStr">
        <is>
          <t>A 63174-2025</t>
        </is>
      </c>
      <c r="B347" t="inlineStr">
        <is>
          <t>avverkningsanmälan</t>
        </is>
      </c>
      <c r="C347" t="inlineStr">
        <is>
          <t>Föryngringsavverkning</t>
        </is>
      </c>
      <c r="D347" s="1" t="n">
        <v>46010</v>
      </c>
      <c r="E347" s="1" t="n">
        <v>46218</v>
      </c>
      <c r="F347" t="inlineStr">
        <is>
          <t>NORRBOTTENS LÄN</t>
        </is>
      </c>
      <c r="G347" t="inlineStr">
        <is>
          <t>ÖVERTORNEÅ</t>
        </is>
      </c>
      <c r="I347" t="n">
        <v>8.800000000000001</v>
      </c>
      <c r="J347" t="n">
        <v>0</v>
      </c>
      <c r="K347" t="n">
        <v>0</v>
      </c>
      <c r="L347" t="n">
        <v>0</v>
      </c>
      <c r="M347" t="n">
        <v>0</v>
      </c>
      <c r="N347" t="n">
        <v>0</v>
      </c>
      <c r="O347" t="n">
        <v>0</v>
      </c>
      <c r="P347" t="n">
        <v>0</v>
      </c>
      <c r="Q347" t="n">
        <v>0</v>
      </c>
      <c r="R347" t="n">
        <v>0</v>
      </c>
      <c r="S347" t="n">
        <v>0</v>
      </c>
      <c r="T347" t="n">
        <v>0</v>
      </c>
      <c r="U347" s="2" t="inlineStr"/>
    </row>
    <row r="348" ht="15" customHeight="1">
      <c r="A348" t="inlineStr">
        <is>
          <t>A 31827-2024</t>
        </is>
      </c>
      <c r="B348" t="inlineStr">
        <is>
          <t>avverkningsanmälan</t>
        </is>
      </c>
      <c r="C348" t="inlineStr">
        <is>
          <t>Föryngringsavverkning</t>
        </is>
      </c>
      <c r="D348" s="1" t="n">
        <v>45509</v>
      </c>
      <c r="E348" s="1" t="n">
        <v>46218</v>
      </c>
      <c r="F348" t="inlineStr">
        <is>
          <t>NORRBOTTENS LÄN</t>
        </is>
      </c>
      <c r="G348" t="inlineStr">
        <is>
          <t>ÖVERTORNEÅ</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23014-2024</t>
        </is>
      </c>
      <c r="B349" t="inlineStr">
        <is>
          <t>avverkningsanmälan</t>
        </is>
      </c>
      <c r="C349" t="inlineStr">
        <is>
          <t>Föryngringsavverkning</t>
        </is>
      </c>
      <c r="D349" s="1" t="n">
        <v>45449</v>
      </c>
      <c r="E349" s="1" t="n">
        <v>46218</v>
      </c>
      <c r="F349" t="inlineStr">
        <is>
          <t>NORRBOTTENS LÄN</t>
        </is>
      </c>
      <c r="G349" t="inlineStr">
        <is>
          <t>ÖVERTORNEÅ</t>
        </is>
      </c>
      <c r="I349" t="n">
        <v>13.8</v>
      </c>
      <c r="J349" t="n">
        <v>0</v>
      </c>
      <c r="K349" t="n">
        <v>0</v>
      </c>
      <c r="L349" t="n">
        <v>0</v>
      </c>
      <c r="M349" t="n">
        <v>0</v>
      </c>
      <c r="N349" t="n">
        <v>0</v>
      </c>
      <c r="O349" t="n">
        <v>0</v>
      </c>
      <c r="P349" t="n">
        <v>0</v>
      </c>
      <c r="Q349" t="n">
        <v>0</v>
      </c>
      <c r="R349" t="n">
        <v>0</v>
      </c>
      <c r="S349" t="n">
        <v>0</v>
      </c>
      <c r="T349" t="n">
        <v>0</v>
      </c>
      <c r="U349" s="2" t="inlineStr"/>
    </row>
    <row r="350" ht="15" customHeight="1">
      <c r="A350" t="inlineStr">
        <is>
          <t>A 27678-2026</t>
        </is>
      </c>
      <c r="B350" t="inlineStr">
        <is>
          <t>avverkningsanmälan</t>
        </is>
      </c>
      <c r="C350" t="inlineStr">
        <is>
          <t>Föryngringsavverkning</t>
        </is>
      </c>
      <c r="D350" s="1" t="n">
        <v>46190</v>
      </c>
      <c r="E350" s="1" t="n">
        <v>46218</v>
      </c>
      <c r="F350" t="inlineStr">
        <is>
          <t>NORRBOTTENS LÄN</t>
        </is>
      </c>
      <c r="G350" t="inlineStr">
        <is>
          <t>ÖVERTORNEÅ</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34798-2025</t>
        </is>
      </c>
      <c r="B351" t="inlineStr">
        <is>
          <t>avverkningsanmälan</t>
        </is>
      </c>
      <c r="C351" t="inlineStr">
        <is>
          <t>Föryngringsavverkning</t>
        </is>
      </c>
      <c r="D351" s="1" t="n">
        <v>45848</v>
      </c>
      <c r="E351" s="1" t="n">
        <v>46218</v>
      </c>
      <c r="F351" t="inlineStr">
        <is>
          <t>NORRBOTTENS LÄN</t>
        </is>
      </c>
      <c r="G351" t="inlineStr">
        <is>
          <t>ÖVERTORNEÅ</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12163-2024</t>
        </is>
      </c>
      <c r="B352" t="inlineStr">
        <is>
          <t>avverkningsanmälan</t>
        </is>
      </c>
      <c r="C352" t="inlineStr">
        <is>
          <t>Föryngringsavverkning</t>
        </is>
      </c>
      <c r="D352" s="1" t="n">
        <v>45377</v>
      </c>
      <c r="E352" s="1" t="n">
        <v>46218</v>
      </c>
      <c r="F352" t="inlineStr">
        <is>
          <t>NORRBOTTENS LÄN</t>
        </is>
      </c>
      <c r="G352" t="inlineStr">
        <is>
          <t>ÖVERTORNEÅ</t>
        </is>
      </c>
      <c r="I352" t="n">
        <v>2.8</v>
      </c>
      <c r="J352" t="n">
        <v>0</v>
      </c>
      <c r="K352" t="n">
        <v>0</v>
      </c>
      <c r="L352" t="n">
        <v>0</v>
      </c>
      <c r="M352" t="n">
        <v>0</v>
      </c>
      <c r="N352" t="n">
        <v>0</v>
      </c>
      <c r="O352" t="n">
        <v>0</v>
      </c>
      <c r="P352" t="n">
        <v>0</v>
      </c>
      <c r="Q352" t="n">
        <v>0</v>
      </c>
      <c r="R352" t="n">
        <v>0</v>
      </c>
      <c r="S352" t="n">
        <v>0</v>
      </c>
      <c r="T352" t="n">
        <v>0</v>
      </c>
      <c r="U352" s="2" t="inlineStr"/>
    </row>
    <row r="353" ht="15" customHeight="1">
      <c r="A353" t="inlineStr">
        <is>
          <t>A 44079-2023</t>
        </is>
      </c>
      <c r="B353" t="inlineStr">
        <is>
          <t>avverkningsanmälan</t>
        </is>
      </c>
      <c r="C353" t="inlineStr">
        <is>
          <t>Föryngringsavverkning</t>
        </is>
      </c>
      <c r="D353" s="1" t="n">
        <v>45188</v>
      </c>
      <c r="E353" s="1" t="n">
        <v>46218</v>
      </c>
      <c r="F353" t="inlineStr">
        <is>
          <t>NORRBOTTENS LÄN</t>
        </is>
      </c>
      <c r="G353" t="inlineStr">
        <is>
          <t>ÖVERTORNEÅ</t>
        </is>
      </c>
      <c r="I353" t="n">
        <v>5.2</v>
      </c>
      <c r="J353" t="n">
        <v>0</v>
      </c>
      <c r="K353" t="n">
        <v>0</v>
      </c>
      <c r="L353" t="n">
        <v>0</v>
      </c>
      <c r="M353" t="n">
        <v>0</v>
      </c>
      <c r="N353" t="n">
        <v>0</v>
      </c>
      <c r="O353" t="n">
        <v>0</v>
      </c>
      <c r="P353" t="n">
        <v>0</v>
      </c>
      <c r="Q353" t="n">
        <v>0</v>
      </c>
      <c r="R353" t="n">
        <v>0</v>
      </c>
      <c r="S353" t="n">
        <v>0</v>
      </c>
      <c r="T353" t="n">
        <v>0</v>
      </c>
      <c r="U353" s="2" t="inlineStr"/>
    </row>
    <row r="354" ht="15" customHeight="1">
      <c r="A354" t="inlineStr">
        <is>
          <t>A 44096-2023</t>
        </is>
      </c>
      <c r="B354" t="inlineStr">
        <is>
          <t>avverkningsanmälan</t>
        </is>
      </c>
      <c r="C354" t="inlineStr">
        <is>
          <t>Föryngringsavverkning</t>
        </is>
      </c>
      <c r="D354" s="1" t="n">
        <v>45188</v>
      </c>
      <c r="E354" s="1" t="n">
        <v>46218</v>
      </c>
      <c r="F354" t="inlineStr">
        <is>
          <t>NORRBOTTENS LÄN</t>
        </is>
      </c>
      <c r="G354" t="inlineStr">
        <is>
          <t>ÖVERTORNEÅ</t>
        </is>
      </c>
      <c r="I354" t="n">
        <v>16.2</v>
      </c>
      <c r="J354" t="n">
        <v>0</v>
      </c>
      <c r="K354" t="n">
        <v>0</v>
      </c>
      <c r="L354" t="n">
        <v>0</v>
      </c>
      <c r="M354" t="n">
        <v>0</v>
      </c>
      <c r="N354" t="n">
        <v>0</v>
      </c>
      <c r="O354" t="n">
        <v>0</v>
      </c>
      <c r="P354" t="n">
        <v>0</v>
      </c>
      <c r="Q354" t="n">
        <v>0</v>
      </c>
      <c r="R354" t="n">
        <v>0</v>
      </c>
      <c r="S354" t="n">
        <v>0</v>
      </c>
      <c r="T354" t="n">
        <v>0</v>
      </c>
      <c r="U354" s="2" t="inlineStr"/>
    </row>
    <row r="355" ht="15" customHeight="1">
      <c r="A355" t="inlineStr">
        <is>
          <t>A 8476-2024</t>
        </is>
      </c>
      <c r="B355" t="inlineStr">
        <is>
          <t>avverkningsanmälan</t>
        </is>
      </c>
      <c r="C355" t="inlineStr">
        <is>
          <t>Föryngringsavverkning</t>
        </is>
      </c>
      <c r="D355" s="1" t="n">
        <v>45351</v>
      </c>
      <c r="E355" s="1" t="n">
        <v>46218</v>
      </c>
      <c r="F355" t="inlineStr">
        <is>
          <t>NORRBOTTENS LÄN</t>
        </is>
      </c>
      <c r="G355" t="inlineStr">
        <is>
          <t>ÖVERTORNEÅ</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6593-2022</t>
        </is>
      </c>
      <c r="B356" t="inlineStr">
        <is>
          <t>avverkningsanmälan</t>
        </is>
      </c>
      <c r="C356" t="inlineStr">
        <is>
          <t>Föryngringsavverkning</t>
        </is>
      </c>
      <c r="D356" s="1" t="n">
        <v>44601</v>
      </c>
      <c r="E356" s="1" t="n">
        <v>46218</v>
      </c>
      <c r="F356" t="inlineStr">
        <is>
          <t>NORRBOTTENS LÄN</t>
        </is>
      </c>
      <c r="G356" t="inlineStr">
        <is>
          <t>ÖVERTORNEÅ</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28457-2026</t>
        </is>
      </c>
      <c r="B357" t="inlineStr">
        <is>
          <t>avverkningsanmälan</t>
        </is>
      </c>
      <c r="C357" t="inlineStr">
        <is>
          <t>Föryngringsavverkning</t>
        </is>
      </c>
      <c r="D357" s="1" t="n">
        <v>46197</v>
      </c>
      <c r="E357" s="1" t="n">
        <v>46218</v>
      </c>
      <c r="F357" t="inlineStr">
        <is>
          <t>NORRBOTTENS LÄN</t>
        </is>
      </c>
      <c r="G357" t="inlineStr">
        <is>
          <t>ÖVERTORNEÅ</t>
        </is>
      </c>
      <c r="I357" t="n">
        <v>3.3</v>
      </c>
      <c r="J357" t="n">
        <v>0</v>
      </c>
      <c r="K357" t="n">
        <v>0</v>
      </c>
      <c r="L357" t="n">
        <v>0</v>
      </c>
      <c r="M357" t="n">
        <v>0</v>
      </c>
      <c r="N357" t="n">
        <v>0</v>
      </c>
      <c r="O357" t="n">
        <v>0</v>
      </c>
      <c r="P357" t="n">
        <v>0</v>
      </c>
      <c r="Q357" t="n">
        <v>0</v>
      </c>
      <c r="R357" t="n">
        <v>0</v>
      </c>
      <c r="S357" t="n">
        <v>0</v>
      </c>
      <c r="T357" t="n">
        <v>0</v>
      </c>
      <c r="U357" s="2" t="inlineStr"/>
    </row>
    <row r="358" ht="15" customHeight="1">
      <c r="A358" t="inlineStr">
        <is>
          <t>A 1783-2026</t>
        </is>
      </c>
      <c r="B358" t="inlineStr">
        <is>
          <t>avverkningsanmälan</t>
        </is>
      </c>
      <c r="C358" t="inlineStr">
        <is>
          <t>Föryngringsavverkning</t>
        </is>
      </c>
      <c r="D358" s="1" t="n">
        <v>46034</v>
      </c>
      <c r="E358" s="1" t="n">
        <v>46218</v>
      </c>
      <c r="F358" t="inlineStr">
        <is>
          <t>NORRBOTTENS LÄN</t>
        </is>
      </c>
      <c r="G358" t="inlineStr">
        <is>
          <t>ÖVERTORNEÅ</t>
        </is>
      </c>
      <c r="I358" t="n">
        <v>3.8</v>
      </c>
      <c r="J358" t="n">
        <v>0</v>
      </c>
      <c r="K358" t="n">
        <v>0</v>
      </c>
      <c r="L358" t="n">
        <v>0</v>
      </c>
      <c r="M358" t="n">
        <v>0</v>
      </c>
      <c r="N358" t="n">
        <v>0</v>
      </c>
      <c r="O358" t="n">
        <v>0</v>
      </c>
      <c r="P358" t="n">
        <v>0</v>
      </c>
      <c r="Q358" t="n">
        <v>0</v>
      </c>
      <c r="R358" t="n">
        <v>0</v>
      </c>
      <c r="S358" t="n">
        <v>0</v>
      </c>
      <c r="T358" t="n">
        <v>0</v>
      </c>
      <c r="U358" s="2" t="inlineStr"/>
    </row>
    <row r="359" ht="15" customHeight="1">
      <c r="A359" t="inlineStr">
        <is>
          <t>A 1558-2026</t>
        </is>
      </c>
      <c r="B359" t="inlineStr">
        <is>
          <t>avverkningsanmälan</t>
        </is>
      </c>
      <c r="C359" t="inlineStr">
        <is>
          <t>Föryngringsavverkning</t>
        </is>
      </c>
      <c r="D359" s="1" t="n">
        <v>46034</v>
      </c>
      <c r="E359" s="1" t="n">
        <v>46218</v>
      </c>
      <c r="F359" t="inlineStr">
        <is>
          <t>NORRBOTTENS LÄN</t>
        </is>
      </c>
      <c r="G359" t="inlineStr">
        <is>
          <t>ÖVERTORNEÅ</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1775-2026</t>
        </is>
      </c>
      <c r="B360" t="inlineStr">
        <is>
          <t>avverkningsanmälan</t>
        </is>
      </c>
      <c r="C360" t="inlineStr">
        <is>
          <t>Avverkning för annat ändamål</t>
        </is>
      </c>
      <c r="D360" s="1" t="n">
        <v>46034</v>
      </c>
      <c r="E360" s="1" t="n">
        <v>46218</v>
      </c>
      <c r="F360" t="inlineStr">
        <is>
          <t>NORRBOTTENS LÄN</t>
        </is>
      </c>
      <c r="G360" t="inlineStr">
        <is>
          <t>ÖVERTORNEÅ</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17624-2025</t>
        </is>
      </c>
      <c r="B361" t="inlineStr">
        <is>
          <t>avverkningsanmälan</t>
        </is>
      </c>
      <c r="C361" t="inlineStr">
        <is>
          <t>Föryngringsavverkning</t>
        </is>
      </c>
      <c r="D361" s="1" t="n">
        <v>45757</v>
      </c>
      <c r="E361" s="1" t="n">
        <v>46218</v>
      </c>
      <c r="F361" t="inlineStr">
        <is>
          <t>NORRBOTTENS LÄN</t>
        </is>
      </c>
      <c r="G361" t="inlineStr">
        <is>
          <t>ÖVERTORNEÅ</t>
        </is>
      </c>
      <c r="I361" t="n">
        <v>4.5</v>
      </c>
      <c r="J361" t="n">
        <v>0</v>
      </c>
      <c r="K361" t="n">
        <v>0</v>
      </c>
      <c r="L361" t="n">
        <v>0</v>
      </c>
      <c r="M361" t="n">
        <v>0</v>
      </c>
      <c r="N361" t="n">
        <v>0</v>
      </c>
      <c r="O361" t="n">
        <v>0</v>
      </c>
      <c r="P361" t="n">
        <v>0</v>
      </c>
      <c r="Q361" t="n">
        <v>0</v>
      </c>
      <c r="R361" t="n">
        <v>0</v>
      </c>
      <c r="S361" t="n">
        <v>0</v>
      </c>
      <c r="T361" t="n">
        <v>0</v>
      </c>
      <c r="U361" s="2" t="inlineStr"/>
    </row>
    <row r="362" ht="15" customHeight="1">
      <c r="A362" t="inlineStr">
        <is>
          <t>A 2421-2026</t>
        </is>
      </c>
      <c r="B362" t="inlineStr">
        <is>
          <t>avverkningsanmälan</t>
        </is>
      </c>
      <c r="C362" t="inlineStr">
        <is>
          <t>Föryngringsavverkning</t>
        </is>
      </c>
      <c r="D362" s="1" t="n">
        <v>46034</v>
      </c>
      <c r="E362" s="1" t="n">
        <v>46218</v>
      </c>
      <c r="F362" t="inlineStr">
        <is>
          <t>NORRBOTTENS LÄN</t>
        </is>
      </c>
      <c r="G362" t="inlineStr">
        <is>
          <t>ÖVERTORNEÅ</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2422-2026</t>
        </is>
      </c>
      <c r="B363" t="inlineStr">
        <is>
          <t>avverkningsanmälan</t>
        </is>
      </c>
      <c r="C363" t="inlineStr">
        <is>
          <t>Föryngringsavverkning</t>
        </is>
      </c>
      <c r="D363" s="1" t="n">
        <v>46034</v>
      </c>
      <c r="E363" s="1" t="n">
        <v>46218</v>
      </c>
      <c r="F363" t="inlineStr">
        <is>
          <t>NORRBOTTENS LÄN</t>
        </is>
      </c>
      <c r="G363" t="inlineStr">
        <is>
          <t>ÖVERTORNEÅ</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1444-2026</t>
        </is>
      </c>
      <c r="B364" t="inlineStr">
        <is>
          <t>avverkningsanmälan</t>
        </is>
      </c>
      <c r="C364" t="inlineStr">
        <is>
          <t>Föryngringsavverkning</t>
        </is>
      </c>
      <c r="D364" s="1" t="n">
        <v>46032</v>
      </c>
      <c r="E364" s="1" t="n">
        <v>46218</v>
      </c>
      <c r="F364" t="inlineStr">
        <is>
          <t>NORRBOTTENS LÄN</t>
        </is>
      </c>
      <c r="G364" t="inlineStr">
        <is>
          <t>ÖVERTORNEÅ</t>
        </is>
      </c>
      <c r="I364" t="n">
        <v>6</v>
      </c>
      <c r="J364" t="n">
        <v>0</v>
      </c>
      <c r="K364" t="n">
        <v>0</v>
      </c>
      <c r="L364" t="n">
        <v>0</v>
      </c>
      <c r="M364" t="n">
        <v>0</v>
      </c>
      <c r="N364" t="n">
        <v>0</v>
      </c>
      <c r="O364" t="n">
        <v>0</v>
      </c>
      <c r="P364" t="n">
        <v>0</v>
      </c>
      <c r="Q364" t="n">
        <v>0</v>
      </c>
      <c r="R364" t="n">
        <v>0</v>
      </c>
      <c r="S364" t="n">
        <v>0</v>
      </c>
      <c r="T364" t="n">
        <v>0</v>
      </c>
      <c r="U364" s="2" t="inlineStr"/>
    </row>
    <row r="365" ht="15" customHeight="1">
      <c r="A365" t="inlineStr">
        <is>
          <t>A 1779-2026</t>
        </is>
      </c>
      <c r="B365" t="inlineStr">
        <is>
          <t>avverkningsanmälan</t>
        </is>
      </c>
      <c r="C365" t="inlineStr">
        <is>
          <t>Föryngringsavverkning</t>
        </is>
      </c>
      <c r="D365" s="1" t="n">
        <v>46034</v>
      </c>
      <c r="E365" s="1" t="n">
        <v>46218</v>
      </c>
      <c r="F365" t="inlineStr">
        <is>
          <t>NORRBOTTENS LÄN</t>
        </is>
      </c>
      <c r="G365" t="inlineStr">
        <is>
          <t>ÖVERTORNEÅ</t>
        </is>
      </c>
      <c r="I365" t="n">
        <v>4.6</v>
      </c>
      <c r="J365" t="n">
        <v>0</v>
      </c>
      <c r="K365" t="n">
        <v>0</v>
      </c>
      <c r="L365" t="n">
        <v>0</v>
      </c>
      <c r="M365" t="n">
        <v>0</v>
      </c>
      <c r="N365" t="n">
        <v>0</v>
      </c>
      <c r="O365" t="n">
        <v>0</v>
      </c>
      <c r="P365" t="n">
        <v>0</v>
      </c>
      <c r="Q365" t="n">
        <v>0</v>
      </c>
      <c r="R365" t="n">
        <v>0</v>
      </c>
      <c r="S365" t="n">
        <v>0</v>
      </c>
      <c r="T365" t="n">
        <v>0</v>
      </c>
      <c r="U365" s="2" t="inlineStr"/>
    </row>
    <row r="366" ht="15" customHeight="1">
      <c r="A366" t="inlineStr">
        <is>
          <t>A 1782-2026</t>
        </is>
      </c>
      <c r="B366" t="inlineStr">
        <is>
          <t>avverkningsanmälan</t>
        </is>
      </c>
      <c r="C366" t="inlineStr">
        <is>
          <t>Föryngringsavverkning</t>
        </is>
      </c>
      <c r="D366" s="1" t="n">
        <v>46034</v>
      </c>
      <c r="E366" s="1" t="n">
        <v>46218</v>
      </c>
      <c r="F366" t="inlineStr">
        <is>
          <t>NORRBOTTENS LÄN</t>
        </is>
      </c>
      <c r="G366" t="inlineStr">
        <is>
          <t>ÖVERTORNEÅ</t>
        </is>
      </c>
      <c r="I366" t="n">
        <v>5.2</v>
      </c>
      <c r="J366" t="n">
        <v>0</v>
      </c>
      <c r="K366" t="n">
        <v>0</v>
      </c>
      <c r="L366" t="n">
        <v>0</v>
      </c>
      <c r="M366" t="n">
        <v>0</v>
      </c>
      <c r="N366" t="n">
        <v>0</v>
      </c>
      <c r="O366" t="n">
        <v>0</v>
      </c>
      <c r="P366" t="n">
        <v>0</v>
      </c>
      <c r="Q366" t="n">
        <v>0</v>
      </c>
      <c r="R366" t="n">
        <v>0</v>
      </c>
      <c r="S366" t="n">
        <v>0</v>
      </c>
      <c r="T366" t="n">
        <v>0</v>
      </c>
      <c r="U366" s="2" t="inlineStr"/>
    </row>
    <row r="367" ht="15" customHeight="1">
      <c r="A367" t="inlineStr">
        <is>
          <t>A 22600-2026</t>
        </is>
      </c>
      <c r="B367" t="inlineStr">
        <is>
          <t>avverkningsanmälan</t>
        </is>
      </c>
      <c r="C367" t="inlineStr">
        <is>
          <t>Föryngringsavverkning</t>
        </is>
      </c>
      <c r="D367" s="1" t="n">
        <v>46155</v>
      </c>
      <c r="E367" s="1" t="n">
        <v>46218</v>
      </c>
      <c r="F367" t="inlineStr">
        <is>
          <t>NORRBOTTENS LÄN</t>
        </is>
      </c>
      <c r="G367" t="inlineStr">
        <is>
          <t>ÖVERTORNEÅ</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44431-2024</t>
        </is>
      </c>
      <c r="B368" t="inlineStr">
        <is>
          <t>avverkningsanmälan</t>
        </is>
      </c>
      <c r="C368" t="inlineStr">
        <is>
          <t>Föryngringsavverkning</t>
        </is>
      </c>
      <c r="D368" s="1" t="n">
        <v>45574</v>
      </c>
      <c r="E368" s="1" t="n">
        <v>46218</v>
      </c>
      <c r="F368" t="inlineStr">
        <is>
          <t>NORRBOTTENS LÄN</t>
        </is>
      </c>
      <c r="G368" t="inlineStr">
        <is>
          <t>ÖVERTORNEÅ</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2894-2026</t>
        </is>
      </c>
      <c r="B369" t="inlineStr">
        <is>
          <t>avverkningsanmälan</t>
        </is>
      </c>
      <c r="C369" t="inlineStr">
        <is>
          <t>Föryngringsavverkning</t>
        </is>
      </c>
      <c r="D369" s="1" t="n">
        <v>46038</v>
      </c>
      <c r="E369" s="1" t="n">
        <v>46218</v>
      </c>
      <c r="F369" t="inlineStr">
        <is>
          <t>NORRBOTTENS LÄN</t>
        </is>
      </c>
      <c r="G369" t="inlineStr">
        <is>
          <t>ÖVERTORNEÅ</t>
        </is>
      </c>
      <c r="I369" t="n">
        <v>6.6</v>
      </c>
      <c r="J369" t="n">
        <v>0</v>
      </c>
      <c r="K369" t="n">
        <v>0</v>
      </c>
      <c r="L369" t="n">
        <v>0</v>
      </c>
      <c r="M369" t="n">
        <v>0</v>
      </c>
      <c r="N369" t="n">
        <v>0</v>
      </c>
      <c r="O369" t="n">
        <v>0</v>
      </c>
      <c r="P369" t="n">
        <v>0</v>
      </c>
      <c r="Q369" t="n">
        <v>0</v>
      </c>
      <c r="R369" t="n">
        <v>0</v>
      </c>
      <c r="S369" t="n">
        <v>0</v>
      </c>
      <c r="T369" t="n">
        <v>0</v>
      </c>
      <c r="U369" s="2" t="inlineStr"/>
    </row>
    <row r="370" ht="15" customHeight="1">
      <c r="A370" t="inlineStr">
        <is>
          <t>A 47019-2024</t>
        </is>
      </c>
      <c r="B370" t="inlineStr">
        <is>
          <t>avverkningsanmälan</t>
        </is>
      </c>
      <c r="C370" t="inlineStr">
        <is>
          <t>Föryngringsavverkning</t>
        </is>
      </c>
      <c r="D370" s="1" t="n">
        <v>45586</v>
      </c>
      <c r="E370" s="1" t="n">
        <v>46218</v>
      </c>
      <c r="F370" t="inlineStr">
        <is>
          <t>NORRBOTTENS LÄN</t>
        </is>
      </c>
      <c r="G370" t="inlineStr">
        <is>
          <t>ÖVERTORNEÅ</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45698-2024</t>
        </is>
      </c>
      <c r="B371" t="inlineStr">
        <is>
          <t>avverkningsanmälan</t>
        </is>
      </c>
      <c r="C371" t="inlineStr">
        <is>
          <t>Föryngringsavverkning</t>
        </is>
      </c>
      <c r="D371" s="1" t="n">
        <v>45579</v>
      </c>
      <c r="E371" s="1" t="n">
        <v>46218</v>
      </c>
      <c r="F371" t="inlineStr">
        <is>
          <t>NORRBOTTENS LÄN</t>
        </is>
      </c>
      <c r="G371" t="inlineStr">
        <is>
          <t>ÖVERTORNEÅ</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2918-2026</t>
        </is>
      </c>
      <c r="B372" t="inlineStr">
        <is>
          <t>avverkningsanmälan</t>
        </is>
      </c>
      <c r="C372" t="inlineStr">
        <is>
          <t>Föryngringsavverkning</t>
        </is>
      </c>
      <c r="D372" s="1" t="n">
        <v>46038</v>
      </c>
      <c r="E372" s="1" t="n">
        <v>46218</v>
      </c>
      <c r="F372" t="inlineStr">
        <is>
          <t>NORRBOTTENS LÄN</t>
        </is>
      </c>
      <c r="G372" t="inlineStr">
        <is>
          <t>ÖVERTORNEÅ</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2883-2026</t>
        </is>
      </c>
      <c r="B373" t="inlineStr">
        <is>
          <t>avverkningsanmälan</t>
        </is>
      </c>
      <c r="C373" t="inlineStr">
        <is>
          <t>Föryngringsavverkning</t>
        </is>
      </c>
      <c r="D373" s="1" t="n">
        <v>46038</v>
      </c>
      <c r="E373" s="1" t="n">
        <v>46218</v>
      </c>
      <c r="F373" t="inlineStr">
        <is>
          <t>NORRBOTTENS LÄN</t>
        </is>
      </c>
      <c r="G373" t="inlineStr">
        <is>
          <t>ÖVERTORNEÅ</t>
        </is>
      </c>
      <c r="I373" t="n">
        <v>5.6</v>
      </c>
      <c r="J373" t="n">
        <v>0</v>
      </c>
      <c r="K373" t="n">
        <v>0</v>
      </c>
      <c r="L373" t="n">
        <v>0</v>
      </c>
      <c r="M373" t="n">
        <v>0</v>
      </c>
      <c r="N373" t="n">
        <v>0</v>
      </c>
      <c r="O373" t="n">
        <v>0</v>
      </c>
      <c r="P373" t="n">
        <v>0</v>
      </c>
      <c r="Q373" t="n">
        <v>0</v>
      </c>
      <c r="R373" t="n">
        <v>0</v>
      </c>
      <c r="S373" t="n">
        <v>0</v>
      </c>
      <c r="T373" t="n">
        <v>0</v>
      </c>
      <c r="U373" s="2" t="inlineStr"/>
    </row>
    <row r="374" ht="15" customHeight="1">
      <c r="A374" t="inlineStr">
        <is>
          <t>A 2887-2026</t>
        </is>
      </c>
      <c r="B374" t="inlineStr">
        <is>
          <t>avverkningsanmälan</t>
        </is>
      </c>
      <c r="C374" t="inlineStr">
        <is>
          <t>Föryngringsavverkning</t>
        </is>
      </c>
      <c r="D374" s="1" t="n">
        <v>46038</v>
      </c>
      <c r="E374" s="1" t="n">
        <v>46218</v>
      </c>
      <c r="F374" t="inlineStr">
        <is>
          <t>NORRBOTTENS LÄN</t>
        </is>
      </c>
      <c r="G374" t="inlineStr">
        <is>
          <t>ÖVERTORNEÅ</t>
        </is>
      </c>
      <c r="I374" t="n">
        <v>5</v>
      </c>
      <c r="J374" t="n">
        <v>0</v>
      </c>
      <c r="K374" t="n">
        <v>0</v>
      </c>
      <c r="L374" t="n">
        <v>0</v>
      </c>
      <c r="M374" t="n">
        <v>0</v>
      </c>
      <c r="N374" t="n">
        <v>0</v>
      </c>
      <c r="O374" t="n">
        <v>0</v>
      </c>
      <c r="P374" t="n">
        <v>0</v>
      </c>
      <c r="Q374" t="n">
        <v>0</v>
      </c>
      <c r="R374" t="n">
        <v>0</v>
      </c>
      <c r="S374" t="n">
        <v>0</v>
      </c>
      <c r="T374" t="n">
        <v>0</v>
      </c>
      <c r="U374" s="2" t="inlineStr"/>
    </row>
    <row r="375" ht="15" customHeight="1">
      <c r="A375" t="inlineStr">
        <is>
          <t>A 2904-2026</t>
        </is>
      </c>
      <c r="B375" t="inlineStr">
        <is>
          <t>avverkningsanmälan</t>
        </is>
      </c>
      <c r="C375" t="inlineStr">
        <is>
          <t>Föryngringsavverkning</t>
        </is>
      </c>
      <c r="D375" s="1" t="n">
        <v>46038</v>
      </c>
      <c r="E375" s="1" t="n">
        <v>46218</v>
      </c>
      <c r="F375" t="inlineStr">
        <is>
          <t>NORRBOTTENS LÄN</t>
        </is>
      </c>
      <c r="G375" t="inlineStr">
        <is>
          <t>ÖVERTORNEÅ</t>
        </is>
      </c>
      <c r="I375" t="n">
        <v>7.3</v>
      </c>
      <c r="J375" t="n">
        <v>0</v>
      </c>
      <c r="K375" t="n">
        <v>0</v>
      </c>
      <c r="L375" t="n">
        <v>0</v>
      </c>
      <c r="M375" t="n">
        <v>0</v>
      </c>
      <c r="N375" t="n">
        <v>0</v>
      </c>
      <c r="O375" t="n">
        <v>0</v>
      </c>
      <c r="P375" t="n">
        <v>0</v>
      </c>
      <c r="Q375" t="n">
        <v>0</v>
      </c>
      <c r="R375" t="n">
        <v>0</v>
      </c>
      <c r="S375" t="n">
        <v>0</v>
      </c>
      <c r="T375" t="n">
        <v>0</v>
      </c>
      <c r="U375" s="2" t="inlineStr"/>
    </row>
    <row r="376" ht="15" customHeight="1">
      <c r="A376" t="inlineStr">
        <is>
          <t>A 5030-2024</t>
        </is>
      </c>
      <c r="B376" t="inlineStr">
        <is>
          <t>avverkningsanmälan</t>
        </is>
      </c>
      <c r="C376" t="inlineStr">
        <is>
          <t>Avverkning för annat ändamål</t>
        </is>
      </c>
      <c r="D376" s="1" t="n">
        <v>45329</v>
      </c>
      <c r="E376" s="1" t="n">
        <v>46218</v>
      </c>
      <c r="F376" t="inlineStr">
        <is>
          <t>NORRBOTTENS LÄN</t>
        </is>
      </c>
      <c r="G376" t="inlineStr">
        <is>
          <t>ÖVERTORNEÅ</t>
        </is>
      </c>
      <c r="I376" t="n">
        <v>0.3</v>
      </c>
      <c r="J376" t="n">
        <v>0</v>
      </c>
      <c r="K376" t="n">
        <v>0</v>
      </c>
      <c r="L376" t="n">
        <v>0</v>
      </c>
      <c r="M376" t="n">
        <v>0</v>
      </c>
      <c r="N376" t="n">
        <v>0</v>
      </c>
      <c r="O376" t="n">
        <v>0</v>
      </c>
      <c r="P376" t="n">
        <v>0</v>
      </c>
      <c r="Q376" t="n">
        <v>0</v>
      </c>
      <c r="R376" t="n">
        <v>0</v>
      </c>
      <c r="S376" t="n">
        <v>0</v>
      </c>
      <c r="T376" t="n">
        <v>0</v>
      </c>
      <c r="U376" s="2" t="inlineStr"/>
    </row>
    <row r="377" ht="15" customHeight="1">
      <c r="A377" t="inlineStr">
        <is>
          <t>A 34701-2024</t>
        </is>
      </c>
      <c r="B377" t="inlineStr">
        <is>
          <t>avverkningsanmälan</t>
        </is>
      </c>
      <c r="C377" t="inlineStr">
        <is>
          <t>Föryngringsavverkning</t>
        </is>
      </c>
      <c r="D377" s="1" t="n">
        <v>45526</v>
      </c>
      <c r="E377" s="1" t="n">
        <v>46218</v>
      </c>
      <c r="F377" t="inlineStr">
        <is>
          <t>NORRBOTTENS LÄN</t>
        </is>
      </c>
      <c r="G377" t="inlineStr">
        <is>
          <t>ÖVERTORNEÅ</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4688-2026</t>
        </is>
      </c>
      <c r="B378" t="inlineStr">
        <is>
          <t>avverkningsanmälan</t>
        </is>
      </c>
      <c r="C378" t="inlineStr">
        <is>
          <t>Föryngringsavverkning</t>
        </is>
      </c>
      <c r="D378" s="1" t="n">
        <v>46048</v>
      </c>
      <c r="E378" s="1" t="n">
        <v>46218</v>
      </c>
      <c r="F378" t="inlineStr">
        <is>
          <t>NORRBOTTENS LÄN</t>
        </is>
      </c>
      <c r="G378" t="inlineStr">
        <is>
          <t>ÖVERTORNEÅ</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10193-2024</t>
        </is>
      </c>
      <c r="B379" t="inlineStr">
        <is>
          <t>avverkningsanmälan</t>
        </is>
      </c>
      <c r="C379" t="inlineStr">
        <is>
          <t>Föryngringsavverkning</t>
        </is>
      </c>
      <c r="D379" s="1" t="n">
        <v>45364</v>
      </c>
      <c r="E379" s="1" t="n">
        <v>46218</v>
      </c>
      <c r="F379" t="inlineStr">
        <is>
          <t>NORRBOTTENS LÄN</t>
        </is>
      </c>
      <c r="G379" t="inlineStr">
        <is>
          <t>ÖVERTORNEÅ</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5922-2026</t>
        </is>
      </c>
      <c r="B380" t="inlineStr">
        <is>
          <t>avverkningsanmälan</t>
        </is>
      </c>
      <c r="C380" t="inlineStr">
        <is>
          <t>Föryngringsavverkning</t>
        </is>
      </c>
      <c r="D380" s="1" t="n">
        <v>46049</v>
      </c>
      <c r="E380" s="1" t="n">
        <v>46218</v>
      </c>
      <c r="F380" t="inlineStr">
        <is>
          <t>NORRBOTTENS LÄN</t>
        </is>
      </c>
      <c r="G380" t="inlineStr">
        <is>
          <t>ÖVERTORNEÅ</t>
        </is>
      </c>
      <c r="I380" t="n">
        <v>7.6</v>
      </c>
      <c r="J380" t="n">
        <v>0</v>
      </c>
      <c r="K380" t="n">
        <v>0</v>
      </c>
      <c r="L380" t="n">
        <v>0</v>
      </c>
      <c r="M380" t="n">
        <v>0</v>
      </c>
      <c r="N380" t="n">
        <v>0</v>
      </c>
      <c r="O380" t="n">
        <v>0</v>
      </c>
      <c r="P380" t="n">
        <v>0</v>
      </c>
      <c r="Q380" t="n">
        <v>0</v>
      </c>
      <c r="R380" t="n">
        <v>0</v>
      </c>
      <c r="S380" t="n">
        <v>0</v>
      </c>
      <c r="T380" t="n">
        <v>0</v>
      </c>
      <c r="U380" s="2" t="inlineStr"/>
    </row>
    <row r="381" ht="15" customHeight="1">
      <c r="A381" t="inlineStr">
        <is>
          <t>A 5937-2026</t>
        </is>
      </c>
      <c r="B381" t="inlineStr">
        <is>
          <t>avverkningsanmälan</t>
        </is>
      </c>
      <c r="C381" t="inlineStr">
        <is>
          <t>Föryngringsavverkning</t>
        </is>
      </c>
      <c r="D381" s="1" t="n">
        <v>46049</v>
      </c>
      <c r="E381" s="1" t="n">
        <v>46218</v>
      </c>
      <c r="F381" t="inlineStr">
        <is>
          <t>NORRBOTTENS LÄN</t>
        </is>
      </c>
      <c r="G381" t="inlineStr">
        <is>
          <t>ÖVERTORNEÅ</t>
        </is>
      </c>
      <c r="I381" t="n">
        <v>7.4</v>
      </c>
      <c r="J381" t="n">
        <v>0</v>
      </c>
      <c r="K381" t="n">
        <v>0</v>
      </c>
      <c r="L381" t="n">
        <v>0</v>
      </c>
      <c r="M381" t="n">
        <v>0</v>
      </c>
      <c r="N381" t="n">
        <v>0</v>
      </c>
      <c r="O381" t="n">
        <v>0</v>
      </c>
      <c r="P381" t="n">
        <v>0</v>
      </c>
      <c r="Q381" t="n">
        <v>0</v>
      </c>
      <c r="R381" t="n">
        <v>0</v>
      </c>
      <c r="S381" t="n">
        <v>0</v>
      </c>
      <c r="T381" t="n">
        <v>0</v>
      </c>
      <c r="U381" s="2" t="inlineStr"/>
    </row>
    <row r="382" ht="15" customHeight="1">
      <c r="A382" t="inlineStr">
        <is>
          <t>A 35995-2023</t>
        </is>
      </c>
      <c r="B382" t="inlineStr">
        <is>
          <t>avverkningsanmälan</t>
        </is>
      </c>
      <c r="C382" t="inlineStr">
        <is>
          <t>Föryngringsavverkning</t>
        </is>
      </c>
      <c r="D382" s="1" t="n">
        <v>45149</v>
      </c>
      <c r="E382" s="1" t="n">
        <v>46218</v>
      </c>
      <c r="F382" t="inlineStr">
        <is>
          <t>NORRBOTTENS LÄN</t>
        </is>
      </c>
      <c r="G382" t="inlineStr">
        <is>
          <t>ÖVERTORNEÅ</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22908-2026</t>
        </is>
      </c>
      <c r="B383" t="inlineStr">
        <is>
          <t>avverkningsanmälan</t>
        </is>
      </c>
      <c r="C383" t="inlineStr">
        <is>
          <t>Föryngringsavverkning</t>
        </is>
      </c>
      <c r="D383" s="1" t="n">
        <v>46160</v>
      </c>
      <c r="E383" s="1" t="n">
        <v>46218</v>
      </c>
      <c r="F383" t="inlineStr">
        <is>
          <t>NORRBOTTENS LÄN</t>
        </is>
      </c>
      <c r="G383" t="inlineStr">
        <is>
          <t>ÖVERTORNEÅ</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22910-2026</t>
        </is>
      </c>
      <c r="B384" t="inlineStr">
        <is>
          <t>avverkningsanmälan</t>
        </is>
      </c>
      <c r="C384" t="inlineStr">
        <is>
          <t>Föryngringsavverkning</t>
        </is>
      </c>
      <c r="D384" s="1" t="n">
        <v>46160</v>
      </c>
      <c r="E384" s="1" t="n">
        <v>46218</v>
      </c>
      <c r="F384" t="inlineStr">
        <is>
          <t>NORRBOTTENS LÄN</t>
        </is>
      </c>
      <c r="G384" t="inlineStr">
        <is>
          <t>ÖVERTORNEÅ</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1319-2025</t>
        </is>
      </c>
      <c r="B385" t="inlineStr">
        <is>
          <t>avverkningsanmälan</t>
        </is>
      </c>
      <c r="C385" t="inlineStr">
        <is>
          <t>Föryngringsavverkning</t>
        </is>
      </c>
      <c r="D385" s="1" t="n">
        <v>45667</v>
      </c>
      <c r="E385" s="1" t="n">
        <v>46218</v>
      </c>
      <c r="F385" t="inlineStr">
        <is>
          <t>NORRBOTTENS LÄN</t>
        </is>
      </c>
      <c r="G385" t="inlineStr">
        <is>
          <t>ÖVERTORNEÅ</t>
        </is>
      </c>
      <c r="I385" t="n">
        <v>5.5</v>
      </c>
      <c r="J385" t="n">
        <v>0</v>
      </c>
      <c r="K385" t="n">
        <v>0</v>
      </c>
      <c r="L385" t="n">
        <v>0</v>
      </c>
      <c r="M385" t="n">
        <v>0</v>
      </c>
      <c r="N385" t="n">
        <v>0</v>
      </c>
      <c r="O385" t="n">
        <v>0</v>
      </c>
      <c r="P385" t="n">
        <v>0</v>
      </c>
      <c r="Q385" t="n">
        <v>0</v>
      </c>
      <c r="R385" t="n">
        <v>0</v>
      </c>
      <c r="S385" t="n">
        <v>0</v>
      </c>
      <c r="T385" t="n">
        <v>0</v>
      </c>
      <c r="U385" s="2" t="inlineStr"/>
    </row>
    <row r="386" ht="15" customHeight="1">
      <c r="A386" t="inlineStr">
        <is>
          <t>A 23363-2026</t>
        </is>
      </c>
      <c r="B386" t="inlineStr">
        <is>
          <t>avverkningsanmälan</t>
        </is>
      </c>
      <c r="C386" t="inlineStr">
        <is>
          <t>Föryngringsavverkning</t>
        </is>
      </c>
      <c r="D386" s="1" t="n">
        <v>46162</v>
      </c>
      <c r="E386" s="1" t="n">
        <v>46218</v>
      </c>
      <c r="F386" t="inlineStr">
        <is>
          <t>NORRBOTTENS LÄN</t>
        </is>
      </c>
      <c r="G386" t="inlineStr">
        <is>
          <t>ÖVERTORNEÅ</t>
        </is>
      </c>
      <c r="H386" t="inlineStr">
        <is>
          <t>Sveaskog</t>
        </is>
      </c>
      <c r="I386" t="n">
        <v>12.2</v>
      </c>
      <c r="J386" t="n">
        <v>0</v>
      </c>
      <c r="K386" t="n">
        <v>0</v>
      </c>
      <c r="L386" t="n">
        <v>0</v>
      </c>
      <c r="M386" t="n">
        <v>0</v>
      </c>
      <c r="N386" t="n">
        <v>0</v>
      </c>
      <c r="O386" t="n">
        <v>0</v>
      </c>
      <c r="P386" t="n">
        <v>0</v>
      </c>
      <c r="Q386" t="n">
        <v>0</v>
      </c>
      <c r="R386" t="n">
        <v>0</v>
      </c>
      <c r="S386" t="n">
        <v>0</v>
      </c>
      <c r="T386" t="n">
        <v>0</v>
      </c>
      <c r="U386" s="2" t="inlineStr"/>
    </row>
    <row r="387" ht="15" customHeight="1">
      <c r="A387" t="inlineStr">
        <is>
          <t>A 6722-2026</t>
        </is>
      </c>
      <c r="B387" t="inlineStr">
        <is>
          <t>avverkningsanmälan</t>
        </is>
      </c>
      <c r="C387" t="inlineStr">
        <is>
          <t>Föryngringsavverkning</t>
        </is>
      </c>
      <c r="D387" s="1" t="n">
        <v>46056</v>
      </c>
      <c r="E387" s="1" t="n">
        <v>46218</v>
      </c>
      <c r="F387" t="inlineStr">
        <is>
          <t>NORRBOTTENS LÄN</t>
        </is>
      </c>
      <c r="G387" t="inlineStr">
        <is>
          <t>ÖVERTORNEÅ</t>
        </is>
      </c>
      <c r="I387" t="n">
        <v>5.6</v>
      </c>
      <c r="J387" t="n">
        <v>0</v>
      </c>
      <c r="K387" t="n">
        <v>0</v>
      </c>
      <c r="L387" t="n">
        <v>0</v>
      </c>
      <c r="M387" t="n">
        <v>0</v>
      </c>
      <c r="N387" t="n">
        <v>0</v>
      </c>
      <c r="O387" t="n">
        <v>0</v>
      </c>
      <c r="P387" t="n">
        <v>0</v>
      </c>
      <c r="Q387" t="n">
        <v>0</v>
      </c>
      <c r="R387" t="n">
        <v>0</v>
      </c>
      <c r="S387" t="n">
        <v>0</v>
      </c>
      <c r="T387" t="n">
        <v>0</v>
      </c>
      <c r="U387" s="2" t="inlineStr"/>
    </row>
    <row r="388" ht="15" customHeight="1">
      <c r="A388" t="inlineStr">
        <is>
          <t>A 6922-2026</t>
        </is>
      </c>
      <c r="B388" t="inlineStr">
        <is>
          <t>avverkningsanmälan</t>
        </is>
      </c>
      <c r="C388" t="inlineStr">
        <is>
          <t>Föryngringsavverkning</t>
        </is>
      </c>
      <c r="D388" s="1" t="n">
        <v>46057</v>
      </c>
      <c r="E388" s="1" t="n">
        <v>46218</v>
      </c>
      <c r="F388" t="inlineStr">
        <is>
          <t>NORRBOTTENS LÄN</t>
        </is>
      </c>
      <c r="G388" t="inlineStr">
        <is>
          <t>ÖVERTORNEÅ</t>
        </is>
      </c>
      <c r="I388" t="n">
        <v>7.3</v>
      </c>
      <c r="J388" t="n">
        <v>0</v>
      </c>
      <c r="K388" t="n">
        <v>0</v>
      </c>
      <c r="L388" t="n">
        <v>0</v>
      </c>
      <c r="M388" t="n">
        <v>0</v>
      </c>
      <c r="N388" t="n">
        <v>0</v>
      </c>
      <c r="O388" t="n">
        <v>0</v>
      </c>
      <c r="P388" t="n">
        <v>0</v>
      </c>
      <c r="Q388" t="n">
        <v>0</v>
      </c>
      <c r="R388" t="n">
        <v>0</v>
      </c>
      <c r="S388" t="n">
        <v>0</v>
      </c>
      <c r="T388" t="n">
        <v>0</v>
      </c>
      <c r="U388" s="2" t="inlineStr"/>
    </row>
    <row r="389" ht="15" customHeight="1">
      <c r="A389" t="inlineStr">
        <is>
          <t>A 7136-2026</t>
        </is>
      </c>
      <c r="B389" t="inlineStr">
        <is>
          <t>avverkningsanmälan</t>
        </is>
      </c>
      <c r="C389" t="inlineStr">
        <is>
          <t>Föryngringsavverkning</t>
        </is>
      </c>
      <c r="D389" s="1" t="n">
        <v>46058</v>
      </c>
      <c r="E389" s="1" t="n">
        <v>46218</v>
      </c>
      <c r="F389" t="inlineStr">
        <is>
          <t>NORRBOTTENS LÄN</t>
        </is>
      </c>
      <c r="G389" t="inlineStr">
        <is>
          <t>ÖVERTORNEÅ</t>
        </is>
      </c>
      <c r="I389" t="n">
        <v>8.6</v>
      </c>
      <c r="J389" t="n">
        <v>0</v>
      </c>
      <c r="K389" t="n">
        <v>0</v>
      </c>
      <c r="L389" t="n">
        <v>0</v>
      </c>
      <c r="M389" t="n">
        <v>0</v>
      </c>
      <c r="N389" t="n">
        <v>0</v>
      </c>
      <c r="O389" t="n">
        <v>0</v>
      </c>
      <c r="P389" t="n">
        <v>0</v>
      </c>
      <c r="Q389" t="n">
        <v>0</v>
      </c>
      <c r="R389" t="n">
        <v>0</v>
      </c>
      <c r="S389" t="n">
        <v>0</v>
      </c>
      <c r="T389" t="n">
        <v>0</v>
      </c>
      <c r="U389" s="2" t="inlineStr"/>
    </row>
    <row r="390" ht="15" customHeight="1">
      <c r="A390" t="inlineStr">
        <is>
          <t>A 7534-2026</t>
        </is>
      </c>
      <c r="B390" t="inlineStr">
        <is>
          <t>avverkningsanmälan</t>
        </is>
      </c>
      <c r="C390" t="inlineStr">
        <is>
          <t>Föryngringsavverkning</t>
        </is>
      </c>
      <c r="D390" s="1" t="n">
        <v>46059</v>
      </c>
      <c r="E390" s="1" t="n">
        <v>46218</v>
      </c>
      <c r="F390" t="inlineStr">
        <is>
          <t>NORRBOTTENS LÄN</t>
        </is>
      </c>
      <c r="G390" t="inlineStr">
        <is>
          <t>ÖVERTORNEÅ</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7536-2026</t>
        </is>
      </c>
      <c r="B391" t="inlineStr">
        <is>
          <t>avverkningsanmälan</t>
        </is>
      </c>
      <c r="C391" t="inlineStr">
        <is>
          <t>Föryngringsavverkning</t>
        </is>
      </c>
      <c r="D391" s="1" t="n">
        <v>46059</v>
      </c>
      <c r="E391" s="1" t="n">
        <v>46218</v>
      </c>
      <c r="F391" t="inlineStr">
        <is>
          <t>NORRBOTTENS LÄN</t>
        </is>
      </c>
      <c r="G391" t="inlineStr">
        <is>
          <t>ÖVERTORNEÅ</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7539-2026</t>
        </is>
      </c>
      <c r="B392" t="inlineStr">
        <is>
          <t>avverkningsanmälan</t>
        </is>
      </c>
      <c r="C392" t="inlineStr">
        <is>
          <t>Föryngringsavverkning</t>
        </is>
      </c>
      <c r="D392" s="1" t="n">
        <v>46059</v>
      </c>
      <c r="E392" s="1" t="n">
        <v>46218</v>
      </c>
      <c r="F392" t="inlineStr">
        <is>
          <t>NORRBOTTENS LÄN</t>
        </is>
      </c>
      <c r="G392" t="inlineStr">
        <is>
          <t>ÖVERTORNEÅ</t>
        </is>
      </c>
      <c r="I392" t="n">
        <v>6.5</v>
      </c>
      <c r="J392" t="n">
        <v>0</v>
      </c>
      <c r="K392" t="n">
        <v>0</v>
      </c>
      <c r="L392" t="n">
        <v>0</v>
      </c>
      <c r="M392" t="n">
        <v>0</v>
      </c>
      <c r="N392" t="n">
        <v>0</v>
      </c>
      <c r="O392" t="n">
        <v>0</v>
      </c>
      <c r="P392" t="n">
        <v>0</v>
      </c>
      <c r="Q392" t="n">
        <v>0</v>
      </c>
      <c r="R392" t="n">
        <v>0</v>
      </c>
      <c r="S392" t="n">
        <v>0</v>
      </c>
      <c r="T392" t="n">
        <v>0</v>
      </c>
      <c r="U392" s="2" t="inlineStr"/>
    </row>
    <row r="393" ht="15" customHeight="1">
      <c r="A393" t="inlineStr">
        <is>
          <t>A 23538-2026</t>
        </is>
      </c>
      <c r="B393" t="inlineStr">
        <is>
          <t>avverkningsanmälan</t>
        </is>
      </c>
      <c r="C393" t="inlineStr">
        <is>
          <t>Föryngringsavverkning</t>
        </is>
      </c>
      <c r="D393" s="1" t="n">
        <v>46163</v>
      </c>
      <c r="E393" s="1" t="n">
        <v>46218</v>
      </c>
      <c r="F393" t="inlineStr">
        <is>
          <t>NORRBOTTENS LÄN</t>
        </is>
      </c>
      <c r="G393" t="inlineStr">
        <is>
          <t>ÖVERTORNEÅ</t>
        </is>
      </c>
      <c r="I393" t="n">
        <v>11.5</v>
      </c>
      <c r="J393" t="n">
        <v>0</v>
      </c>
      <c r="K393" t="n">
        <v>0</v>
      </c>
      <c r="L393" t="n">
        <v>0</v>
      </c>
      <c r="M393" t="n">
        <v>0</v>
      </c>
      <c r="N393" t="n">
        <v>0</v>
      </c>
      <c r="O393" t="n">
        <v>0</v>
      </c>
      <c r="P393" t="n">
        <v>0</v>
      </c>
      <c r="Q393" t="n">
        <v>0</v>
      </c>
      <c r="R393" t="n">
        <v>0</v>
      </c>
      <c r="S393" t="n">
        <v>0</v>
      </c>
      <c r="T393" t="n">
        <v>0</v>
      </c>
      <c r="U393" s="2" t="inlineStr"/>
    </row>
    <row r="394" ht="15" customHeight="1">
      <c r="A394" t="inlineStr">
        <is>
          <t>A 7804-2026</t>
        </is>
      </c>
      <c r="B394" t="inlineStr">
        <is>
          <t>avverkningsanmälan</t>
        </is>
      </c>
      <c r="C394" t="inlineStr">
        <is>
          <t>Föryngringsavverkning</t>
        </is>
      </c>
      <c r="D394" s="1" t="n">
        <v>46062</v>
      </c>
      <c r="E394" s="1" t="n">
        <v>46218</v>
      </c>
      <c r="F394" t="inlineStr">
        <is>
          <t>NORRBOTTENS LÄN</t>
        </is>
      </c>
      <c r="G394" t="inlineStr">
        <is>
          <t>ÖVERTORNEÅ</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8062-2026</t>
        </is>
      </c>
      <c r="B395" t="inlineStr">
        <is>
          <t>avverkningsanmälan</t>
        </is>
      </c>
      <c r="C395" t="inlineStr">
        <is>
          <t>Föryngringsavverkning</t>
        </is>
      </c>
      <c r="D395" s="1" t="n">
        <v>46062</v>
      </c>
      <c r="E395" s="1" t="n">
        <v>46218</v>
      </c>
      <c r="F395" t="inlineStr">
        <is>
          <t>NORRBOTTENS LÄN</t>
        </is>
      </c>
      <c r="G395" t="inlineStr">
        <is>
          <t>ÖVERTORNEÅ</t>
        </is>
      </c>
      <c r="I395" t="n">
        <v>6.8</v>
      </c>
      <c r="J395" t="n">
        <v>0</v>
      </c>
      <c r="K395" t="n">
        <v>0</v>
      </c>
      <c r="L395" t="n">
        <v>0</v>
      </c>
      <c r="M395" t="n">
        <v>0</v>
      </c>
      <c r="N395" t="n">
        <v>0</v>
      </c>
      <c r="O395" t="n">
        <v>0</v>
      </c>
      <c r="P395" t="n">
        <v>0</v>
      </c>
      <c r="Q395" t="n">
        <v>0</v>
      </c>
      <c r="R395" t="n">
        <v>0</v>
      </c>
      <c r="S395" t="n">
        <v>0</v>
      </c>
      <c r="T395" t="n">
        <v>0</v>
      </c>
      <c r="U395" s="2" t="inlineStr"/>
    </row>
    <row r="396" ht="15" customHeight="1">
      <c r="A396" t="inlineStr">
        <is>
          <t>A 23813-2026</t>
        </is>
      </c>
      <c r="B396" t="inlineStr">
        <is>
          <t>avverkningsanmälan</t>
        </is>
      </c>
      <c r="C396" t="inlineStr">
        <is>
          <t>Föryngringsavverkning</t>
        </is>
      </c>
      <c r="D396" s="1" t="n">
        <v>46164</v>
      </c>
      <c r="E396" s="1" t="n">
        <v>46218</v>
      </c>
      <c r="F396" t="inlineStr">
        <is>
          <t>NORRBOTTENS LÄN</t>
        </is>
      </c>
      <c r="G396" t="inlineStr">
        <is>
          <t>ÖVERTORNEÅ</t>
        </is>
      </c>
      <c r="I396" t="n">
        <v>12.5</v>
      </c>
      <c r="J396" t="n">
        <v>0</v>
      </c>
      <c r="K396" t="n">
        <v>0</v>
      </c>
      <c r="L396" t="n">
        <v>0</v>
      </c>
      <c r="M396" t="n">
        <v>0</v>
      </c>
      <c r="N396" t="n">
        <v>0</v>
      </c>
      <c r="O396" t="n">
        <v>0</v>
      </c>
      <c r="P396" t="n">
        <v>0</v>
      </c>
      <c r="Q396" t="n">
        <v>0</v>
      </c>
      <c r="R396" t="n">
        <v>0</v>
      </c>
      <c r="S396" t="n">
        <v>0</v>
      </c>
      <c r="T396" t="n">
        <v>0</v>
      </c>
      <c r="U396" s="2" t="inlineStr"/>
    </row>
    <row r="397" ht="15" customHeight="1">
      <c r="A397" t="inlineStr">
        <is>
          <t>A 23954-2026</t>
        </is>
      </c>
      <c r="B397" t="inlineStr">
        <is>
          <t>avverkningsanmälan</t>
        </is>
      </c>
      <c r="C397" t="inlineStr">
        <is>
          <t>Föryngringsavverkning</t>
        </is>
      </c>
      <c r="D397" s="1" t="n">
        <v>46167</v>
      </c>
      <c r="E397" s="1" t="n">
        <v>46218</v>
      </c>
      <c r="F397" t="inlineStr">
        <is>
          <t>NORRBOTTENS LÄN</t>
        </is>
      </c>
      <c r="G397" t="inlineStr">
        <is>
          <t>ÖVERTORNEÅ</t>
        </is>
      </c>
      <c r="I397" t="n">
        <v>12.2</v>
      </c>
      <c r="J397" t="n">
        <v>0</v>
      </c>
      <c r="K397" t="n">
        <v>0</v>
      </c>
      <c r="L397" t="n">
        <v>0</v>
      </c>
      <c r="M397" t="n">
        <v>0</v>
      </c>
      <c r="N397" t="n">
        <v>0</v>
      </c>
      <c r="O397" t="n">
        <v>0</v>
      </c>
      <c r="P397" t="n">
        <v>0</v>
      </c>
      <c r="Q397" t="n">
        <v>0</v>
      </c>
      <c r="R397" t="n">
        <v>0</v>
      </c>
      <c r="S397" t="n">
        <v>0</v>
      </c>
      <c r="T397" t="n">
        <v>0</v>
      </c>
      <c r="U397" s="2" t="inlineStr"/>
    </row>
    <row r="398" ht="15" customHeight="1">
      <c r="A398" t="inlineStr">
        <is>
          <t>A 30062-2026</t>
        </is>
      </c>
      <c r="B398" t="inlineStr">
        <is>
          <t>avverkningsanmälan</t>
        </is>
      </c>
      <c r="C398" t="inlineStr">
        <is>
          <t>Föryngringsavverkning</t>
        </is>
      </c>
      <c r="D398" s="1" t="n">
        <v>46206</v>
      </c>
      <c r="E398" s="1" t="n">
        <v>46218</v>
      </c>
      <c r="F398" t="inlineStr">
        <is>
          <t>NORRBOTTENS LÄN</t>
        </is>
      </c>
      <c r="G398" t="inlineStr">
        <is>
          <t>ÖVERTORNEÅ</t>
        </is>
      </c>
      <c r="H398" t="inlineStr">
        <is>
          <t>Sveaskog</t>
        </is>
      </c>
      <c r="I398" t="n">
        <v>10.2</v>
      </c>
      <c r="J398" t="n">
        <v>0</v>
      </c>
      <c r="K398" t="n">
        <v>0</v>
      </c>
      <c r="L398" t="n">
        <v>0</v>
      </c>
      <c r="M398" t="n">
        <v>0</v>
      </c>
      <c r="N398" t="n">
        <v>0</v>
      </c>
      <c r="O398" t="n">
        <v>0</v>
      </c>
      <c r="P398" t="n">
        <v>0</v>
      </c>
      <c r="Q398" t="n">
        <v>0</v>
      </c>
      <c r="R398" t="n">
        <v>0</v>
      </c>
      <c r="S398" t="n">
        <v>0</v>
      </c>
      <c r="T398" t="n">
        <v>0</v>
      </c>
      <c r="U398" s="2" t="inlineStr"/>
    </row>
    <row r="399" ht="15" customHeight="1">
      <c r="A399" t="inlineStr">
        <is>
          <t>A 30079-2026</t>
        </is>
      </c>
      <c r="B399" t="inlineStr">
        <is>
          <t>avverkningsanmälan</t>
        </is>
      </c>
      <c r="C399" t="inlineStr">
        <is>
          <t>Föryngringsavverkning</t>
        </is>
      </c>
      <c r="D399" s="1" t="n">
        <v>46206</v>
      </c>
      <c r="E399" s="1" t="n">
        <v>46218</v>
      </c>
      <c r="F399" t="inlineStr">
        <is>
          <t>NORRBOTTENS LÄN</t>
        </is>
      </c>
      <c r="G399" t="inlineStr">
        <is>
          <t>ÖVERTORNEÅ</t>
        </is>
      </c>
      <c r="H399" t="inlineStr">
        <is>
          <t>Sveaskog</t>
        </is>
      </c>
      <c r="I399" t="n">
        <v>26</v>
      </c>
      <c r="J399" t="n">
        <v>0</v>
      </c>
      <c r="K399" t="n">
        <v>0</v>
      </c>
      <c r="L399" t="n">
        <v>0</v>
      </c>
      <c r="M399" t="n">
        <v>0</v>
      </c>
      <c r="N399" t="n">
        <v>0</v>
      </c>
      <c r="O399" t="n">
        <v>0</v>
      </c>
      <c r="P399" t="n">
        <v>0</v>
      </c>
      <c r="Q399" t="n">
        <v>0</v>
      </c>
      <c r="R399" t="n">
        <v>0</v>
      </c>
      <c r="S399" t="n">
        <v>0</v>
      </c>
      <c r="T399" t="n">
        <v>0</v>
      </c>
      <c r="U399" s="2" t="inlineStr"/>
    </row>
    <row r="400" ht="15" customHeight="1">
      <c r="A400" t="inlineStr">
        <is>
          <t>A 15043-2025</t>
        </is>
      </c>
      <c r="B400" t="inlineStr">
        <is>
          <t>avverkningsanmälan</t>
        </is>
      </c>
      <c r="C400" t="inlineStr">
        <is>
          <t>Föryngringsavverkning</t>
        </is>
      </c>
      <c r="D400" s="1" t="n">
        <v>45743</v>
      </c>
      <c r="E400" s="1" t="n">
        <v>46218</v>
      </c>
      <c r="F400" t="inlineStr">
        <is>
          <t>NORRBOTTENS LÄN</t>
        </is>
      </c>
      <c r="G400" t="inlineStr">
        <is>
          <t>ÖVERTORNEÅ</t>
        </is>
      </c>
      <c r="I400" t="n">
        <v>3.9</v>
      </c>
      <c r="J400" t="n">
        <v>0</v>
      </c>
      <c r="K400" t="n">
        <v>0</v>
      </c>
      <c r="L400" t="n">
        <v>0</v>
      </c>
      <c r="M400" t="n">
        <v>0</v>
      </c>
      <c r="N400" t="n">
        <v>0</v>
      </c>
      <c r="O400" t="n">
        <v>0</v>
      </c>
      <c r="P400" t="n">
        <v>0</v>
      </c>
      <c r="Q400" t="n">
        <v>0</v>
      </c>
      <c r="R400" t="n">
        <v>0</v>
      </c>
      <c r="S400" t="n">
        <v>0</v>
      </c>
      <c r="T400" t="n">
        <v>0</v>
      </c>
      <c r="U400" s="2" t="inlineStr"/>
    </row>
    <row r="401" ht="15" customHeight="1">
      <c r="A401" t="inlineStr">
        <is>
          <t>A 24388-2026</t>
        </is>
      </c>
      <c r="B401" t="inlineStr">
        <is>
          <t>avverkningsanmälan</t>
        </is>
      </c>
      <c r="C401" t="inlineStr">
        <is>
          <t>Föryngringsavverkning</t>
        </is>
      </c>
      <c r="D401" s="1" t="n">
        <v>46167</v>
      </c>
      <c r="E401" s="1" t="n">
        <v>46218</v>
      </c>
      <c r="F401" t="inlineStr">
        <is>
          <t>NORRBOTTENS LÄN</t>
        </is>
      </c>
      <c r="G401" t="inlineStr">
        <is>
          <t>ÖVERTORNEÅ</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23913-2026</t>
        </is>
      </c>
      <c r="B402" t="inlineStr">
        <is>
          <t>avverkningsanmälan</t>
        </is>
      </c>
      <c r="C402" t="inlineStr">
        <is>
          <t>Föryngringsavverkning</t>
        </is>
      </c>
      <c r="D402" s="1" t="n">
        <v>46167</v>
      </c>
      <c r="E402" s="1" t="n">
        <v>46218</v>
      </c>
      <c r="F402" t="inlineStr">
        <is>
          <t>NORRBOTTENS LÄN</t>
        </is>
      </c>
      <c r="G402" t="inlineStr">
        <is>
          <t>ÖVERTORNEÅ</t>
        </is>
      </c>
      <c r="I402" t="n">
        <v>2</v>
      </c>
      <c r="J402" t="n">
        <v>0</v>
      </c>
      <c r="K402" t="n">
        <v>0</v>
      </c>
      <c r="L402" t="n">
        <v>0</v>
      </c>
      <c r="M402" t="n">
        <v>0</v>
      </c>
      <c r="N402" t="n">
        <v>0</v>
      </c>
      <c r="O402" t="n">
        <v>0</v>
      </c>
      <c r="P402" t="n">
        <v>0</v>
      </c>
      <c r="Q402" t="n">
        <v>0</v>
      </c>
      <c r="R402" t="n">
        <v>0</v>
      </c>
      <c r="S402" t="n">
        <v>0</v>
      </c>
      <c r="T402" t="n">
        <v>0</v>
      </c>
      <c r="U402" s="2" t="inlineStr"/>
    </row>
    <row r="403" ht="15" customHeight="1">
      <c r="A403" t="inlineStr">
        <is>
          <t>A 23911-2026</t>
        </is>
      </c>
      <c r="B403" t="inlineStr">
        <is>
          <t>avverkningsanmälan</t>
        </is>
      </c>
      <c r="C403" t="inlineStr">
        <is>
          <t>Föryngringsavverkning</t>
        </is>
      </c>
      <c r="D403" s="1" t="n">
        <v>46167</v>
      </c>
      <c r="E403" s="1" t="n">
        <v>46218</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1859-2026</t>
        </is>
      </c>
      <c r="B404" t="inlineStr">
        <is>
          <t>avverkningsanmälan</t>
        </is>
      </c>
      <c r="C404" t="inlineStr">
        <is>
          <t>Föryngringsavverkning</t>
        </is>
      </c>
      <c r="D404" s="1" t="n">
        <v>46035</v>
      </c>
      <c r="E404" s="1" t="n">
        <v>46218</v>
      </c>
      <c r="F404" t="inlineStr">
        <is>
          <t>NORRBOTTENS LÄN</t>
        </is>
      </c>
      <c r="G404" t="inlineStr">
        <is>
          <t>ÖVERTORNEÅ</t>
        </is>
      </c>
      <c r="I404" t="n">
        <v>5.3</v>
      </c>
      <c r="J404" t="n">
        <v>0</v>
      </c>
      <c r="K404" t="n">
        <v>0</v>
      </c>
      <c r="L404" t="n">
        <v>0</v>
      </c>
      <c r="M404" t="n">
        <v>0</v>
      </c>
      <c r="N404" t="n">
        <v>0</v>
      </c>
      <c r="O404" t="n">
        <v>0</v>
      </c>
      <c r="P404" t="n">
        <v>0</v>
      </c>
      <c r="Q404" t="n">
        <v>0</v>
      </c>
      <c r="R404" t="n">
        <v>0</v>
      </c>
      <c r="S404" t="n">
        <v>0</v>
      </c>
      <c r="T404" t="n">
        <v>0</v>
      </c>
      <c r="U404" s="2" t="inlineStr"/>
    </row>
    <row r="405" ht="15" customHeight="1">
      <c r="A405" t="inlineStr">
        <is>
          <t>A 24381-2026</t>
        </is>
      </c>
      <c r="B405" t="inlineStr">
        <is>
          <t>avverkningsanmälan</t>
        </is>
      </c>
      <c r="C405" t="inlineStr">
        <is>
          <t>Föryngringsavverkning</t>
        </is>
      </c>
      <c r="D405" s="1" t="n">
        <v>46167</v>
      </c>
      <c r="E405" s="1" t="n">
        <v>46218</v>
      </c>
      <c r="F405" t="inlineStr">
        <is>
          <t>NORRBOTTENS LÄN</t>
        </is>
      </c>
      <c r="G405" t="inlineStr">
        <is>
          <t>ÖVERTORNEÅ</t>
        </is>
      </c>
      <c r="I405" t="n">
        <v>6.8</v>
      </c>
      <c r="J405" t="n">
        <v>0</v>
      </c>
      <c r="K405" t="n">
        <v>0</v>
      </c>
      <c r="L405" t="n">
        <v>0</v>
      </c>
      <c r="M405" t="n">
        <v>0</v>
      </c>
      <c r="N405" t="n">
        <v>0</v>
      </c>
      <c r="O405" t="n">
        <v>0</v>
      </c>
      <c r="P405" t="n">
        <v>0</v>
      </c>
      <c r="Q405" t="n">
        <v>0</v>
      </c>
      <c r="R405" t="n">
        <v>0</v>
      </c>
      <c r="S405" t="n">
        <v>0</v>
      </c>
      <c r="T405" t="n">
        <v>0</v>
      </c>
      <c r="U405" s="2" t="inlineStr"/>
    </row>
    <row r="406" ht="15" customHeight="1">
      <c r="A406" t="inlineStr">
        <is>
          <t>A 24396-2026</t>
        </is>
      </c>
      <c r="B406" t="inlineStr">
        <is>
          <t>avverkningsanmälan</t>
        </is>
      </c>
      <c r="C406" t="inlineStr">
        <is>
          <t>Föryngringsavverkning</t>
        </is>
      </c>
      <c r="D406" s="1" t="n">
        <v>46167</v>
      </c>
      <c r="E406" s="1" t="n">
        <v>46218</v>
      </c>
      <c r="F406" t="inlineStr">
        <is>
          <t>NORRBOTTENS LÄN</t>
        </is>
      </c>
      <c r="G406" t="inlineStr">
        <is>
          <t>ÖVERTORNEÅ</t>
        </is>
      </c>
      <c r="I406" t="n">
        <v>4.5</v>
      </c>
      <c r="J406" t="n">
        <v>0</v>
      </c>
      <c r="K406" t="n">
        <v>0</v>
      </c>
      <c r="L406" t="n">
        <v>0</v>
      </c>
      <c r="M406" t="n">
        <v>0</v>
      </c>
      <c r="N406" t="n">
        <v>0</v>
      </c>
      <c r="O406" t="n">
        <v>0</v>
      </c>
      <c r="P406" t="n">
        <v>0</v>
      </c>
      <c r="Q406" t="n">
        <v>0</v>
      </c>
      <c r="R406" t="n">
        <v>0</v>
      </c>
      <c r="S406" t="n">
        <v>0</v>
      </c>
      <c r="T406" t="n">
        <v>0</v>
      </c>
      <c r="U406" s="2" t="inlineStr"/>
    </row>
    <row r="407" ht="15" customHeight="1">
      <c r="A407" t="inlineStr">
        <is>
          <t>A 24401-2026</t>
        </is>
      </c>
      <c r="B407" t="inlineStr">
        <is>
          <t>avverkningsanmälan</t>
        </is>
      </c>
      <c r="C407" t="inlineStr">
        <is>
          <t>Föryngringsavverkning</t>
        </is>
      </c>
      <c r="D407" s="1" t="n">
        <v>46167</v>
      </c>
      <c r="E407" s="1" t="n">
        <v>46218</v>
      </c>
      <c r="F407" t="inlineStr">
        <is>
          <t>NORRBOTTENS LÄN</t>
        </is>
      </c>
      <c r="G407" t="inlineStr">
        <is>
          <t>ÖVERTORNEÅ</t>
        </is>
      </c>
      <c r="I407" t="n">
        <v>16.5</v>
      </c>
      <c r="J407" t="n">
        <v>0</v>
      </c>
      <c r="K407" t="n">
        <v>0</v>
      </c>
      <c r="L407" t="n">
        <v>0</v>
      </c>
      <c r="M407" t="n">
        <v>0</v>
      </c>
      <c r="N407" t="n">
        <v>0</v>
      </c>
      <c r="O407" t="n">
        <v>0</v>
      </c>
      <c r="P407" t="n">
        <v>0</v>
      </c>
      <c r="Q407" t="n">
        <v>0</v>
      </c>
      <c r="R407" t="n">
        <v>0</v>
      </c>
      <c r="S407" t="n">
        <v>0</v>
      </c>
      <c r="T407" t="n">
        <v>0</v>
      </c>
      <c r="U407" s="2" t="inlineStr"/>
    </row>
    <row r="408" ht="15" customHeight="1">
      <c r="A408" t="inlineStr">
        <is>
          <t>A 23991-2026</t>
        </is>
      </c>
      <c r="B408" t="inlineStr">
        <is>
          <t>avverkningsanmälan</t>
        </is>
      </c>
      <c r="C408" t="inlineStr">
        <is>
          <t>Föryngringsavverkning</t>
        </is>
      </c>
      <c r="D408" s="1" t="n">
        <v>46167</v>
      </c>
      <c r="E408" s="1" t="n">
        <v>46218</v>
      </c>
      <c r="F408" t="inlineStr">
        <is>
          <t>NORRBOTTENS LÄN</t>
        </is>
      </c>
      <c r="G408" t="inlineStr">
        <is>
          <t>ÖVERTORNEÅ</t>
        </is>
      </c>
      <c r="I408" t="n">
        <v>4.2</v>
      </c>
      <c r="J408" t="n">
        <v>0</v>
      </c>
      <c r="K408" t="n">
        <v>0</v>
      </c>
      <c r="L408" t="n">
        <v>0</v>
      </c>
      <c r="M408" t="n">
        <v>0</v>
      </c>
      <c r="N408" t="n">
        <v>0</v>
      </c>
      <c r="O408" t="n">
        <v>0</v>
      </c>
      <c r="P408" t="n">
        <v>0</v>
      </c>
      <c r="Q408" t="n">
        <v>0</v>
      </c>
      <c r="R408" t="n">
        <v>0</v>
      </c>
      <c r="S408" t="n">
        <v>0</v>
      </c>
      <c r="T408" t="n">
        <v>0</v>
      </c>
      <c r="U408" s="2" t="inlineStr"/>
    </row>
    <row r="409" ht="15" customHeight="1">
      <c r="A409" t="inlineStr">
        <is>
          <t>A 23955-2026</t>
        </is>
      </c>
      <c r="B409" t="inlineStr">
        <is>
          <t>avverkningsanmälan</t>
        </is>
      </c>
      <c r="C409" t="inlineStr">
        <is>
          <t>Föryngringsavverkning</t>
        </is>
      </c>
      <c r="D409" s="1" t="n">
        <v>46167</v>
      </c>
      <c r="E409" s="1" t="n">
        <v>46218</v>
      </c>
      <c r="F409" t="inlineStr">
        <is>
          <t>NORRBOTTENS LÄN</t>
        </is>
      </c>
      <c r="G409" t="inlineStr">
        <is>
          <t>ÖVERTORNEÅ</t>
        </is>
      </c>
      <c r="I409" t="n">
        <v>4.2</v>
      </c>
      <c r="J409" t="n">
        <v>0</v>
      </c>
      <c r="K409" t="n">
        <v>0</v>
      </c>
      <c r="L409" t="n">
        <v>0</v>
      </c>
      <c r="M409" t="n">
        <v>0</v>
      </c>
      <c r="N409" t="n">
        <v>0</v>
      </c>
      <c r="O409" t="n">
        <v>0</v>
      </c>
      <c r="P409" t="n">
        <v>0</v>
      </c>
      <c r="Q409" t="n">
        <v>0</v>
      </c>
      <c r="R409" t="n">
        <v>0</v>
      </c>
      <c r="S409" t="n">
        <v>0</v>
      </c>
      <c r="T409" t="n">
        <v>0</v>
      </c>
      <c r="U409" s="2" t="inlineStr"/>
    </row>
    <row r="410" ht="15" customHeight="1">
      <c r="A410" t="inlineStr">
        <is>
          <t>A 35593-2025</t>
        </is>
      </c>
      <c r="B410" t="inlineStr">
        <is>
          <t>avverkningsanmälan</t>
        </is>
      </c>
      <c r="C410" t="inlineStr">
        <is>
          <t>Föryngringsavverkning</t>
        </is>
      </c>
      <c r="D410" s="1" t="n">
        <v>45857</v>
      </c>
      <c r="E410" s="1" t="n">
        <v>46218</v>
      </c>
      <c r="F410" t="inlineStr">
        <is>
          <t>NORRBOTTENS LÄN</t>
        </is>
      </c>
      <c r="G410" t="inlineStr">
        <is>
          <t>ÖVERTORNEÅ</t>
        </is>
      </c>
      <c r="I410" t="n">
        <v>3.1</v>
      </c>
      <c r="J410" t="n">
        <v>0</v>
      </c>
      <c r="K410" t="n">
        <v>0</v>
      </c>
      <c r="L410" t="n">
        <v>0</v>
      </c>
      <c r="M410" t="n">
        <v>0</v>
      </c>
      <c r="N410" t="n">
        <v>0</v>
      </c>
      <c r="O410" t="n">
        <v>0</v>
      </c>
      <c r="P410" t="n">
        <v>0</v>
      </c>
      <c r="Q410" t="n">
        <v>0</v>
      </c>
      <c r="R410" t="n">
        <v>0</v>
      </c>
      <c r="S410" t="n">
        <v>0</v>
      </c>
      <c r="T410" t="n">
        <v>0</v>
      </c>
      <c r="U410" s="2" t="inlineStr"/>
    </row>
    <row r="411" ht="15" customHeight="1">
      <c r="A411" t="inlineStr">
        <is>
          <t>A 1470-2025</t>
        </is>
      </c>
      <c r="B411" t="inlineStr">
        <is>
          <t>avverkningsanmälan</t>
        </is>
      </c>
      <c r="C411" t="inlineStr">
        <is>
          <t>Föryngringsavverkning</t>
        </is>
      </c>
      <c r="D411" s="1" t="n">
        <v>45670</v>
      </c>
      <c r="E411" s="1" t="n">
        <v>46218</v>
      </c>
      <c r="F411" t="inlineStr">
        <is>
          <t>NORRBOTTENS LÄN</t>
        </is>
      </c>
      <c r="G411" t="inlineStr">
        <is>
          <t>ÖVERTORNEÅ</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1469-2025</t>
        </is>
      </c>
      <c r="B412" t="inlineStr">
        <is>
          <t>avverkningsanmälan</t>
        </is>
      </c>
      <c r="C412" t="inlineStr">
        <is>
          <t>Föryngringsavverkning</t>
        </is>
      </c>
      <c r="D412" s="1" t="n">
        <v>45670</v>
      </c>
      <c r="E412" s="1" t="n">
        <v>46218</v>
      </c>
      <c r="F412" t="inlineStr">
        <is>
          <t>NORRBOTTENS LÄN</t>
        </is>
      </c>
      <c r="G412" t="inlineStr">
        <is>
          <t>ÖVERTORNEÅ</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10921-2026</t>
        </is>
      </c>
      <c r="B413" t="inlineStr">
        <is>
          <t>avverkningsanmälan</t>
        </is>
      </c>
      <c r="C413" t="inlineStr">
        <is>
          <t>Föryngringsavverkning</t>
        </is>
      </c>
      <c r="D413" s="1" t="n">
        <v>46079</v>
      </c>
      <c r="E413" s="1" t="n">
        <v>46218</v>
      </c>
      <c r="F413" t="inlineStr">
        <is>
          <t>NORRBOTTENS LÄN</t>
        </is>
      </c>
      <c r="G413" t="inlineStr">
        <is>
          <t>ÖVERTORNEÅ</t>
        </is>
      </c>
      <c r="I413" t="n">
        <v>5.4</v>
      </c>
      <c r="J413" t="n">
        <v>0</v>
      </c>
      <c r="K413" t="n">
        <v>0</v>
      </c>
      <c r="L413" t="n">
        <v>0</v>
      </c>
      <c r="M413" t="n">
        <v>0</v>
      </c>
      <c r="N413" t="n">
        <v>0</v>
      </c>
      <c r="O413" t="n">
        <v>0</v>
      </c>
      <c r="P413" t="n">
        <v>0</v>
      </c>
      <c r="Q413" t="n">
        <v>0</v>
      </c>
      <c r="R413" t="n">
        <v>0</v>
      </c>
      <c r="S413" t="n">
        <v>0</v>
      </c>
      <c r="T413" t="n">
        <v>0</v>
      </c>
      <c r="U413" s="2" t="inlineStr"/>
    </row>
    <row r="414" ht="15" customHeight="1">
      <c r="A414" t="inlineStr">
        <is>
          <t>A 11203-2026</t>
        </is>
      </c>
      <c r="B414" t="inlineStr">
        <is>
          <t>avverkningsanmälan</t>
        </is>
      </c>
      <c r="C414" t="inlineStr">
        <is>
          <t>Föryngringsavverkning</t>
        </is>
      </c>
      <c r="D414" s="1" t="n">
        <v>46080</v>
      </c>
      <c r="E414" s="1" t="n">
        <v>46218</v>
      </c>
      <c r="F414" t="inlineStr">
        <is>
          <t>NORRBOTTENS LÄN</t>
        </is>
      </c>
      <c r="G414" t="inlineStr">
        <is>
          <t>ÖVERTORNEÅ</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11280-2026</t>
        </is>
      </c>
      <c r="B415" t="inlineStr">
        <is>
          <t>avverkningsanmälan</t>
        </is>
      </c>
      <c r="C415" t="inlineStr">
        <is>
          <t>Föryngringsavverkning</t>
        </is>
      </c>
      <c r="D415" s="1" t="n">
        <v>46080</v>
      </c>
      <c r="E415" s="1" t="n">
        <v>46218</v>
      </c>
      <c r="F415" t="inlineStr">
        <is>
          <t>NORRBOTTENS LÄN</t>
        </is>
      </c>
      <c r="G415" t="inlineStr">
        <is>
          <t>ÖVERTORNEÅ</t>
        </is>
      </c>
      <c r="I415" t="n">
        <v>7.8</v>
      </c>
      <c r="J415" t="n">
        <v>0</v>
      </c>
      <c r="K415" t="n">
        <v>0</v>
      </c>
      <c r="L415" t="n">
        <v>0</v>
      </c>
      <c r="M415" t="n">
        <v>0</v>
      </c>
      <c r="N415" t="n">
        <v>0</v>
      </c>
      <c r="O415" t="n">
        <v>0</v>
      </c>
      <c r="P415" t="n">
        <v>0</v>
      </c>
      <c r="Q415" t="n">
        <v>0</v>
      </c>
      <c r="R415" t="n">
        <v>0</v>
      </c>
      <c r="S415" t="n">
        <v>0</v>
      </c>
      <c r="T415" t="n">
        <v>0</v>
      </c>
      <c r="U415" s="2" t="inlineStr"/>
    </row>
    <row r="416" ht="15" customHeight="1">
      <c r="A416" t="inlineStr">
        <is>
          <t>A 23423-2025</t>
        </is>
      </c>
      <c r="B416" t="inlineStr">
        <is>
          <t>avverkningsanmälan</t>
        </is>
      </c>
      <c r="C416" t="inlineStr">
        <is>
          <t>Föryngringsavverkning</t>
        </is>
      </c>
      <c r="D416" s="1" t="n">
        <v>45792</v>
      </c>
      <c r="E416" s="1" t="n">
        <v>46218</v>
      </c>
      <c r="F416" t="inlineStr">
        <is>
          <t>NORRBOTTENS LÄN</t>
        </is>
      </c>
      <c r="G416" t="inlineStr">
        <is>
          <t>ÖVERTORNEÅ</t>
        </is>
      </c>
      <c r="I416" t="n">
        <v>3.3</v>
      </c>
      <c r="J416" t="n">
        <v>0</v>
      </c>
      <c r="K416" t="n">
        <v>0</v>
      </c>
      <c r="L416" t="n">
        <v>0</v>
      </c>
      <c r="M416" t="n">
        <v>0</v>
      </c>
      <c r="N416" t="n">
        <v>0</v>
      </c>
      <c r="O416" t="n">
        <v>0</v>
      </c>
      <c r="P416" t="n">
        <v>0</v>
      </c>
      <c r="Q416" t="n">
        <v>0</v>
      </c>
      <c r="R416" t="n">
        <v>0</v>
      </c>
      <c r="S416" t="n">
        <v>0</v>
      </c>
      <c r="T416" t="n">
        <v>0</v>
      </c>
      <c r="U416" s="2" t="inlineStr"/>
    </row>
    <row r="417" ht="15" customHeight="1">
      <c r="A417" t="inlineStr">
        <is>
          <t>A 30567-2026</t>
        </is>
      </c>
      <c r="B417" t="inlineStr">
        <is>
          <t>avverkningsanmälan</t>
        </is>
      </c>
      <c r="C417" t="inlineStr">
        <is>
          <t>Föryngringsavverkning</t>
        </is>
      </c>
      <c r="D417" s="1" t="n">
        <v>46210</v>
      </c>
      <c r="E417" s="1" t="n">
        <v>46218</v>
      </c>
      <c r="F417" t="inlineStr">
        <is>
          <t>NORRBOTTENS LÄN</t>
        </is>
      </c>
      <c r="G417" t="inlineStr">
        <is>
          <t>ÖVERTORNEÅ</t>
        </is>
      </c>
      <c r="I417" t="n">
        <v>20.4</v>
      </c>
      <c r="J417" t="n">
        <v>0</v>
      </c>
      <c r="K417" t="n">
        <v>0</v>
      </c>
      <c r="L417" t="n">
        <v>0</v>
      </c>
      <c r="M417" t="n">
        <v>0</v>
      </c>
      <c r="N417" t="n">
        <v>0</v>
      </c>
      <c r="O417" t="n">
        <v>0</v>
      </c>
      <c r="P417" t="n">
        <v>0</v>
      </c>
      <c r="Q417" t="n">
        <v>0</v>
      </c>
      <c r="R417" t="n">
        <v>0</v>
      </c>
      <c r="S417" t="n">
        <v>0</v>
      </c>
      <c r="T417" t="n">
        <v>0</v>
      </c>
      <c r="U417" s="2" t="inlineStr"/>
    </row>
    <row r="418" ht="15" customHeight="1">
      <c r="A418" t="inlineStr">
        <is>
          <t>A 12456-2026</t>
        </is>
      </c>
      <c r="B418" t="inlineStr">
        <is>
          <t>avverkningsanmälan</t>
        </is>
      </c>
      <c r="C418" t="inlineStr">
        <is>
          <t>Föryngringsavverkning</t>
        </is>
      </c>
      <c r="D418" s="1" t="n">
        <v>46090</v>
      </c>
      <c r="E418" s="1" t="n">
        <v>46218</v>
      </c>
      <c r="F418" t="inlineStr">
        <is>
          <t>NORRBOTTENS LÄN</t>
        </is>
      </c>
      <c r="G418" t="inlineStr">
        <is>
          <t>ÖVERTORNEÅ</t>
        </is>
      </c>
      <c r="I418" t="n">
        <v>3.9</v>
      </c>
      <c r="J418" t="n">
        <v>0</v>
      </c>
      <c r="K418" t="n">
        <v>0</v>
      </c>
      <c r="L418" t="n">
        <v>0</v>
      </c>
      <c r="M418" t="n">
        <v>0</v>
      </c>
      <c r="N418" t="n">
        <v>0</v>
      </c>
      <c r="O418" t="n">
        <v>0</v>
      </c>
      <c r="P418" t="n">
        <v>0</v>
      </c>
      <c r="Q418" t="n">
        <v>0</v>
      </c>
      <c r="R418" t="n">
        <v>0</v>
      </c>
      <c r="S418" t="n">
        <v>0</v>
      </c>
      <c r="T418" t="n">
        <v>0</v>
      </c>
      <c r="U418" s="2" t="inlineStr"/>
    </row>
    <row r="419" ht="15" customHeight="1">
      <c r="A419" t="inlineStr">
        <is>
          <t>A 24803-2026</t>
        </is>
      </c>
      <c r="B419" t="inlineStr">
        <is>
          <t>avverkningsanmälan</t>
        </is>
      </c>
      <c r="C419" t="inlineStr">
        <is>
          <t>Föryngringsavverkning</t>
        </is>
      </c>
      <c r="D419" s="1" t="n">
        <v>46171</v>
      </c>
      <c r="E419" s="1" t="n">
        <v>46218</v>
      </c>
      <c r="F419" t="inlineStr">
        <is>
          <t>NORRBOTTENS LÄN</t>
        </is>
      </c>
      <c r="G419" t="inlineStr">
        <is>
          <t>ÖVERTORNEÅ</t>
        </is>
      </c>
      <c r="H419" t="inlineStr">
        <is>
          <t>Sveaskog</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13383-2026</t>
        </is>
      </c>
      <c r="B420" t="inlineStr">
        <is>
          <t>avverkningsanmälan</t>
        </is>
      </c>
      <c r="C420" t="inlineStr">
        <is>
          <t>Föryngringsavverkning</t>
        </is>
      </c>
      <c r="D420" s="1" t="n">
        <v>46094</v>
      </c>
      <c r="E420" s="1" t="n">
        <v>46218</v>
      </c>
      <c r="F420" t="inlineStr">
        <is>
          <t>NORRBOTTENS LÄN</t>
        </is>
      </c>
      <c r="G420" t="inlineStr">
        <is>
          <t>ÖVERTORNEÅ</t>
        </is>
      </c>
      <c r="I420" t="n">
        <v>16.5</v>
      </c>
      <c r="J420" t="n">
        <v>0</v>
      </c>
      <c r="K420" t="n">
        <v>0</v>
      </c>
      <c r="L420" t="n">
        <v>0</v>
      </c>
      <c r="M420" t="n">
        <v>0</v>
      </c>
      <c r="N420" t="n">
        <v>0</v>
      </c>
      <c r="O420" t="n">
        <v>0</v>
      </c>
      <c r="P420" t="n">
        <v>0</v>
      </c>
      <c r="Q420" t="n">
        <v>0</v>
      </c>
      <c r="R420" t="n">
        <v>0</v>
      </c>
      <c r="S420" t="n">
        <v>0</v>
      </c>
      <c r="T420" t="n">
        <v>0</v>
      </c>
      <c r="U420" s="2" t="inlineStr"/>
    </row>
    <row r="421" ht="15" customHeight="1">
      <c r="A421" t="inlineStr">
        <is>
          <t>A 24972-2026</t>
        </is>
      </c>
      <c r="B421" t="inlineStr">
        <is>
          <t>avverkningsanmälan</t>
        </is>
      </c>
      <c r="C421" t="inlineStr">
        <is>
          <t>Föryngringsavverkning</t>
        </is>
      </c>
      <c r="D421" s="1" t="n">
        <v>46174</v>
      </c>
      <c r="E421" s="1" t="n">
        <v>46218</v>
      </c>
      <c r="F421" t="inlineStr">
        <is>
          <t>NORRBOTTENS LÄN</t>
        </is>
      </c>
      <c r="G421" t="inlineStr">
        <is>
          <t>ÖVERTORNEÅ</t>
        </is>
      </c>
      <c r="I421" t="n">
        <v>10.1</v>
      </c>
      <c r="J421" t="n">
        <v>0</v>
      </c>
      <c r="K421" t="n">
        <v>0</v>
      </c>
      <c r="L421" t="n">
        <v>0</v>
      </c>
      <c r="M421" t="n">
        <v>0</v>
      </c>
      <c r="N421" t="n">
        <v>0</v>
      </c>
      <c r="O421" t="n">
        <v>0</v>
      </c>
      <c r="P421" t="n">
        <v>0</v>
      </c>
      <c r="Q421" t="n">
        <v>0</v>
      </c>
      <c r="R421" t="n">
        <v>0</v>
      </c>
      <c r="S421" t="n">
        <v>0</v>
      </c>
      <c r="T421" t="n">
        <v>0</v>
      </c>
      <c r="U421" s="2" t="inlineStr"/>
    </row>
    <row r="422" ht="15" customHeight="1">
      <c r="A422" t="inlineStr">
        <is>
          <t>A 13371-2026</t>
        </is>
      </c>
      <c r="B422" t="inlineStr">
        <is>
          <t>avverkningsanmälan</t>
        </is>
      </c>
      <c r="C422" t="inlineStr">
        <is>
          <t>Föryngringsavverkning</t>
        </is>
      </c>
      <c r="D422" s="1" t="n">
        <v>46094</v>
      </c>
      <c r="E422" s="1" t="n">
        <v>46218</v>
      </c>
      <c r="F422" t="inlineStr">
        <is>
          <t>NORRBOTTENS LÄN</t>
        </is>
      </c>
      <c r="G422" t="inlineStr">
        <is>
          <t>ÖVERTORNEÅ</t>
        </is>
      </c>
      <c r="I422" t="n">
        <v>6.9</v>
      </c>
      <c r="J422" t="n">
        <v>0</v>
      </c>
      <c r="K422" t="n">
        <v>0</v>
      </c>
      <c r="L422" t="n">
        <v>0</v>
      </c>
      <c r="M422" t="n">
        <v>0</v>
      </c>
      <c r="N422" t="n">
        <v>0</v>
      </c>
      <c r="O422" t="n">
        <v>0</v>
      </c>
      <c r="P422" t="n">
        <v>0</v>
      </c>
      <c r="Q422" t="n">
        <v>0</v>
      </c>
      <c r="R422" t="n">
        <v>0</v>
      </c>
      <c r="S422" t="n">
        <v>0</v>
      </c>
      <c r="T422" t="n">
        <v>0</v>
      </c>
      <c r="U422" s="2" t="inlineStr"/>
    </row>
    <row r="423" ht="15" customHeight="1">
      <c r="A423" t="inlineStr">
        <is>
          <t>A 13374-2026</t>
        </is>
      </c>
      <c r="B423" t="inlineStr">
        <is>
          <t>avverkningsanmälan</t>
        </is>
      </c>
      <c r="C423" t="inlineStr">
        <is>
          <t>Föryngringsavverkning</t>
        </is>
      </c>
      <c r="D423" s="1" t="n">
        <v>46094</v>
      </c>
      <c r="E423" s="1" t="n">
        <v>46218</v>
      </c>
      <c r="F423" t="inlineStr">
        <is>
          <t>NORRBOTTENS LÄN</t>
        </is>
      </c>
      <c r="G423" t="inlineStr">
        <is>
          <t>ÖVERTORNEÅ</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31196-2026</t>
        </is>
      </c>
      <c r="B424" t="inlineStr">
        <is>
          <t>avverkningsanmälan</t>
        </is>
      </c>
      <c r="C424" t="inlineStr">
        <is>
          <t>Föryngringsavverkning</t>
        </is>
      </c>
      <c r="D424" s="1" t="n">
        <v>46217</v>
      </c>
      <c r="E424" s="1" t="n">
        <v>46218</v>
      </c>
      <c r="F424" t="inlineStr">
        <is>
          <t>NORRBOTTENS LÄN</t>
        </is>
      </c>
      <c r="G424" t="inlineStr">
        <is>
          <t>ÖVERTORNEÅ</t>
        </is>
      </c>
      <c r="I424" t="n">
        <v>8.4</v>
      </c>
      <c r="J424" t="n">
        <v>0</v>
      </c>
      <c r="K424" t="n">
        <v>0</v>
      </c>
      <c r="L424" t="n">
        <v>0</v>
      </c>
      <c r="M424" t="n">
        <v>0</v>
      </c>
      <c r="N424" t="n">
        <v>0</v>
      </c>
      <c r="O424" t="n">
        <v>0</v>
      </c>
      <c r="P424" t="n">
        <v>0</v>
      </c>
      <c r="Q424" t="n">
        <v>0</v>
      </c>
      <c r="R424" t="n">
        <v>0</v>
      </c>
      <c r="S424" t="n">
        <v>0</v>
      </c>
      <c r="T424" t="n">
        <v>0</v>
      </c>
      <c r="U424" s="2" t="inlineStr"/>
    </row>
    <row r="425" ht="15" customHeight="1">
      <c r="A425" t="inlineStr">
        <is>
          <t>A 14418-2026</t>
        </is>
      </c>
      <c r="B425" t="inlineStr">
        <is>
          <t>avverkningsanmälan</t>
        </is>
      </c>
      <c r="C425" t="inlineStr">
        <is>
          <t>Föryngringsavverkning</t>
        </is>
      </c>
      <c r="D425" s="1" t="n">
        <v>46100</v>
      </c>
      <c r="E425" s="1" t="n">
        <v>46218</v>
      </c>
      <c r="F425" t="inlineStr">
        <is>
          <t>NORRBOTTENS LÄN</t>
        </is>
      </c>
      <c r="G425" t="inlineStr">
        <is>
          <t>ÖVERTORNEÅ</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14420-2026</t>
        </is>
      </c>
      <c r="B426" t="inlineStr">
        <is>
          <t>avverkningsanmälan</t>
        </is>
      </c>
      <c r="C426" t="inlineStr">
        <is>
          <t>Föryngringsavverkning</t>
        </is>
      </c>
      <c r="D426" s="1" t="n">
        <v>46100</v>
      </c>
      <c r="E426" s="1" t="n">
        <v>46218</v>
      </c>
      <c r="F426" t="inlineStr">
        <is>
          <t>NORRBOTTENS LÄN</t>
        </is>
      </c>
      <c r="G426" t="inlineStr">
        <is>
          <t>ÖVERTORNEÅ</t>
        </is>
      </c>
      <c r="I426" t="n">
        <v>4.5</v>
      </c>
      <c r="J426" t="n">
        <v>0</v>
      </c>
      <c r="K426" t="n">
        <v>0</v>
      </c>
      <c r="L426" t="n">
        <v>0</v>
      </c>
      <c r="M426" t="n">
        <v>0</v>
      </c>
      <c r="N426" t="n">
        <v>0</v>
      </c>
      <c r="O426" t="n">
        <v>0</v>
      </c>
      <c r="P426" t="n">
        <v>0</v>
      </c>
      <c r="Q426" t="n">
        <v>0</v>
      </c>
      <c r="R426" t="n">
        <v>0</v>
      </c>
      <c r="S426" t="n">
        <v>0</v>
      </c>
      <c r="T426" t="n">
        <v>0</v>
      </c>
      <c r="U426" s="2" t="inlineStr"/>
    </row>
    <row r="427" ht="15" customHeight="1">
      <c r="A427" t="inlineStr">
        <is>
          <t>A 14985-2026</t>
        </is>
      </c>
      <c r="B427" t="inlineStr">
        <is>
          <t>avverkningsanmälan</t>
        </is>
      </c>
      <c r="C427" t="inlineStr">
        <is>
          <t>Föryngringsavverkning</t>
        </is>
      </c>
      <c r="D427" s="1" t="n">
        <v>46104</v>
      </c>
      <c r="E427" s="1" t="n">
        <v>46218</v>
      </c>
      <c r="F427" t="inlineStr">
        <is>
          <t>NORRBOTTENS LÄN</t>
        </is>
      </c>
      <c r="G427" t="inlineStr">
        <is>
          <t>ÖVERTORNEÅ</t>
        </is>
      </c>
      <c r="I427" t="n">
        <v>20</v>
      </c>
      <c r="J427" t="n">
        <v>0</v>
      </c>
      <c r="K427" t="n">
        <v>0</v>
      </c>
      <c r="L427" t="n">
        <v>0</v>
      </c>
      <c r="M427" t="n">
        <v>0</v>
      </c>
      <c r="N427" t="n">
        <v>0</v>
      </c>
      <c r="O427" t="n">
        <v>0</v>
      </c>
      <c r="P427" t="n">
        <v>0</v>
      </c>
      <c r="Q427" t="n">
        <v>0</v>
      </c>
      <c r="R427" t="n">
        <v>0</v>
      </c>
      <c r="S427" t="n">
        <v>0</v>
      </c>
      <c r="T427" t="n">
        <v>0</v>
      </c>
      <c r="U427" s="2" t="inlineStr"/>
    </row>
    <row r="428" ht="15" customHeight="1">
      <c r="A428" t="inlineStr">
        <is>
          <t>A 16150-2026</t>
        </is>
      </c>
      <c r="B428" t="inlineStr">
        <is>
          <t>avverkningsanmälan</t>
        </is>
      </c>
      <c r="C428" t="inlineStr">
        <is>
          <t>Föryngringsavverkning</t>
        </is>
      </c>
      <c r="D428" s="1" t="n">
        <v>46108</v>
      </c>
      <c r="E428" s="1" t="n">
        <v>46218</v>
      </c>
      <c r="F428" t="inlineStr">
        <is>
          <t>NORRBOTTENS LÄN</t>
        </is>
      </c>
      <c r="G428" t="inlineStr">
        <is>
          <t>ÖVERTORNEÅ</t>
        </is>
      </c>
      <c r="I428" t="n">
        <v>14.9</v>
      </c>
      <c r="J428" t="n">
        <v>0</v>
      </c>
      <c r="K428" t="n">
        <v>0</v>
      </c>
      <c r="L428" t="n">
        <v>0</v>
      </c>
      <c r="M428" t="n">
        <v>0</v>
      </c>
      <c r="N428" t="n">
        <v>0</v>
      </c>
      <c r="O428" t="n">
        <v>0</v>
      </c>
      <c r="P428" t="n">
        <v>0</v>
      </c>
      <c r="Q428" t="n">
        <v>0</v>
      </c>
      <c r="R428" t="n">
        <v>0</v>
      </c>
      <c r="S428" t="n">
        <v>0</v>
      </c>
      <c r="T428" t="n">
        <v>0</v>
      </c>
      <c r="U428" s="2" t="inlineStr"/>
    </row>
    <row r="429" ht="15" customHeight="1">
      <c r="A429" t="inlineStr">
        <is>
          <t>A 16152-2026</t>
        </is>
      </c>
      <c r="B429" t="inlineStr">
        <is>
          <t>avverkningsanmälan</t>
        </is>
      </c>
      <c r="C429" t="inlineStr">
        <is>
          <t>Föryngringsavverkning</t>
        </is>
      </c>
      <c r="D429" s="1" t="n">
        <v>46108</v>
      </c>
      <c r="E429" s="1" t="n">
        <v>46218</v>
      </c>
      <c r="F429" t="inlineStr">
        <is>
          <t>NORRBOTTENS LÄN</t>
        </is>
      </c>
      <c r="G429" t="inlineStr">
        <is>
          <t>ÖVERTORNEÅ</t>
        </is>
      </c>
      <c r="I429" t="n">
        <v>11.1</v>
      </c>
      <c r="J429" t="n">
        <v>0</v>
      </c>
      <c r="K429" t="n">
        <v>0</v>
      </c>
      <c r="L429" t="n">
        <v>0</v>
      </c>
      <c r="M429" t="n">
        <v>0</v>
      </c>
      <c r="N429" t="n">
        <v>0</v>
      </c>
      <c r="O429" t="n">
        <v>0</v>
      </c>
      <c r="P429" t="n">
        <v>0</v>
      </c>
      <c r="Q429" t="n">
        <v>0</v>
      </c>
      <c r="R429" t="n">
        <v>0</v>
      </c>
      <c r="S429" t="n">
        <v>0</v>
      </c>
      <c r="T429" t="n">
        <v>0</v>
      </c>
      <c r="U429" s="2" t="inlineStr"/>
    </row>
    <row r="430" ht="15" customHeight="1">
      <c r="A430" t="inlineStr">
        <is>
          <t>A 16148-2026</t>
        </is>
      </c>
      <c r="B430" t="inlineStr">
        <is>
          <t>avverkningsanmälan</t>
        </is>
      </c>
      <c r="C430" t="inlineStr">
        <is>
          <t>Föryngringsavverkning</t>
        </is>
      </c>
      <c r="D430" s="1" t="n">
        <v>46108</v>
      </c>
      <c r="E430" s="1" t="n">
        <v>46218</v>
      </c>
      <c r="F430" t="inlineStr">
        <is>
          <t>NORRBOTTENS LÄN</t>
        </is>
      </c>
      <c r="G430" t="inlineStr">
        <is>
          <t>ÖVERTORNEÅ</t>
        </is>
      </c>
      <c r="I430" t="n">
        <v>4.8</v>
      </c>
      <c r="J430" t="n">
        <v>0</v>
      </c>
      <c r="K430" t="n">
        <v>0</v>
      </c>
      <c r="L430" t="n">
        <v>0</v>
      </c>
      <c r="M430" t="n">
        <v>0</v>
      </c>
      <c r="N430" t="n">
        <v>0</v>
      </c>
      <c r="O430" t="n">
        <v>0</v>
      </c>
      <c r="P430" t="n">
        <v>0</v>
      </c>
      <c r="Q430" t="n">
        <v>0</v>
      </c>
      <c r="R430" t="n">
        <v>0</v>
      </c>
      <c r="S430" t="n">
        <v>0</v>
      </c>
      <c r="T430" t="n">
        <v>0</v>
      </c>
      <c r="U430" s="2" t="inlineStr"/>
    </row>
    <row r="431" ht="15" customHeight="1">
      <c r="A431" t="inlineStr">
        <is>
          <t>A 17987-2026</t>
        </is>
      </c>
      <c r="B431" t="inlineStr">
        <is>
          <t>avverkningsanmälan</t>
        </is>
      </c>
      <c r="C431" t="inlineStr">
        <is>
          <t>Föryngringsavverkning</t>
        </is>
      </c>
      <c r="D431" s="1" t="n">
        <v>46124</v>
      </c>
      <c r="E431" s="1" t="n">
        <v>46218</v>
      </c>
      <c r="F431" t="inlineStr">
        <is>
          <t>NORRBOTTENS LÄN</t>
        </is>
      </c>
      <c r="G431" t="inlineStr">
        <is>
          <t>ÖVERTORNEÅ</t>
        </is>
      </c>
      <c r="I431" t="n">
        <v>12.3</v>
      </c>
      <c r="J431" t="n">
        <v>0</v>
      </c>
      <c r="K431" t="n">
        <v>0</v>
      </c>
      <c r="L431" t="n">
        <v>0</v>
      </c>
      <c r="M431" t="n">
        <v>0</v>
      </c>
      <c r="N431" t="n">
        <v>0</v>
      </c>
      <c r="O431" t="n">
        <v>0</v>
      </c>
      <c r="P431" t="n">
        <v>0</v>
      </c>
      <c r="Q431" t="n">
        <v>0</v>
      </c>
      <c r="R431" t="n">
        <v>0</v>
      </c>
      <c r="S431" t="n">
        <v>0</v>
      </c>
      <c r="T431" t="n">
        <v>0</v>
      </c>
      <c r="U431" s="2" t="inlineStr"/>
    </row>
    <row r="432" ht="15" customHeight="1">
      <c r="A432" t="inlineStr">
        <is>
          <t>A 18925-2026</t>
        </is>
      </c>
      <c r="B432" t="inlineStr">
        <is>
          <t>avverkningsanmälan</t>
        </is>
      </c>
      <c r="C432" t="inlineStr">
        <is>
          <t>Föryngringsavverkning</t>
        </is>
      </c>
      <c r="D432" s="1" t="n">
        <v>46129</v>
      </c>
      <c r="E432" s="1" t="n">
        <v>46218</v>
      </c>
      <c r="F432" t="inlineStr">
        <is>
          <t>NORRBOTTENS LÄN</t>
        </is>
      </c>
      <c r="G432" t="inlineStr">
        <is>
          <t>ÖVERTORNEÅ</t>
        </is>
      </c>
      <c r="I432" t="n">
        <v>4.1</v>
      </c>
      <c r="J432" t="n">
        <v>0</v>
      </c>
      <c r="K432" t="n">
        <v>0</v>
      </c>
      <c r="L432" t="n">
        <v>0</v>
      </c>
      <c r="M432" t="n">
        <v>0</v>
      </c>
      <c r="N432" t="n">
        <v>0</v>
      </c>
      <c r="O432" t="n">
        <v>0</v>
      </c>
      <c r="P432" t="n">
        <v>0</v>
      </c>
      <c r="Q432" t="n">
        <v>0</v>
      </c>
      <c r="R432" t="n">
        <v>0</v>
      </c>
      <c r="S432" t="n">
        <v>0</v>
      </c>
      <c r="T432" t="n">
        <v>0</v>
      </c>
      <c r="U432" s="2" t="inlineStr"/>
    </row>
    <row r="433" ht="15" customHeight="1">
      <c r="A433" t="inlineStr">
        <is>
          <t>A 19100-2026</t>
        </is>
      </c>
      <c r="B433" t="inlineStr">
        <is>
          <t>avverkningsanmälan</t>
        </is>
      </c>
      <c r="C433" t="inlineStr">
        <is>
          <t>Föryngringsavverkning</t>
        </is>
      </c>
      <c r="D433" s="1" t="n">
        <v>46132</v>
      </c>
      <c r="E433" s="1" t="n">
        <v>46218</v>
      </c>
      <c r="F433" t="inlineStr">
        <is>
          <t>NORRBOTTENS LÄN</t>
        </is>
      </c>
      <c r="G433" t="inlineStr">
        <is>
          <t>ÖVERTORNEÅ</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25509-2026</t>
        </is>
      </c>
      <c r="B434" t="inlineStr">
        <is>
          <t>avverkningsanmälan</t>
        </is>
      </c>
      <c r="C434" t="inlineStr">
        <is>
          <t>Föryngringsavverkning</t>
        </is>
      </c>
      <c r="D434" s="1" t="n">
        <v>46177</v>
      </c>
      <c r="E434" s="1" t="n">
        <v>46218</v>
      </c>
      <c r="F434" t="inlineStr">
        <is>
          <t>NORRBOTTENS LÄN</t>
        </is>
      </c>
      <c r="G434" t="inlineStr">
        <is>
          <t>ÖVERTORNEÅ</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26156-2026</t>
        </is>
      </c>
      <c r="B435" t="inlineStr">
        <is>
          <t>avverkningsanmälan</t>
        </is>
      </c>
      <c r="C435" t="inlineStr">
        <is>
          <t>Avverkning för annat ändamål</t>
        </is>
      </c>
      <c r="D435" s="1" t="n">
        <v>46181</v>
      </c>
      <c r="E435" s="1" t="n">
        <v>46218</v>
      </c>
      <c r="F435" t="inlineStr">
        <is>
          <t>NORRBOTTENS LÄN</t>
        </is>
      </c>
      <c r="G435" t="inlineStr">
        <is>
          <t>ÖVERTORNEÅ</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25681-2026</t>
        </is>
      </c>
      <c r="B436" t="inlineStr">
        <is>
          <t>avverkningsanmälan</t>
        </is>
      </c>
      <c r="C436" t="inlineStr">
        <is>
          <t>Föryngringsavverkning</t>
        </is>
      </c>
      <c r="D436" s="1" t="n">
        <v>46178</v>
      </c>
      <c r="E436" s="1" t="n">
        <v>46218</v>
      </c>
      <c r="F436" t="inlineStr">
        <is>
          <t>NORRBOTTENS LÄN</t>
        </is>
      </c>
      <c r="G436" t="inlineStr">
        <is>
          <t>ÖVERTORNEÅ</t>
        </is>
      </c>
      <c r="I436" t="n">
        <v>3.2</v>
      </c>
      <c r="J436" t="n">
        <v>0</v>
      </c>
      <c r="K436" t="n">
        <v>0</v>
      </c>
      <c r="L436" t="n">
        <v>0</v>
      </c>
      <c r="M436" t="n">
        <v>0</v>
      </c>
      <c r="N436" t="n">
        <v>0</v>
      </c>
      <c r="O436" t="n">
        <v>0</v>
      </c>
      <c r="P436" t="n">
        <v>0</v>
      </c>
      <c r="Q436" t="n">
        <v>0</v>
      </c>
      <c r="R436" t="n">
        <v>0</v>
      </c>
      <c r="S436" t="n">
        <v>0</v>
      </c>
      <c r="T436" t="n">
        <v>0</v>
      </c>
      <c r="U436" s="2" t="inlineStr"/>
    </row>
    <row r="437" ht="15" customHeight="1">
      <c r="A437" t="inlineStr">
        <is>
          <t>S 1410-2025</t>
        </is>
      </c>
      <c r="B437" t="inlineStr">
        <is>
          <t>samrådsanmälan</t>
        </is>
      </c>
      <c r="C437" t="inlineStr">
        <is>
          <t>Skogsgödsling</t>
        </is>
      </c>
      <c r="D437" s="1" t="n">
        <v>45782</v>
      </c>
      <c r="E437" s="1" t="n">
        <v>46218</v>
      </c>
      <c r="F437" t="inlineStr">
        <is>
          <t>NORRBOTTENS LÄN</t>
        </is>
      </c>
      <c r="G437" t="inlineStr">
        <is>
          <t>ÖVERTORNEÅ</t>
        </is>
      </c>
      <c r="H437" t="inlineStr">
        <is>
          <t>Sveaskog</t>
        </is>
      </c>
      <c r="I437" t="n">
        <v>457.8</v>
      </c>
      <c r="J437" t="n">
        <v>0</v>
      </c>
      <c r="K437" t="n">
        <v>0</v>
      </c>
      <c r="L437" t="n">
        <v>0</v>
      </c>
      <c r="M437" t="n">
        <v>0</v>
      </c>
      <c r="N437" t="n">
        <v>0</v>
      </c>
      <c r="O437" t="n">
        <v>0</v>
      </c>
      <c r="P437" t="n">
        <v>0</v>
      </c>
      <c r="Q437" t="n">
        <v>0</v>
      </c>
      <c r="R437" t="n">
        <v>0</v>
      </c>
      <c r="S437" t="n">
        <v>0</v>
      </c>
      <c r="T437" t="n">
        <v>0</v>
      </c>
      <c r="U437" s="2" t="inlineStr"/>
    </row>
    <row r="438" ht="15" customHeight="1">
      <c r="A438" t="inlineStr">
        <is>
          <t>S 2377-2025</t>
        </is>
      </c>
      <c r="B438" t="inlineStr">
        <is>
          <t>samrådsanmälan</t>
        </is>
      </c>
      <c r="C438" t="inlineStr">
        <is>
          <t>Annan skogsbruksåtgärd</t>
        </is>
      </c>
      <c r="D438" s="1" t="n">
        <v>45891</v>
      </c>
      <c r="E438" s="1" t="n">
        <v>46218</v>
      </c>
      <c r="F438" t="inlineStr">
        <is>
          <t>NORRBOTTENS LÄN</t>
        </is>
      </c>
      <c r="G438" t="inlineStr">
        <is>
          <t>ÖVERTORNEÅ</t>
        </is>
      </c>
      <c r="I438" t="n">
        <v>10.6</v>
      </c>
      <c r="J438" t="n">
        <v>0</v>
      </c>
      <c r="K438" t="n">
        <v>0</v>
      </c>
      <c r="L438" t="n">
        <v>0</v>
      </c>
      <c r="M438" t="n">
        <v>0</v>
      </c>
      <c r="N438" t="n">
        <v>0</v>
      </c>
      <c r="O438" t="n">
        <v>0</v>
      </c>
      <c r="P438" t="n">
        <v>0</v>
      </c>
      <c r="Q438" t="n">
        <v>0</v>
      </c>
      <c r="R438" t="n">
        <v>0</v>
      </c>
      <c r="S438" t="n">
        <v>0</v>
      </c>
      <c r="T438" t="n">
        <v>0</v>
      </c>
      <c r="U438" s="2" t="inlineStr"/>
    </row>
    <row r="439" ht="15" customHeight="1">
      <c r="A439" t="inlineStr">
        <is>
          <t>S 2543-2025</t>
        </is>
      </c>
      <c r="B439" t="inlineStr">
        <is>
          <t>samrådsanmälan</t>
        </is>
      </c>
      <c r="C439" t="inlineStr">
        <is>
          <t>Annan skogsbruksåtgärd</t>
        </is>
      </c>
      <c r="D439" s="1" t="n">
        <v>45910</v>
      </c>
      <c r="E439" s="1" t="n">
        <v>46218</v>
      </c>
      <c r="F439" t="inlineStr">
        <is>
          <t>NORRBOTTENS LÄN</t>
        </is>
      </c>
      <c r="G439" t="inlineStr">
        <is>
          <t>ÖVERTORNEÅ</t>
        </is>
      </c>
      <c r="I439" t="n">
        <v>3.1</v>
      </c>
      <c r="J439" t="n">
        <v>0</v>
      </c>
      <c r="K439" t="n">
        <v>0</v>
      </c>
      <c r="L439" t="n">
        <v>0</v>
      </c>
      <c r="M439" t="n">
        <v>0</v>
      </c>
      <c r="N439" t="n">
        <v>0</v>
      </c>
      <c r="O439" t="n">
        <v>0</v>
      </c>
      <c r="P439" t="n">
        <v>0</v>
      </c>
      <c r="Q439" t="n">
        <v>0</v>
      </c>
      <c r="R439" t="n">
        <v>0</v>
      </c>
      <c r="S439" t="n">
        <v>0</v>
      </c>
      <c r="T439" t="n">
        <v>0</v>
      </c>
      <c r="U439" s="2" t="inlineStr"/>
    </row>
    <row r="440">
      <c r="A440" t="inlineStr">
        <is>
          <t>S 345-2026</t>
        </is>
      </c>
      <c r="B440" t="inlineStr">
        <is>
          <t>samrådsanmälan</t>
        </is>
      </c>
      <c r="C440" t="inlineStr">
        <is>
          <t>Annan skogsbruksåtgärd</t>
        </is>
      </c>
      <c r="D440" s="1" t="n">
        <v>46062</v>
      </c>
      <c r="E440" s="1" t="n">
        <v>46218</v>
      </c>
      <c r="F440" t="inlineStr">
        <is>
          <t>NORRBOTTENS LÄN</t>
        </is>
      </c>
      <c r="G440" t="inlineStr">
        <is>
          <t>ÖVERTORNEÅ</t>
        </is>
      </c>
      <c r="I440" t="n">
        <v>3.5</v>
      </c>
      <c r="J440" t="n">
        <v>0</v>
      </c>
      <c r="K440" t="n">
        <v>0</v>
      </c>
      <c r="L440" t="n">
        <v>0</v>
      </c>
      <c r="M440" t="n">
        <v>0</v>
      </c>
      <c r="N440" t="n">
        <v>0</v>
      </c>
      <c r="O440" t="n">
        <v>0</v>
      </c>
      <c r="P440" t="n">
        <v>0</v>
      </c>
      <c r="Q440" t="n">
        <v>0</v>
      </c>
      <c r="R440" t="n">
        <v>0</v>
      </c>
      <c r="S440" t="n">
        <v>0</v>
      </c>
      <c r="T440" t="n">
        <v>0</v>
      </c>
      <c r="U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2026-07-15T01:28:37Z</dcterms:created>
  <dcterms:modified xmlns:dcterms="http://purl.org/dc/terms/" xmlns:xsi="http://www.w3.org/2001/XMLSchema-instance" xsi:type="dcterms:W3CDTF">2026-07-15T01:28:37Z</dcterms:modified>
</cp:coreProperties>
</file>
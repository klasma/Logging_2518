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46258</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46258</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46258</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46258</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46258</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t="n">
        <v>24</v>
      </c>
      <c r="V6" s="2" t="inlineStr">
        <is>
          <t>Garnlav
Gräddticka
Knärot
Gammelgransskål
Lunglav
Tretåig hackspett
Lappranunkel
Spindelblomster
Stuplav
Järpe
Spillkråka
Svartvit flugsnappare</t>
        </is>
      </c>
      <c r="W6">
        <f>HYPERLINK("https://klasma.github.io/Logging_2518/artfynd/A 21993-2025 artfynd.xlsx", "A 21993-2025")</f>
        <v/>
      </c>
      <c r="X6">
        <f>HYPERLINK("https://klasma.github.io/Logging_2518/kartor/A 21993-2025 karta.png", "A 21993-2025")</f>
        <v/>
      </c>
      <c r="Y6">
        <f>HYPERLINK("https://klasma.github.io/Logging_2518/kartor_geotiff/A 21993-2025 georefererad karta.tif", "A 21993-2025")</f>
        <v/>
      </c>
      <c r="Z6">
        <f>HYPERLINK("https://klasma.github.io/Logging_2518/knärot/A 21993-2025 karta knärot.png", "A 21993-2025")</f>
        <v/>
      </c>
      <c r="AA6">
        <f>HYPERLINK("https://klasma.github.io/Logging_2518/klagomål/A 21993-2025 FSC-klagomål.docx", "A 21993-2025")</f>
        <v/>
      </c>
      <c r="AB6">
        <f>HYPERLINK("https://klasma.github.io/Logging_2518/klagomålsmail/A 21993-2025 FSC-klagomål mail.docx", "A 21993-2025")</f>
        <v/>
      </c>
      <c r="AC6">
        <f>HYPERLINK("https://klasma.github.io/Logging_2518/tillsyn/A 21993-2025 tillsynsbegäran.docx", "A 21993-2025")</f>
        <v/>
      </c>
      <c r="AD6">
        <f>HYPERLINK("https://klasma.github.io/Logging_2518/tillsynsmail/A 21993-2025 tillsynsbegäran mail.docx", "A 21993-2025")</f>
        <v/>
      </c>
      <c r="AE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46258</v>
      </c>
      <c r="F7" t="inlineStr">
        <is>
          <t>NORRBOTTENS LÄN</t>
        </is>
      </c>
      <c r="G7" t="inlineStr">
        <is>
          <t>ÖVERTORNEÅ</t>
        </is>
      </c>
      <c r="I7" t="n">
        <v>7.8</v>
      </c>
      <c r="J7" t="n">
        <v>3</v>
      </c>
      <c r="K7" t="n">
        <v>4</v>
      </c>
      <c r="L7" t="n">
        <v>5</v>
      </c>
      <c r="M7" t="n">
        <v>2</v>
      </c>
      <c r="N7" t="n">
        <v>0</v>
      </c>
      <c r="O7" t="n">
        <v>0</v>
      </c>
      <c r="P7" t="n">
        <v>0</v>
      </c>
      <c r="Q7" t="n">
        <v>7</v>
      </c>
      <c r="R7" t="n">
        <v>2</v>
      </c>
      <c r="S7" t="n">
        <v>12</v>
      </c>
      <c r="T7" t="n">
        <v>37</v>
      </c>
      <c r="U7" t="n">
        <v>37</v>
      </c>
      <c r="V7" s="2" t="inlineStr">
        <is>
          <t>Garnlav
Knärot
Lunglav
Rosenticka
Tretåig hackspett
Ullticka
Violmussling
Stor aspticka
Stuplav
Trådticka
Vedticka
Spillkråka</t>
        </is>
      </c>
      <c r="W7">
        <f>HYPERLINK("https://klasma.github.io/Logging_2518/artfynd/A 47048-2024 artfynd.xlsx", "A 47048-2024")</f>
        <v/>
      </c>
      <c r="X7">
        <f>HYPERLINK("https://klasma.github.io/Logging_2518/kartor/A 47048-2024 karta.png", "A 47048-2024")</f>
        <v/>
      </c>
      <c r="Y7">
        <f>HYPERLINK("https://klasma.github.io/Logging_2518/kartor_geotiff/A 47048-2024 georefererad karta.tif", "A 47048-2024")</f>
        <v/>
      </c>
      <c r="Z7">
        <f>HYPERLINK("https://klasma.github.io/Logging_2518/knärot/A 47048-2024 karta knärot.png", "A 47048-2024")</f>
        <v/>
      </c>
      <c r="AA7">
        <f>HYPERLINK("https://klasma.github.io/Logging_2518/klagomål/A 47048-2024 FSC-klagomål.docx", "A 47048-2024")</f>
        <v/>
      </c>
      <c r="AB7">
        <f>HYPERLINK("https://klasma.github.io/Logging_2518/klagomålsmail/A 47048-2024 FSC-klagomål mail.docx", "A 47048-2024")</f>
        <v/>
      </c>
      <c r="AC7">
        <f>HYPERLINK("https://klasma.github.io/Logging_2518/tillsyn/A 47048-2024 tillsynsbegäran.docx", "A 47048-2024")</f>
        <v/>
      </c>
      <c r="AD7">
        <f>HYPERLINK("https://klasma.github.io/Logging_2518/tillsynsmail/A 47048-2024 tillsynsbegäran mail.docx", "A 47048-2024")</f>
        <v/>
      </c>
      <c r="AE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46258</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46258</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46258</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46258</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46258</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46258</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46258</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46258</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46258</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31074-2026</t>
        </is>
      </c>
      <c r="B17" t="inlineStr">
        <is>
          <t>avverkningsanmälan</t>
        </is>
      </c>
      <c r="C17" t="inlineStr">
        <is>
          <t>Föryngringsavverkning</t>
        </is>
      </c>
      <c r="D17" s="1" t="n">
        <v>46216</v>
      </c>
      <c r="E17" s="1" t="n">
        <v>46258</v>
      </c>
      <c r="F17" t="inlineStr">
        <is>
          <t>NORRBOTTENS LÄN</t>
        </is>
      </c>
      <c r="G17" t="inlineStr">
        <is>
          <t>ÖVERTORNEÅ</t>
        </is>
      </c>
      <c r="H17" t="inlineStr">
        <is>
          <t>Sveaskog</t>
        </is>
      </c>
      <c r="I17" t="n">
        <v>14.9</v>
      </c>
      <c r="J17" t="n">
        <v>3</v>
      </c>
      <c r="K17" t="n">
        <v>2</v>
      </c>
      <c r="L17" t="n">
        <v>2</v>
      </c>
      <c r="M17" t="n">
        <v>1</v>
      </c>
      <c r="N17" t="n">
        <v>0</v>
      </c>
      <c r="O17" t="n">
        <v>0</v>
      </c>
      <c r="P17" t="n">
        <v>0</v>
      </c>
      <c r="Q17" t="n">
        <v>3</v>
      </c>
      <c r="R17" t="n">
        <v>1</v>
      </c>
      <c r="S17" t="n">
        <v>7</v>
      </c>
      <c r="T17" t="n">
        <v>7</v>
      </c>
      <c r="U17" t="n">
        <v>0</v>
      </c>
      <c r="V17" s="2" t="inlineStr">
        <is>
          <t>Garnlav
Gammelgransskål
Knottrig blåslav
Lappranunkel
Stuplav
Huggorm
Fläcknycklar</t>
        </is>
      </c>
      <c r="W17">
        <f>HYPERLINK("https://klasma.github.io/Logging_2518/artfynd/A 31074-2026 artfynd.xlsx", "A 31074-2026")</f>
        <v/>
      </c>
      <c r="X17">
        <f>HYPERLINK("https://klasma.github.io/Logging_2518/kartor/A 31074-2026 karta.png", "A 31074-2026")</f>
        <v/>
      </c>
      <c r="Y17">
        <f>HYPERLINK("https://klasma.github.io/Logging_2518/kartor_geotiff/A 31074-2026 georefererad karta.tif", "A 31074-2026")</f>
        <v/>
      </c>
      <c r="AA17">
        <f>HYPERLINK("https://klasma.github.io/Logging_2518/klagomål/A 31074-2026 FSC-klagomål.docx", "A 31074-2026")</f>
        <v/>
      </c>
      <c r="AB17">
        <f>HYPERLINK("https://klasma.github.io/Logging_2518/klagomålsmail/A 31074-2026 FSC-klagomål mail.docx", "A 31074-2026")</f>
        <v/>
      </c>
      <c r="AC17">
        <f>HYPERLINK("https://klasma.github.io/Logging_2518/tillsyn/A 31074-2026 tillsynsbegäran.docx", "A 31074-2026")</f>
        <v/>
      </c>
      <c r="AD17">
        <f>HYPERLINK("https://klasma.github.io/Logging_2518/tillsynsmail/A 31074-2026 tillsynsbegäran mail.docx", "A 31074-2026")</f>
        <v/>
      </c>
    </row>
    <row r="18" ht="15" customHeight="1">
      <c r="A18" t="inlineStr">
        <is>
          <t>A 27058-2023</t>
        </is>
      </c>
      <c r="B18" t="inlineStr">
        <is>
          <t>avverkningsanmälan</t>
        </is>
      </c>
      <c r="C18" t="inlineStr">
        <is>
          <t>Föryngringsavverkning</t>
        </is>
      </c>
      <c r="D18" s="1" t="n">
        <v>45096</v>
      </c>
      <c r="E18" s="1" t="n">
        <v>46258</v>
      </c>
      <c r="F18" t="inlineStr">
        <is>
          <t>NORRBOTTENS LÄN</t>
        </is>
      </c>
      <c r="G18" t="inlineStr">
        <is>
          <t>ÖVERTORNEÅ</t>
        </is>
      </c>
      <c r="I18" t="n">
        <v>5.3</v>
      </c>
      <c r="J18" t="n">
        <v>0</v>
      </c>
      <c r="K18" t="n">
        <v>2</v>
      </c>
      <c r="L18" t="n">
        <v>4</v>
      </c>
      <c r="M18" t="n">
        <v>1</v>
      </c>
      <c r="N18" t="n">
        <v>0</v>
      </c>
      <c r="O18" t="n">
        <v>0</v>
      </c>
      <c r="P18" t="n">
        <v>0</v>
      </c>
      <c r="Q18" t="n">
        <v>5</v>
      </c>
      <c r="R18" t="n">
        <v>1</v>
      </c>
      <c r="S18" t="n">
        <v>7</v>
      </c>
      <c r="T18" t="n">
        <v>11</v>
      </c>
      <c r="U18" t="n">
        <v>11</v>
      </c>
      <c r="V18" s="2" t="inlineStr">
        <is>
          <t>Garnlav
Doftskinn
Gammelgransskål
Ullticka
Violmussling
Stor aspticka
Stuplav</t>
        </is>
      </c>
      <c r="W18">
        <f>HYPERLINK("https://klasma.github.io/Logging_2518/artfynd/A 27058-2023 artfynd.xlsx", "A 27058-2023")</f>
        <v/>
      </c>
      <c r="X18">
        <f>HYPERLINK("https://klasma.github.io/Logging_2518/kartor/A 27058-2023 karta.png", "A 27058-2023")</f>
        <v/>
      </c>
      <c r="Y18">
        <f>HYPERLINK("https://klasma.github.io/Logging_2518/kartor_geotiff/A 27058-2023 georefererad karta.tif", "A 27058-2023")</f>
        <v/>
      </c>
      <c r="AA18">
        <f>HYPERLINK("https://klasma.github.io/Logging_2518/klagomål/A 27058-2023 FSC-klagomål.docx", "A 27058-2023")</f>
        <v/>
      </c>
      <c r="AB18">
        <f>HYPERLINK("https://klasma.github.io/Logging_2518/klagomålsmail/A 27058-2023 FSC-klagomål mail.docx", "A 27058-2023")</f>
        <v/>
      </c>
      <c r="AC18">
        <f>HYPERLINK("https://klasma.github.io/Logging_2518/tillsyn/A 27058-2023 tillsynsbegäran.docx", "A 27058-2023")</f>
        <v/>
      </c>
      <c r="AD18">
        <f>HYPERLINK("https://klasma.github.io/Logging_2518/tillsynsmail/A 27058-2023 tillsynsbegäran mail.docx", "A 27058-2023")</f>
        <v/>
      </c>
    </row>
    <row r="19" ht="15" customHeight="1">
      <c r="A19" t="inlineStr">
        <is>
          <t>A 13244-2026</t>
        </is>
      </c>
      <c r="B19" t="inlineStr">
        <is>
          <t>avverkningsanmälan</t>
        </is>
      </c>
      <c r="C19" t="inlineStr">
        <is>
          <t>Föryngringsavverkning</t>
        </is>
      </c>
      <c r="D19" s="1" t="n">
        <v>46093</v>
      </c>
      <c r="E19" s="1" t="n">
        <v>46258</v>
      </c>
      <c r="F19" t="inlineStr">
        <is>
          <t>NORRBOTTENS LÄN</t>
        </is>
      </c>
      <c r="G19" t="inlineStr">
        <is>
          <t>ÖVERTORNEÅ</t>
        </is>
      </c>
      <c r="I19" t="n">
        <v>11.9</v>
      </c>
      <c r="J19" t="n">
        <v>2</v>
      </c>
      <c r="K19" t="n">
        <v>1</v>
      </c>
      <c r="L19" t="n">
        <v>3</v>
      </c>
      <c r="M19" t="n">
        <v>1</v>
      </c>
      <c r="N19" t="n">
        <v>0</v>
      </c>
      <c r="O19" t="n">
        <v>0</v>
      </c>
      <c r="P19" t="n">
        <v>0</v>
      </c>
      <c r="Q19" t="n">
        <v>4</v>
      </c>
      <c r="R19" t="n">
        <v>1</v>
      </c>
      <c r="S19" t="n">
        <v>6</v>
      </c>
      <c r="T19" t="n">
        <v>26</v>
      </c>
      <c r="U19" t="n">
        <v>0</v>
      </c>
      <c r="V19" s="2" t="inlineStr">
        <is>
          <t>Garnlav
Luddfingersvamp
Tretåig hackspett
Ullticka
Skinnlav
Spillkråka</t>
        </is>
      </c>
      <c r="W19">
        <f>HYPERLINK("https://klasma.github.io/Logging_2518/artfynd/A 13244-2026 artfynd.xlsx", "A 13244-2026")</f>
        <v/>
      </c>
      <c r="X19">
        <f>HYPERLINK("https://klasma.github.io/Logging_2518/kartor/A 13244-2026 karta.png", "A 13244-2026")</f>
        <v/>
      </c>
      <c r="Y19">
        <f>HYPERLINK("https://klasma.github.io/Logging_2518/kartor_geotiff/A 13244-2026 georefererad karta.tif", "A 13244-2026")</f>
        <v/>
      </c>
      <c r="AA19">
        <f>HYPERLINK("https://klasma.github.io/Logging_2518/klagomål/A 13244-2026 FSC-klagomål.docx", "A 13244-2026")</f>
        <v/>
      </c>
      <c r="AB19">
        <f>HYPERLINK("https://klasma.github.io/Logging_2518/klagomålsmail/A 13244-2026 FSC-klagomål mail.docx", "A 13244-2026")</f>
        <v/>
      </c>
      <c r="AC19">
        <f>HYPERLINK("https://klasma.github.io/Logging_2518/tillsyn/A 13244-2026 tillsynsbegäran.docx", "A 13244-2026")</f>
        <v/>
      </c>
      <c r="AD19">
        <f>HYPERLINK("https://klasma.github.io/Logging_2518/tillsynsmail/A 13244-2026 tillsynsbegäran mail.docx", "A 13244-2026")</f>
        <v/>
      </c>
      <c r="AE19">
        <f>HYPERLINK("https://klasma.github.io/Logging_2518/fåglar/A 13244-2026 prioriterade fågelarter.docx", "A 13244-2026")</f>
        <v/>
      </c>
    </row>
    <row r="20" ht="15" customHeight="1">
      <c r="A20" t="inlineStr">
        <is>
          <t>A 54504-2022</t>
        </is>
      </c>
      <c r="B20" t="inlineStr">
        <is>
          <t>avverkningsanmälan</t>
        </is>
      </c>
      <c r="C20" t="inlineStr">
        <is>
          <t>Avverkning för att bevara och utveckla /försöksver</t>
        </is>
      </c>
      <c r="D20" s="1" t="n">
        <v>44880</v>
      </c>
      <c r="E20" s="1" t="n">
        <v>46258</v>
      </c>
      <c r="F20" t="inlineStr">
        <is>
          <t>NORRBOTTENS LÄN</t>
        </is>
      </c>
      <c r="G20" t="inlineStr">
        <is>
          <t>ÖVERTORNEÅ</t>
        </is>
      </c>
      <c r="H20" t="inlineStr">
        <is>
          <t>Sveaskog</t>
        </is>
      </c>
      <c r="I20" t="n">
        <v>2.6</v>
      </c>
      <c r="J20" t="n">
        <v>2</v>
      </c>
      <c r="K20" t="n">
        <v>2</v>
      </c>
      <c r="L20" t="n">
        <v>1</v>
      </c>
      <c r="M20" t="n">
        <v>1</v>
      </c>
      <c r="N20" t="n">
        <v>0</v>
      </c>
      <c r="O20" t="n">
        <v>0</v>
      </c>
      <c r="P20" t="n">
        <v>0</v>
      </c>
      <c r="Q20" t="n">
        <v>2</v>
      </c>
      <c r="R20" t="n">
        <v>1</v>
      </c>
      <c r="S20" t="n">
        <v>6</v>
      </c>
      <c r="T20" t="n">
        <v>7</v>
      </c>
      <c r="U20" t="n">
        <v>7</v>
      </c>
      <c r="V20" s="2" t="inlineStr">
        <is>
          <t>Garnlav
Kandelabersvamp
Barkticka
Norrlandslav
Spillkråka
Revlummer</t>
        </is>
      </c>
      <c r="W20">
        <f>HYPERLINK("https://klasma.github.io/Logging_2518/artfynd/A 54504-2022 artfynd.xlsx", "A 54504-2022")</f>
        <v/>
      </c>
      <c r="X20">
        <f>HYPERLINK("https://klasma.github.io/Logging_2518/kartor/A 54504-2022 karta.png", "A 54504-2022")</f>
        <v/>
      </c>
      <c r="Y20">
        <f>HYPERLINK("https://klasma.github.io/Logging_2518/kartor_geotiff/A 54504-2022 georefererad karta.tif", "A 54504-2022")</f>
        <v/>
      </c>
      <c r="AA20">
        <f>HYPERLINK("https://klasma.github.io/Logging_2518/klagomål/A 54504-2022 FSC-klagomål.docx", "A 54504-2022")</f>
        <v/>
      </c>
      <c r="AB20">
        <f>HYPERLINK("https://klasma.github.io/Logging_2518/klagomålsmail/A 54504-2022 FSC-klagomål mail.docx", "A 54504-2022")</f>
        <v/>
      </c>
      <c r="AC20">
        <f>HYPERLINK("https://klasma.github.io/Logging_2518/tillsyn/A 54504-2022 tillsynsbegäran.docx", "A 54504-2022")</f>
        <v/>
      </c>
      <c r="AD20">
        <f>HYPERLINK("https://klasma.github.io/Logging_2518/tillsynsmail/A 54504-2022 tillsynsbegäran mail.docx", "A 54504-2022")</f>
        <v/>
      </c>
      <c r="AE20">
        <f>HYPERLINK("https://klasma.github.io/Logging_2518/fåglar/A 54504-2022 prioriterade fågelarter.docx", "A 54504-2022")</f>
        <v/>
      </c>
    </row>
    <row r="21" ht="15" customHeight="1">
      <c r="A21" t="inlineStr">
        <is>
          <t>A 22380-2024</t>
        </is>
      </c>
      <c r="B21" t="inlineStr">
        <is>
          <t>avverkningsanmälan</t>
        </is>
      </c>
      <c r="C21" t="inlineStr">
        <is>
          <t>Föryngringsavverkning</t>
        </is>
      </c>
      <c r="D21" s="1" t="n">
        <v>45446</v>
      </c>
      <c r="E21" s="1" t="n">
        <v>46258</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46258</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46258</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46258</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46258</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46258</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46258</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46258</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46258</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46258</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46258</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46258</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46258</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46258</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46378-2023</t>
        </is>
      </c>
      <c r="B35" t="inlineStr">
        <is>
          <t>avverkningsanmälan</t>
        </is>
      </c>
      <c r="C35" t="inlineStr">
        <is>
          <t>Föryngringsavverkning</t>
        </is>
      </c>
      <c r="D35" s="1" t="n">
        <v>45197</v>
      </c>
      <c r="E35" s="1" t="n">
        <v>46258</v>
      </c>
      <c r="F35" t="inlineStr">
        <is>
          <t>NORRBOTTENS LÄN</t>
        </is>
      </c>
      <c r="G35" t="inlineStr">
        <is>
          <t>ÖVERTORNEÅ</t>
        </is>
      </c>
      <c r="H35" t="inlineStr">
        <is>
          <t>Sveaskog</t>
        </is>
      </c>
      <c r="I35" t="n">
        <v>43.9</v>
      </c>
      <c r="J35" t="n">
        <v>1</v>
      </c>
      <c r="K35" t="n">
        <v>0</v>
      </c>
      <c r="L35" t="n">
        <v>1</v>
      </c>
      <c r="M35" t="n">
        <v>0</v>
      </c>
      <c r="N35" t="n">
        <v>0</v>
      </c>
      <c r="O35" t="n">
        <v>0</v>
      </c>
      <c r="P35" t="n">
        <v>0</v>
      </c>
      <c r="Q35" t="n">
        <v>1</v>
      </c>
      <c r="R35" t="n">
        <v>0</v>
      </c>
      <c r="S35" t="n">
        <v>1</v>
      </c>
      <c r="T35" t="n">
        <v>1</v>
      </c>
      <c r="U35" t="n">
        <v>0</v>
      </c>
      <c r="V35" s="2" t="inlineStr">
        <is>
          <t>Kungsörn</t>
        </is>
      </c>
      <c r="W35">
        <f>HYPERLINK("https://klasma.github.io/Logging_2518/artfynd/A 46378-2023 artfynd.xlsx", "A 46378-2023")</f>
        <v/>
      </c>
      <c r="X35">
        <f>HYPERLINK("https://klasma.github.io/Logging_2518/kartor/A 46378-2023 karta.png", "A 46378-2023")</f>
        <v/>
      </c>
      <c r="Y35">
        <f>HYPERLINK("https://klasma.github.io/Logging_2518/kartor_geotiff/A 46378-2023 georefererad karta.tif", "A 46378-2023")</f>
        <v/>
      </c>
      <c r="AA35">
        <f>HYPERLINK("https://klasma.github.io/Logging_2518/klagomål/A 46378-2023 FSC-klagomål.docx", "A 46378-2023")</f>
        <v/>
      </c>
      <c r="AB35">
        <f>HYPERLINK("https://klasma.github.io/Logging_2518/klagomålsmail/A 46378-2023 FSC-klagomål mail.docx", "A 46378-2023")</f>
        <v/>
      </c>
      <c r="AC35">
        <f>HYPERLINK("https://klasma.github.io/Logging_2518/tillsyn/A 46378-2023 tillsynsbegäran.docx", "A 46378-2023")</f>
        <v/>
      </c>
      <c r="AD35">
        <f>HYPERLINK("https://klasma.github.io/Logging_2518/tillsynsmail/A 46378-2023 tillsynsbegäran mail.docx", "A 46378-2023")</f>
        <v/>
      </c>
      <c r="AE35">
        <f>HYPERLINK("https://klasma.github.io/Logging_2518/fåglar/A 46378-2023 prioriterade fågelarter.docx", "A 46378-2023")</f>
        <v/>
      </c>
    </row>
    <row r="36" ht="15" customHeight="1">
      <c r="A36" t="inlineStr">
        <is>
          <t>A 34325-2025</t>
        </is>
      </c>
      <c r="B36" t="inlineStr">
        <is>
          <t>avverkningsanmälan</t>
        </is>
      </c>
      <c r="C36" t="inlineStr">
        <is>
          <t>Föryngringsavverkning</t>
        </is>
      </c>
      <c r="D36" s="1" t="n">
        <v>45846</v>
      </c>
      <c r="E36" s="1" t="n">
        <v>46258</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4012-2022</t>
        </is>
      </c>
      <c r="B37" t="inlineStr">
        <is>
          <t>avverkningsanmälan</t>
        </is>
      </c>
      <c r="C37" t="inlineStr">
        <is>
          <t>Avverkning för annat ändamål</t>
        </is>
      </c>
      <c r="D37" s="1" t="n">
        <v>44587</v>
      </c>
      <c r="E37" s="1" t="n">
        <v>46258</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4767-2026</t>
        </is>
      </c>
      <c r="B38" t="inlineStr">
        <is>
          <t>avverkningsanmälan</t>
        </is>
      </c>
      <c r="C38" t="inlineStr">
        <is>
          <t>Föryngringsavverkning</t>
        </is>
      </c>
      <c r="D38" s="1" t="n">
        <v>46048</v>
      </c>
      <c r="E38" s="1" t="n">
        <v>46258</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24802-2026</t>
        </is>
      </c>
      <c r="B39" t="inlineStr">
        <is>
          <t>avverkningsanmälan</t>
        </is>
      </c>
      <c r="C39" t="inlineStr">
        <is>
          <t>Föryngringsavverkning</t>
        </is>
      </c>
      <c r="D39" s="1" t="n">
        <v>46171</v>
      </c>
      <c r="E39" s="1" t="n">
        <v>46258</v>
      </c>
      <c r="F39" t="inlineStr">
        <is>
          <t>NORRBOTTENS LÄN</t>
        </is>
      </c>
      <c r="G39" t="inlineStr">
        <is>
          <t>ÖVERTORNEÅ</t>
        </is>
      </c>
      <c r="H39" t="inlineStr">
        <is>
          <t>Sveaskog</t>
        </is>
      </c>
      <c r="I39" t="n">
        <v>32.6</v>
      </c>
      <c r="J39" t="n">
        <v>0</v>
      </c>
      <c r="K39" t="n">
        <v>0</v>
      </c>
      <c r="L39" t="n">
        <v>1</v>
      </c>
      <c r="M39" t="n">
        <v>0</v>
      </c>
      <c r="N39" t="n">
        <v>0</v>
      </c>
      <c r="O39" t="n">
        <v>0</v>
      </c>
      <c r="P39" t="n">
        <v>0</v>
      </c>
      <c r="Q39" t="n">
        <v>1</v>
      </c>
      <c r="R39" t="n">
        <v>0</v>
      </c>
      <c r="S39" t="n">
        <v>1</v>
      </c>
      <c r="T39" t="n">
        <v>1</v>
      </c>
      <c r="U39" t="n">
        <v>0</v>
      </c>
      <c r="V39" s="2" t="inlineStr">
        <is>
          <t>Doftskinn</t>
        </is>
      </c>
      <c r="W39">
        <f>HYPERLINK("https://klasma.github.io/Logging_2518/artfynd/A 24802-2026 artfynd.xlsx", "A 24802-2026")</f>
        <v/>
      </c>
      <c r="X39">
        <f>HYPERLINK("https://klasma.github.io/Logging_2518/kartor/A 24802-2026 karta.png", "A 24802-2026")</f>
        <v/>
      </c>
      <c r="Y39">
        <f>HYPERLINK("https://klasma.github.io/Logging_2518/kartor_geotiff/A 24802-2026 georefererad karta.tif", "A 24802-2026")</f>
        <v/>
      </c>
      <c r="AA39">
        <f>HYPERLINK("https://klasma.github.io/Logging_2518/klagomål/A 24802-2026 FSC-klagomål.docx", "A 24802-2026")</f>
        <v/>
      </c>
      <c r="AB39">
        <f>HYPERLINK("https://klasma.github.io/Logging_2518/klagomålsmail/A 24802-2026 FSC-klagomål mail.docx", "A 24802-2026")</f>
        <v/>
      </c>
      <c r="AC39">
        <f>HYPERLINK("https://klasma.github.io/Logging_2518/tillsyn/A 24802-2026 tillsynsbegäran.docx", "A 24802-2026")</f>
        <v/>
      </c>
      <c r="AD39">
        <f>HYPERLINK("https://klasma.github.io/Logging_2518/tillsynsmail/A 24802-2026 tillsynsbegäran mail.docx", "A 24802-2026")</f>
        <v/>
      </c>
    </row>
    <row r="40" ht="15" customHeight="1">
      <c r="A40" t="inlineStr">
        <is>
          <t>A 30651-2023</t>
        </is>
      </c>
      <c r="B40" t="inlineStr">
        <is>
          <t>avverkningsanmälan</t>
        </is>
      </c>
      <c r="C40" t="inlineStr">
        <is>
          <t>Föryngringsavverkning</t>
        </is>
      </c>
      <c r="D40" s="1" t="n">
        <v>45112</v>
      </c>
      <c r="E40" s="1" t="n">
        <v>46258</v>
      </c>
      <c r="F40" t="inlineStr">
        <is>
          <t>NORRBOTTENS LÄN</t>
        </is>
      </c>
      <c r="G40" t="inlineStr">
        <is>
          <t>ÖVERTORNEÅ</t>
        </is>
      </c>
      <c r="I40" t="n">
        <v>1.5</v>
      </c>
      <c r="J40" t="n">
        <v>0</v>
      </c>
      <c r="K40" t="n">
        <v>0</v>
      </c>
      <c r="L40" t="n">
        <v>0</v>
      </c>
      <c r="M40" t="n">
        <v>0</v>
      </c>
      <c r="N40" t="n">
        <v>0</v>
      </c>
      <c r="O40" t="n">
        <v>0</v>
      </c>
      <c r="P40" t="n">
        <v>0</v>
      </c>
      <c r="Q40" t="n">
        <v>0</v>
      </c>
      <c r="R40" t="n">
        <v>0</v>
      </c>
      <c r="S40" t="n">
        <v>1</v>
      </c>
      <c r="T40" t="n">
        <v>1</v>
      </c>
      <c r="U40" t="n">
        <v>1</v>
      </c>
      <c r="V40" s="2" t="inlineStr">
        <is>
          <t>Klotstarr</t>
        </is>
      </c>
      <c r="W40">
        <f>HYPERLINK("https://klasma.github.io/Logging_2518/artfynd/A 30651-2023 artfynd.xlsx", "A 30651-2023")</f>
        <v/>
      </c>
      <c r="X40">
        <f>HYPERLINK("https://klasma.github.io/Logging_2518/kartor/A 30651-2023 karta.png", "A 30651-2023")</f>
        <v/>
      </c>
      <c r="Y40">
        <f>HYPERLINK("https://klasma.github.io/Logging_2518/kartor_geotiff/A 30651-2023 georefererad karta.tif", "A 30651-2023")</f>
        <v/>
      </c>
      <c r="AA40">
        <f>HYPERLINK("https://klasma.github.io/Logging_2518/klagomål/A 30651-2023 FSC-klagomål.docx", "A 30651-2023")</f>
        <v/>
      </c>
      <c r="AB40">
        <f>HYPERLINK("https://klasma.github.io/Logging_2518/klagomålsmail/A 30651-2023 FSC-klagomål mail.docx", "A 30651-2023")</f>
        <v/>
      </c>
      <c r="AC40">
        <f>HYPERLINK("https://klasma.github.io/Logging_2518/tillsyn/A 30651-2023 tillsynsbegäran.docx", "A 30651-2023")</f>
        <v/>
      </c>
      <c r="AD40">
        <f>HYPERLINK("https://klasma.github.io/Logging_2518/tillsynsmail/A 30651-2023 tillsynsbegäran mail.docx", "A 30651-2023")</f>
        <v/>
      </c>
    </row>
    <row r="41" ht="15" customHeight="1">
      <c r="A41" t="inlineStr">
        <is>
          <t>A 26502-2025</t>
        </is>
      </c>
      <c r="B41" t="inlineStr">
        <is>
          <t>avverkningsanmälan</t>
        </is>
      </c>
      <c r="C41" t="inlineStr">
        <is>
          <t>Föryngringsavverkning</t>
        </is>
      </c>
      <c r="D41" s="1" t="n">
        <v>45807</v>
      </c>
      <c r="E41" s="1" t="n">
        <v>46258</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18489-2024</t>
        </is>
      </c>
      <c r="B42" t="inlineStr">
        <is>
          <t>avverkningsanmälan</t>
        </is>
      </c>
      <c r="C42" t="inlineStr">
        <is>
          <t>Föryngringsavverkning</t>
        </is>
      </c>
      <c r="D42" s="1" t="n">
        <v>45425</v>
      </c>
      <c r="E42" s="1" t="n">
        <v>46258</v>
      </c>
      <c r="F42" t="inlineStr">
        <is>
          <t>NORRBOTTENS LÄN</t>
        </is>
      </c>
      <c r="G42" t="inlineStr">
        <is>
          <t>ÖVERTORNEÅ</t>
        </is>
      </c>
      <c r="I42" t="n">
        <v>5.4</v>
      </c>
      <c r="J42" t="n">
        <v>0</v>
      </c>
      <c r="K42" t="n">
        <v>0</v>
      </c>
      <c r="L42" t="n">
        <v>0</v>
      </c>
      <c r="M42" t="n">
        <v>1</v>
      </c>
      <c r="N42" t="n">
        <v>0</v>
      </c>
      <c r="O42" t="n">
        <v>0</v>
      </c>
      <c r="P42" t="n">
        <v>0</v>
      </c>
      <c r="Q42" t="n">
        <v>1</v>
      </c>
      <c r="R42" t="n">
        <v>1</v>
      </c>
      <c r="S42" t="n">
        <v>1</v>
      </c>
      <c r="T42" t="n">
        <v>1</v>
      </c>
      <c r="U42" t="n">
        <v>1</v>
      </c>
      <c r="V42" s="2" t="inlineStr">
        <is>
          <t>Garnlav</t>
        </is>
      </c>
      <c r="W42">
        <f>HYPERLINK("https://klasma.github.io/Logging_2518/artfynd/A 18489-2024 artfynd.xlsx", "A 18489-2024")</f>
        <v/>
      </c>
      <c r="X42">
        <f>HYPERLINK("https://klasma.github.io/Logging_2518/kartor/A 18489-2024 karta.png", "A 18489-2024")</f>
        <v/>
      </c>
      <c r="Y42">
        <f>HYPERLINK("https://klasma.github.io/Logging_2518/kartor_geotiff/A 18489-2024 georefererad karta.tif", "A 18489-2024")</f>
        <v/>
      </c>
      <c r="AA42">
        <f>HYPERLINK("https://klasma.github.io/Logging_2518/klagomål/A 18489-2024 FSC-klagomål.docx", "A 18489-2024")</f>
        <v/>
      </c>
      <c r="AB42">
        <f>HYPERLINK("https://klasma.github.io/Logging_2518/klagomålsmail/A 18489-2024 FSC-klagomål mail.docx", "A 18489-2024")</f>
        <v/>
      </c>
      <c r="AC42">
        <f>HYPERLINK("https://klasma.github.io/Logging_2518/tillsyn/A 18489-2024 tillsynsbegäran.docx", "A 18489-2024")</f>
        <v/>
      </c>
      <c r="AD42">
        <f>HYPERLINK("https://klasma.github.io/Logging_2518/tillsynsmail/A 18489-2024 tillsynsbegäran mail.docx", "A 18489-2024")</f>
        <v/>
      </c>
    </row>
    <row r="43" ht="15" customHeight="1">
      <c r="A43" t="inlineStr">
        <is>
          <t>A 3389-2022</t>
        </is>
      </c>
      <c r="B43" t="inlineStr">
        <is>
          <t>avverkningsanmälan</t>
        </is>
      </c>
      <c r="C43" t="inlineStr">
        <is>
          <t>Föryngringsavverkning</t>
        </is>
      </c>
      <c r="D43" s="1" t="n">
        <v>44585</v>
      </c>
      <c r="E43" s="1" t="n">
        <v>46258</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46258</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46258</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46258</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46258</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46258</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46258</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46258</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46258</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46258</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46258</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46258</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46258</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46258</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46258</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46258</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46258</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46258</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46258</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46258</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46258</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46258</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46258</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46258</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46258</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46258</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15500-2022</t>
        </is>
      </c>
      <c r="B69" t="inlineStr">
        <is>
          <t>avverkningsanmälan</t>
        </is>
      </c>
      <c r="C69" t="inlineStr">
        <is>
          <t>Föryngringsavverkning</t>
        </is>
      </c>
      <c r="D69" s="1" t="n">
        <v>44662</v>
      </c>
      <c r="E69" s="1" t="n">
        <v>46258</v>
      </c>
      <c r="F69" t="inlineStr">
        <is>
          <t>NORRBOTTENS LÄN</t>
        </is>
      </c>
      <c r="G69" t="inlineStr">
        <is>
          <t>ÖVERTORNEÅ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16561-2022</t>
        </is>
      </c>
      <c r="B70" t="inlineStr">
        <is>
          <t>avverkningsanmälan</t>
        </is>
      </c>
      <c r="C70" t="inlineStr">
        <is>
          <t>Avverkning för annat ändamål</t>
        </is>
      </c>
      <c r="D70" s="1" t="n">
        <v>44672</v>
      </c>
      <c r="E70" s="1" t="n">
        <v>46258</v>
      </c>
      <c r="F70" t="inlineStr">
        <is>
          <t>NORRBOTTENS LÄN</t>
        </is>
      </c>
      <c r="G70" t="inlineStr">
        <is>
          <t>ÖVERTORNEÅ</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24877-2025</t>
        </is>
      </c>
      <c r="B71" t="inlineStr">
        <is>
          <t>avverkningsanmälan</t>
        </is>
      </c>
      <c r="C71" t="inlineStr">
        <is>
          <t>Föryngringsavverkning</t>
        </is>
      </c>
      <c r="D71" s="1" t="n">
        <v>45799</v>
      </c>
      <c r="E71" s="1" t="n">
        <v>46258</v>
      </c>
      <c r="F71" t="inlineStr">
        <is>
          <t>NORRBOTTENS LÄN</t>
        </is>
      </c>
      <c r="G71" t="inlineStr">
        <is>
          <t>ÖVERTORNEÅ</t>
        </is>
      </c>
      <c r="I71" t="n">
        <v>10.3</v>
      </c>
      <c r="J71" t="n">
        <v>0</v>
      </c>
      <c r="K71" t="n">
        <v>0</v>
      </c>
      <c r="L71" t="n">
        <v>0</v>
      </c>
      <c r="M71" t="n">
        <v>0</v>
      </c>
      <c r="N71" t="n">
        <v>0</v>
      </c>
      <c r="O71" t="n">
        <v>0</v>
      </c>
      <c r="P71" t="n">
        <v>0</v>
      </c>
      <c r="Q71" t="n">
        <v>0</v>
      </c>
      <c r="R71" t="n">
        <v>0</v>
      </c>
      <c r="S71" t="n">
        <v>0</v>
      </c>
      <c r="T71" t="n">
        <v>0</v>
      </c>
      <c r="U71" t="n">
        <v>0</v>
      </c>
      <c r="V71" s="2" t="inlineStr"/>
    </row>
    <row r="72" ht="15" customHeight="1">
      <c r="A72" t="inlineStr">
        <is>
          <t>A 25245-2025</t>
        </is>
      </c>
      <c r="B72" t="inlineStr">
        <is>
          <t>avverkningsanmälan</t>
        </is>
      </c>
      <c r="C72" t="inlineStr">
        <is>
          <t>Föryngringsavverkning</t>
        </is>
      </c>
      <c r="D72" s="1" t="n">
        <v>45799</v>
      </c>
      <c r="E72" s="1" t="n">
        <v>46258</v>
      </c>
      <c r="F72" t="inlineStr">
        <is>
          <t>NORRBOTTENS LÄN</t>
        </is>
      </c>
      <c r="G72" t="inlineStr">
        <is>
          <t>ÖVERTORNEÅ</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26142-2024</t>
        </is>
      </c>
      <c r="B73" t="inlineStr">
        <is>
          <t>avverkningsanmälan</t>
        </is>
      </c>
      <c r="C73" t="inlineStr">
        <is>
          <t>Föryngringsavverkning</t>
        </is>
      </c>
      <c r="D73" s="1" t="n">
        <v>45467</v>
      </c>
      <c r="E73" s="1" t="n">
        <v>46258</v>
      </c>
      <c r="F73" t="inlineStr">
        <is>
          <t>NORRBOTTENS LÄN</t>
        </is>
      </c>
      <c r="G73" t="inlineStr">
        <is>
          <t>ÖVERTORNEÅ</t>
        </is>
      </c>
      <c r="I73" t="n">
        <v>4.5</v>
      </c>
      <c r="J73" t="n">
        <v>0</v>
      </c>
      <c r="K73" t="n">
        <v>0</v>
      </c>
      <c r="L73" t="n">
        <v>0</v>
      </c>
      <c r="M73" t="n">
        <v>0</v>
      </c>
      <c r="N73" t="n">
        <v>0</v>
      </c>
      <c r="O73" t="n">
        <v>0</v>
      </c>
      <c r="P73" t="n">
        <v>0</v>
      </c>
      <c r="Q73" t="n">
        <v>0</v>
      </c>
      <c r="R73" t="n">
        <v>0</v>
      </c>
      <c r="S73" t="n">
        <v>0</v>
      </c>
      <c r="T73" t="n">
        <v>0</v>
      </c>
      <c r="U73" t="n">
        <v>0</v>
      </c>
      <c r="V73" s="2" t="inlineStr"/>
    </row>
    <row r="74" ht="15" customHeight="1">
      <c r="A74" t="inlineStr">
        <is>
          <t>A 51273-2024</t>
        </is>
      </c>
      <c r="B74" t="inlineStr">
        <is>
          <t>avverkningsanmälan</t>
        </is>
      </c>
      <c r="C74" t="inlineStr">
        <is>
          <t>Föryngringsavverkning</t>
        </is>
      </c>
      <c r="D74" s="1" t="n">
        <v>45602</v>
      </c>
      <c r="E74" s="1" t="n">
        <v>46258</v>
      </c>
      <c r="F74" t="inlineStr">
        <is>
          <t>NORRBOTTENS LÄN</t>
        </is>
      </c>
      <c r="G74" t="inlineStr">
        <is>
          <t>ÖVERTORNEÅ</t>
        </is>
      </c>
      <c r="I74" t="n">
        <v>13.6</v>
      </c>
      <c r="J74" t="n">
        <v>0</v>
      </c>
      <c r="K74" t="n">
        <v>0</v>
      </c>
      <c r="L74" t="n">
        <v>0</v>
      </c>
      <c r="M74" t="n">
        <v>0</v>
      </c>
      <c r="N74" t="n">
        <v>0</v>
      </c>
      <c r="O74" t="n">
        <v>0</v>
      </c>
      <c r="P74" t="n">
        <v>0</v>
      </c>
      <c r="Q74" t="n">
        <v>0</v>
      </c>
      <c r="R74" t="n">
        <v>0</v>
      </c>
      <c r="S74" t="n">
        <v>0</v>
      </c>
      <c r="T74" t="n">
        <v>0</v>
      </c>
      <c r="U74" t="n">
        <v>0</v>
      </c>
      <c r="V74" s="2" t="inlineStr"/>
    </row>
    <row r="75" ht="15" customHeight="1">
      <c r="A75" t="inlineStr">
        <is>
          <t>A 3416-2022</t>
        </is>
      </c>
      <c r="B75" t="inlineStr">
        <is>
          <t>avverkningsanmälan</t>
        </is>
      </c>
      <c r="C75" t="inlineStr">
        <is>
          <t>Avverkning för annat ändamål</t>
        </is>
      </c>
      <c r="D75" s="1" t="n">
        <v>44585</v>
      </c>
      <c r="E75" s="1" t="n">
        <v>46258</v>
      </c>
      <c r="F75" t="inlineStr">
        <is>
          <t>NORRBOTTENS LÄN</t>
        </is>
      </c>
      <c r="G75" t="inlineStr">
        <is>
          <t>ÖVERTORNEÅ</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36057-2023</t>
        </is>
      </c>
      <c r="B76" t="inlineStr">
        <is>
          <t>avverkningsanmälan</t>
        </is>
      </c>
      <c r="C76" t="inlineStr">
        <is>
          <t>Föryngringsavverkning</t>
        </is>
      </c>
      <c r="D76" s="1" t="n">
        <v>45149</v>
      </c>
      <c r="E76" s="1" t="n">
        <v>46258</v>
      </c>
      <c r="F76" t="inlineStr">
        <is>
          <t>NORRBOTTENS LÄN</t>
        </is>
      </c>
      <c r="G76" t="inlineStr">
        <is>
          <t>ÖVERTORNEÅ</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49157-2022</t>
        </is>
      </c>
      <c r="B77" t="inlineStr">
        <is>
          <t>avverkningsanmälan</t>
        </is>
      </c>
      <c r="C77" t="inlineStr">
        <is>
          <t>Föryngringsavverkning</t>
        </is>
      </c>
      <c r="D77" s="1" t="n">
        <v>44860</v>
      </c>
      <c r="E77" s="1" t="n">
        <v>46258</v>
      </c>
      <c r="F77" t="inlineStr">
        <is>
          <t>NORRBOTTENS LÄN</t>
        </is>
      </c>
      <c r="G77" t="inlineStr">
        <is>
          <t>ÖVERTORNEÅ</t>
        </is>
      </c>
      <c r="I77" t="n">
        <v>5.6</v>
      </c>
      <c r="J77" t="n">
        <v>0</v>
      </c>
      <c r="K77" t="n">
        <v>0</v>
      </c>
      <c r="L77" t="n">
        <v>0</v>
      </c>
      <c r="M77" t="n">
        <v>0</v>
      </c>
      <c r="N77" t="n">
        <v>0</v>
      </c>
      <c r="O77" t="n">
        <v>0</v>
      </c>
      <c r="P77" t="n">
        <v>0</v>
      </c>
      <c r="Q77" t="n">
        <v>0</v>
      </c>
      <c r="R77" t="n">
        <v>0</v>
      </c>
      <c r="S77" t="n">
        <v>0</v>
      </c>
      <c r="T77" t="n">
        <v>0</v>
      </c>
      <c r="U77" t="n">
        <v>0</v>
      </c>
      <c r="V77" s="2" t="inlineStr"/>
    </row>
    <row r="78" ht="15" customHeight="1">
      <c r="A78" t="inlineStr">
        <is>
          <t>A 1092-2022</t>
        </is>
      </c>
      <c r="B78" t="inlineStr">
        <is>
          <t>avverkningsanmälan</t>
        </is>
      </c>
      <c r="C78" t="inlineStr">
        <is>
          <t>Föryngringsavverkning</t>
        </is>
      </c>
      <c r="D78" s="1" t="n">
        <v>44571</v>
      </c>
      <c r="E78" s="1" t="n">
        <v>46258</v>
      </c>
      <c r="F78" t="inlineStr">
        <is>
          <t>NORRBOTTENS LÄN</t>
        </is>
      </c>
      <c r="G78" t="inlineStr">
        <is>
          <t>ÖVERTORNEÅ</t>
        </is>
      </c>
      <c r="I78" t="n">
        <v>23.5</v>
      </c>
      <c r="J78" t="n">
        <v>0</v>
      </c>
      <c r="K78" t="n">
        <v>0</v>
      </c>
      <c r="L78" t="n">
        <v>0</v>
      </c>
      <c r="M78" t="n">
        <v>0</v>
      </c>
      <c r="N78" t="n">
        <v>0</v>
      </c>
      <c r="O78" t="n">
        <v>0</v>
      </c>
      <c r="P78" t="n">
        <v>0</v>
      </c>
      <c r="Q78" t="n">
        <v>0</v>
      </c>
      <c r="R78" t="n">
        <v>0</v>
      </c>
      <c r="S78" t="n">
        <v>0</v>
      </c>
      <c r="T78" t="n">
        <v>0</v>
      </c>
      <c r="U78" t="n">
        <v>0</v>
      </c>
      <c r="V78" s="2" t="inlineStr"/>
    </row>
    <row r="79" ht="15" customHeight="1">
      <c r="A79" t="inlineStr">
        <is>
          <t>A 34398-2023</t>
        </is>
      </c>
      <c r="B79" t="inlineStr">
        <is>
          <t>avverkningsanmälan</t>
        </is>
      </c>
      <c r="C79" t="inlineStr">
        <is>
          <t>Föryngringsavverkning</t>
        </is>
      </c>
      <c r="D79" s="1" t="n">
        <v>45139</v>
      </c>
      <c r="E79" s="1" t="n">
        <v>46258</v>
      </c>
      <c r="F79" t="inlineStr">
        <is>
          <t>NORRBOTTENS LÄN</t>
        </is>
      </c>
      <c r="G79" t="inlineStr">
        <is>
          <t>ÖVERTORNEÅ</t>
        </is>
      </c>
      <c r="I79" t="n">
        <v>8.9</v>
      </c>
      <c r="J79" t="n">
        <v>0</v>
      </c>
      <c r="K79" t="n">
        <v>0</v>
      </c>
      <c r="L79" t="n">
        <v>0</v>
      </c>
      <c r="M79" t="n">
        <v>0</v>
      </c>
      <c r="N79" t="n">
        <v>0</v>
      </c>
      <c r="O79" t="n">
        <v>0</v>
      </c>
      <c r="P79" t="n">
        <v>0</v>
      </c>
      <c r="Q79" t="n">
        <v>0</v>
      </c>
      <c r="R79" t="n">
        <v>0</v>
      </c>
      <c r="S79" t="n">
        <v>0</v>
      </c>
      <c r="T79" t="n">
        <v>0</v>
      </c>
      <c r="U79" t="n">
        <v>0</v>
      </c>
      <c r="V79" s="2" t="inlineStr"/>
    </row>
    <row r="80" ht="15" customHeight="1">
      <c r="A80" t="inlineStr">
        <is>
          <t>A 33323-2023</t>
        </is>
      </c>
      <c r="B80" t="inlineStr">
        <is>
          <t>avverkningsanmälan</t>
        </is>
      </c>
      <c r="C80" t="inlineStr">
        <is>
          <t>Föryngringsavverkning</t>
        </is>
      </c>
      <c r="D80" s="1" t="n">
        <v>45127</v>
      </c>
      <c r="E80" s="1" t="n">
        <v>46258</v>
      </c>
      <c r="F80" t="inlineStr">
        <is>
          <t>NORRBOTTENS LÄN</t>
        </is>
      </c>
      <c r="G80" t="inlineStr">
        <is>
          <t>ÖVERTORNEÅ</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38980-2022</t>
        </is>
      </c>
      <c r="B81" t="inlineStr">
        <is>
          <t>avverkningsanmälan</t>
        </is>
      </c>
      <c r="C81" t="inlineStr">
        <is>
          <t>Avverkning för annat ändamål</t>
        </is>
      </c>
      <c r="D81" s="1" t="n">
        <v>44816</v>
      </c>
      <c r="E81" s="1" t="n">
        <v>46258</v>
      </c>
      <c r="F81" t="inlineStr">
        <is>
          <t>NORRBOTTENS LÄN</t>
        </is>
      </c>
      <c r="G81" t="inlineStr">
        <is>
          <t>ÖVERTORNEÅ</t>
        </is>
      </c>
      <c r="H81" t="inlineStr">
        <is>
          <t>Sveaskog</t>
        </is>
      </c>
      <c r="I81" t="n">
        <v>5</v>
      </c>
      <c r="J81" t="n">
        <v>0</v>
      </c>
      <c r="K81" t="n">
        <v>0</v>
      </c>
      <c r="L81" t="n">
        <v>0</v>
      </c>
      <c r="M81" t="n">
        <v>0</v>
      </c>
      <c r="N81" t="n">
        <v>0</v>
      </c>
      <c r="O81" t="n">
        <v>0</v>
      </c>
      <c r="P81" t="n">
        <v>0</v>
      </c>
      <c r="Q81" t="n">
        <v>0</v>
      </c>
      <c r="R81" t="n">
        <v>0</v>
      </c>
      <c r="S81" t="n">
        <v>0</v>
      </c>
      <c r="T81" t="n">
        <v>0</v>
      </c>
      <c r="U81" t="n">
        <v>0</v>
      </c>
      <c r="V81" s="2" t="inlineStr"/>
    </row>
    <row r="82" ht="15" customHeight="1">
      <c r="A82" t="inlineStr">
        <is>
          <t>A 26887-2025</t>
        </is>
      </c>
      <c r="B82" t="inlineStr">
        <is>
          <t>avverkningsanmälan</t>
        </is>
      </c>
      <c r="C82" t="inlineStr">
        <is>
          <t>Föryngringsavverkning</t>
        </is>
      </c>
      <c r="D82" s="1" t="n">
        <v>45810</v>
      </c>
      <c r="E82" s="1" t="n">
        <v>46258</v>
      </c>
      <c r="F82" t="inlineStr">
        <is>
          <t>NORRBOTTENS LÄN</t>
        </is>
      </c>
      <c r="G82" t="inlineStr">
        <is>
          <t>ÖVERTORNEÅ</t>
        </is>
      </c>
      <c r="H82" t="inlineStr">
        <is>
          <t>Sveaskog</t>
        </is>
      </c>
      <c r="I82" t="n">
        <v>9.300000000000001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27497-2025</t>
        </is>
      </c>
      <c r="B83" t="inlineStr">
        <is>
          <t>avverkningsanmälan</t>
        </is>
      </c>
      <c r="C83" t="inlineStr">
        <is>
          <t>Avverkning för annat ändamål</t>
        </is>
      </c>
      <c r="D83" s="1" t="n">
        <v>45813</v>
      </c>
      <c r="E83" s="1" t="n">
        <v>46258</v>
      </c>
      <c r="F83" t="inlineStr">
        <is>
          <t>NORRBOTTENS LÄN</t>
        </is>
      </c>
      <c r="G83" t="inlineStr">
        <is>
          <t>ÖVERTORNEÅ</t>
        </is>
      </c>
      <c r="H83" t="inlineStr">
        <is>
          <t>Sveaskog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30364-2025</t>
        </is>
      </c>
      <c r="B84" t="inlineStr">
        <is>
          <t>avverkningsanmälan</t>
        </is>
      </c>
      <c r="C84" t="inlineStr">
        <is>
          <t>Föryngringsavverkning</t>
        </is>
      </c>
      <c r="D84" s="1" t="n">
        <v>45827</v>
      </c>
      <c r="E84" s="1" t="n">
        <v>46258</v>
      </c>
      <c r="F84" t="inlineStr">
        <is>
          <t>NORRBOTTENS LÄN</t>
        </is>
      </c>
      <c r="G84" t="inlineStr">
        <is>
          <t>ÖVERTORNEÅ</t>
        </is>
      </c>
      <c r="I84" t="n">
        <v>4.1</v>
      </c>
      <c r="J84" t="n">
        <v>0</v>
      </c>
      <c r="K84" t="n">
        <v>0</v>
      </c>
      <c r="L84" t="n">
        <v>0</v>
      </c>
      <c r="M84" t="n">
        <v>0</v>
      </c>
      <c r="N84" t="n">
        <v>0</v>
      </c>
      <c r="O84" t="n">
        <v>0</v>
      </c>
      <c r="P84" t="n">
        <v>0</v>
      </c>
      <c r="Q84" t="n">
        <v>0</v>
      </c>
      <c r="R84" t="n">
        <v>0</v>
      </c>
      <c r="S84" t="n">
        <v>0</v>
      </c>
      <c r="T84" t="n">
        <v>0</v>
      </c>
      <c r="U84" t="n">
        <v>0</v>
      </c>
      <c r="V84" s="2" t="inlineStr"/>
    </row>
    <row r="85" ht="15" customHeight="1">
      <c r="A85" t="inlineStr">
        <is>
          <t>A 39303-2025</t>
        </is>
      </c>
      <c r="B85" t="inlineStr">
        <is>
          <t>avverkningsanmälan</t>
        </is>
      </c>
      <c r="C85" t="inlineStr">
        <is>
          <t>Föryngringsavverkning</t>
        </is>
      </c>
      <c r="D85" s="1" t="n">
        <v>45889</v>
      </c>
      <c r="E85" s="1" t="n">
        <v>46258</v>
      </c>
      <c r="F85" t="inlineStr">
        <is>
          <t>NORRBOTTENS LÄN</t>
        </is>
      </c>
      <c r="G85" t="inlineStr">
        <is>
          <t>ÖVERTORNEÅ</t>
        </is>
      </c>
      <c r="I85" t="n">
        <v>3.7</v>
      </c>
      <c r="J85" t="n">
        <v>0</v>
      </c>
      <c r="K85" t="n">
        <v>0</v>
      </c>
      <c r="L85" t="n">
        <v>0</v>
      </c>
      <c r="M85" t="n">
        <v>0</v>
      </c>
      <c r="N85" t="n">
        <v>0</v>
      </c>
      <c r="O85" t="n">
        <v>0</v>
      </c>
      <c r="P85" t="n">
        <v>0</v>
      </c>
      <c r="Q85" t="n">
        <v>0</v>
      </c>
      <c r="R85" t="n">
        <v>0</v>
      </c>
      <c r="S85" t="n">
        <v>0</v>
      </c>
      <c r="T85" t="n">
        <v>0</v>
      </c>
      <c r="U85" t="n">
        <v>0</v>
      </c>
      <c r="V85" s="2" t="inlineStr"/>
    </row>
    <row r="86" ht="15" customHeight="1">
      <c r="A86" t="inlineStr">
        <is>
          <t>A 19358-2022</t>
        </is>
      </c>
      <c r="B86" t="inlineStr">
        <is>
          <t>avverkningsanmälan</t>
        </is>
      </c>
      <c r="C86" t="inlineStr">
        <is>
          <t>Avverkning för annat ändamål</t>
        </is>
      </c>
      <c r="D86" s="1" t="n">
        <v>44692</v>
      </c>
      <c r="E86" s="1" t="n">
        <v>46258</v>
      </c>
      <c r="F86" t="inlineStr">
        <is>
          <t>NORRBOTTENS LÄN</t>
        </is>
      </c>
      <c r="G86" t="inlineStr">
        <is>
          <t>ÖVERTORNEÅ</t>
        </is>
      </c>
      <c r="H86" t="inlineStr">
        <is>
          <t>Sveaskog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2433-2025</t>
        </is>
      </c>
      <c r="B87" t="inlineStr">
        <is>
          <t>avverkningsanmälan</t>
        </is>
      </c>
      <c r="C87" t="inlineStr">
        <is>
          <t>Avverkning för annat ändamål</t>
        </is>
      </c>
      <c r="D87" s="1" t="n">
        <v>45673</v>
      </c>
      <c r="E87" s="1" t="n">
        <v>46258</v>
      </c>
      <c r="F87" t="inlineStr">
        <is>
          <t>NORRBOTTENS LÄN</t>
        </is>
      </c>
      <c r="G87" t="inlineStr">
        <is>
          <t>ÖVERTORNEÅ</t>
        </is>
      </c>
      <c r="I87" t="n">
        <v>9.6</v>
      </c>
      <c r="J87" t="n">
        <v>0</v>
      </c>
      <c r="K87" t="n">
        <v>0</v>
      </c>
      <c r="L87" t="n">
        <v>0</v>
      </c>
      <c r="M87" t="n">
        <v>0</v>
      </c>
      <c r="N87" t="n">
        <v>0</v>
      </c>
      <c r="O87" t="n">
        <v>0</v>
      </c>
      <c r="P87" t="n">
        <v>0</v>
      </c>
      <c r="Q87" t="n">
        <v>0</v>
      </c>
      <c r="R87" t="n">
        <v>0</v>
      </c>
      <c r="S87" t="n">
        <v>0</v>
      </c>
      <c r="T87" t="n">
        <v>0</v>
      </c>
      <c r="U87" t="n">
        <v>0</v>
      </c>
      <c r="V87" s="2" t="inlineStr"/>
    </row>
    <row r="88" ht="15" customHeight="1">
      <c r="A88" t="inlineStr">
        <is>
          <t>A 40089-2025</t>
        </is>
      </c>
      <c r="B88" t="inlineStr">
        <is>
          <t>avverkningsanmälan</t>
        </is>
      </c>
      <c r="C88" t="inlineStr">
        <is>
          <t>Föryngringsavverkning</t>
        </is>
      </c>
      <c r="D88" s="1" t="n">
        <v>45894</v>
      </c>
      <c r="E88" s="1" t="n">
        <v>46258</v>
      </c>
      <c r="F88" t="inlineStr">
        <is>
          <t>NORRBOTTENS LÄN</t>
        </is>
      </c>
      <c r="G88" t="inlineStr">
        <is>
          <t>ÖVERTORNEÅ</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40200-2025</t>
        </is>
      </c>
      <c r="B89" t="inlineStr">
        <is>
          <t>avverkningsanmälan</t>
        </is>
      </c>
      <c r="C89" t="inlineStr">
        <is>
          <t>Föryngringsavverkning</t>
        </is>
      </c>
      <c r="D89" s="1" t="n">
        <v>45894</v>
      </c>
      <c r="E89" s="1" t="n">
        <v>46258</v>
      </c>
      <c r="F89" t="inlineStr">
        <is>
          <t>NORRBOTTENS LÄN</t>
        </is>
      </c>
      <c r="G89" t="inlineStr">
        <is>
          <t>ÖVERTORNEÅ</t>
        </is>
      </c>
      <c r="H89" t="inlineStr">
        <is>
          <t>Sveaskog</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54029-2023</t>
        </is>
      </c>
      <c r="B90" t="inlineStr">
        <is>
          <t>avverkningsanmälan</t>
        </is>
      </c>
      <c r="C90" t="inlineStr">
        <is>
          <t>Föryngringsavverkning</t>
        </is>
      </c>
      <c r="D90" s="1" t="n">
        <v>45231</v>
      </c>
      <c r="E90" s="1" t="n">
        <v>46258</v>
      </c>
      <c r="F90" t="inlineStr">
        <is>
          <t>NORRBOTTENS LÄN</t>
        </is>
      </c>
      <c r="G90" t="inlineStr">
        <is>
          <t>ÖVERTORNEÅ</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48037-2024</t>
        </is>
      </c>
      <c r="B91" t="inlineStr">
        <is>
          <t>avverkningsanmälan</t>
        </is>
      </c>
      <c r="C91" t="inlineStr">
        <is>
          <t>Föryngringsavverkning</t>
        </is>
      </c>
      <c r="D91" s="1" t="n">
        <v>45589</v>
      </c>
      <c r="E91" s="1" t="n">
        <v>46258</v>
      </c>
      <c r="F91" t="inlineStr">
        <is>
          <t>NORRBOTTENS LÄN</t>
        </is>
      </c>
      <c r="G91" t="inlineStr">
        <is>
          <t>ÖVERTORNEÅ</t>
        </is>
      </c>
      <c r="H91" t="inlineStr">
        <is>
          <t>Kommuner</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40085-2025</t>
        </is>
      </c>
      <c r="B92" t="inlineStr">
        <is>
          <t>avverkningsanmälan</t>
        </is>
      </c>
      <c r="C92" t="inlineStr">
        <is>
          <t>Föryngringsavverkning</t>
        </is>
      </c>
      <c r="D92" s="1" t="n">
        <v>45894</v>
      </c>
      <c r="E92" s="1" t="n">
        <v>46258</v>
      </c>
      <c r="F92" t="inlineStr">
        <is>
          <t>NORRBOTTENS LÄN</t>
        </is>
      </c>
      <c r="G92" t="inlineStr">
        <is>
          <t>ÖVERTORNEÅ</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40198-2025</t>
        </is>
      </c>
      <c r="B93" t="inlineStr">
        <is>
          <t>avverkningsanmälan</t>
        </is>
      </c>
      <c r="C93" t="inlineStr">
        <is>
          <t>Föryngringsavverkning</t>
        </is>
      </c>
      <c r="D93" s="1" t="n">
        <v>45894</v>
      </c>
      <c r="E93" s="1" t="n">
        <v>46258</v>
      </c>
      <c r="F93" t="inlineStr">
        <is>
          <t>NORRBOTTENS LÄN</t>
        </is>
      </c>
      <c r="G93" t="inlineStr">
        <is>
          <t>ÖVERTORNEÅ</t>
        </is>
      </c>
      <c r="H93" t="inlineStr">
        <is>
          <t>Sveaskog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36586-2024</t>
        </is>
      </c>
      <c r="B94" t="inlineStr">
        <is>
          <t>avverkningsanmälan</t>
        </is>
      </c>
      <c r="C94" t="inlineStr">
        <is>
          <t>Avverkning för annat ändamål</t>
        </is>
      </c>
      <c r="D94" s="1" t="n">
        <v>45537</v>
      </c>
      <c r="E94" s="1" t="n">
        <v>46258</v>
      </c>
      <c r="F94" t="inlineStr">
        <is>
          <t>NORRBOTTENS LÄN</t>
        </is>
      </c>
      <c r="G94" t="inlineStr">
        <is>
          <t>ÖVERTORNEÅ</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53077-2023</t>
        </is>
      </c>
      <c r="B95" t="inlineStr">
        <is>
          <t>avverkningsanmälan</t>
        </is>
      </c>
      <c r="C95" t="inlineStr">
        <is>
          <t>Föryngringsavverkning</t>
        </is>
      </c>
      <c r="D95" s="1" t="n">
        <v>45227</v>
      </c>
      <c r="E95" s="1" t="n">
        <v>46258</v>
      </c>
      <c r="F95" t="inlineStr">
        <is>
          <t>NORRBOTTENS LÄN</t>
        </is>
      </c>
      <c r="G95" t="inlineStr">
        <is>
          <t>ÖVERTORNEÅ</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35218-2022</t>
        </is>
      </c>
      <c r="B96" t="inlineStr">
        <is>
          <t>avverkningsanmälan</t>
        </is>
      </c>
      <c r="C96" t="inlineStr">
        <is>
          <t>Föryngringsavverkning</t>
        </is>
      </c>
      <c r="D96" s="1" t="n">
        <v>44797</v>
      </c>
      <c r="E96" s="1" t="n">
        <v>46258</v>
      </c>
      <c r="F96" t="inlineStr">
        <is>
          <t>NORRBOTTENS LÄN</t>
        </is>
      </c>
      <c r="G96" t="inlineStr">
        <is>
          <t>ÖVERTORNEÅ</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4512-2022</t>
        </is>
      </c>
      <c r="B97" t="inlineStr">
        <is>
          <t>avverkningsanmälan</t>
        </is>
      </c>
      <c r="C97" t="inlineStr">
        <is>
          <t>Avverkning för annat ändamål</t>
        </is>
      </c>
      <c r="D97" s="1" t="n">
        <v>44589</v>
      </c>
      <c r="E97" s="1" t="n">
        <v>46258</v>
      </c>
      <c r="F97" t="inlineStr">
        <is>
          <t>NORRBOTTENS LÄN</t>
        </is>
      </c>
      <c r="G97" t="inlineStr">
        <is>
          <t>ÖVERTORNEÅ</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34145-2023</t>
        </is>
      </c>
      <c r="B98" t="inlineStr">
        <is>
          <t>avverkningsanmälan</t>
        </is>
      </c>
      <c r="C98" t="inlineStr">
        <is>
          <t>Avverkning för annat ändamål</t>
        </is>
      </c>
      <c r="D98" s="1" t="n">
        <v>45136</v>
      </c>
      <c r="E98" s="1" t="n">
        <v>46258</v>
      </c>
      <c r="F98" t="inlineStr">
        <is>
          <t>NORRBOTTENS LÄN</t>
        </is>
      </c>
      <c r="G98" t="inlineStr">
        <is>
          <t>ÖVERTORNEÅ</t>
        </is>
      </c>
      <c r="I98" t="n">
        <v>0.2</v>
      </c>
      <c r="J98" t="n">
        <v>0</v>
      </c>
      <c r="K98" t="n">
        <v>0</v>
      </c>
      <c r="L98" t="n">
        <v>0</v>
      </c>
      <c r="M98" t="n">
        <v>0</v>
      </c>
      <c r="N98" t="n">
        <v>0</v>
      </c>
      <c r="O98" t="n">
        <v>0</v>
      </c>
      <c r="P98" t="n">
        <v>0</v>
      </c>
      <c r="Q98" t="n">
        <v>0</v>
      </c>
      <c r="R98" t="n">
        <v>0</v>
      </c>
      <c r="S98" t="n">
        <v>0</v>
      </c>
      <c r="T98" t="n">
        <v>0</v>
      </c>
      <c r="U98" t="n">
        <v>0</v>
      </c>
      <c r="V98" s="2" t="inlineStr"/>
    </row>
    <row r="99" ht="15" customHeight="1">
      <c r="A99" t="inlineStr">
        <is>
          <t>A 45431-2024</t>
        </is>
      </c>
      <c r="B99" t="inlineStr">
        <is>
          <t>avverkningsanmälan</t>
        </is>
      </c>
      <c r="C99" t="inlineStr">
        <is>
          <t>Föryngringsavverkning</t>
        </is>
      </c>
      <c r="D99" s="1" t="n">
        <v>45576</v>
      </c>
      <c r="E99" s="1" t="n">
        <v>46258</v>
      </c>
      <c r="F99" t="inlineStr">
        <is>
          <t>NORRBOTTENS LÄN</t>
        </is>
      </c>
      <c r="G99" t="inlineStr">
        <is>
          <t>ÖVERTORNEÅ</t>
        </is>
      </c>
      <c r="H99" t="inlineStr">
        <is>
          <t>Sveaskog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58394-2024</t>
        </is>
      </c>
      <c r="B100" t="inlineStr">
        <is>
          <t>avverkningsanmälan</t>
        </is>
      </c>
      <c r="C100" t="inlineStr">
        <is>
          <t>Föryngringsavverkning</t>
        </is>
      </c>
      <c r="D100" s="1" t="n">
        <v>45633</v>
      </c>
      <c r="E100" s="1" t="n">
        <v>46258</v>
      </c>
      <c r="F100" t="inlineStr">
        <is>
          <t>NORRBOTTENS LÄN</t>
        </is>
      </c>
      <c r="G100" t="inlineStr">
        <is>
          <t>ÖVERTORNEÅ</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26299-2024</t>
        </is>
      </c>
      <c r="B101" t="inlineStr">
        <is>
          <t>avverkningsanmälan</t>
        </is>
      </c>
      <c r="C101" t="inlineStr">
        <is>
          <t>Föryngringsavverkning</t>
        </is>
      </c>
      <c r="D101" s="1" t="n">
        <v>45468</v>
      </c>
      <c r="E101" s="1" t="n">
        <v>46258</v>
      </c>
      <c r="F101" t="inlineStr">
        <is>
          <t>NORRBOTTENS LÄN</t>
        </is>
      </c>
      <c r="G101" t="inlineStr">
        <is>
          <t>ÖVERTORNEÅ</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46644-2023</t>
        </is>
      </c>
      <c r="B102" t="inlineStr">
        <is>
          <t>avverkningsanmälan</t>
        </is>
      </c>
      <c r="C102" t="inlineStr">
        <is>
          <t>Föryngringsavverkning</t>
        </is>
      </c>
      <c r="D102" s="1" t="n">
        <v>45194</v>
      </c>
      <c r="E102" s="1" t="n">
        <v>46258</v>
      </c>
      <c r="F102" t="inlineStr">
        <is>
          <t>NORRBOTTENS LÄN</t>
        </is>
      </c>
      <c r="G102" t="inlineStr">
        <is>
          <t>ÖVERTORNEÅ</t>
        </is>
      </c>
      <c r="I102" t="n">
        <v>5.3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58992-2024</t>
        </is>
      </c>
      <c r="B103" t="inlineStr">
        <is>
          <t>avverkningsanmälan</t>
        </is>
      </c>
      <c r="C103" t="inlineStr">
        <is>
          <t>Föryngringsavverkning</t>
        </is>
      </c>
      <c r="D103" s="1" t="n">
        <v>45636</v>
      </c>
      <c r="E103" s="1" t="n">
        <v>46258</v>
      </c>
      <c r="F103" t="inlineStr">
        <is>
          <t>NORRBOTTENS LÄN</t>
        </is>
      </c>
      <c r="G103" t="inlineStr">
        <is>
          <t>ÖVERTORNEÅ</t>
        </is>
      </c>
      <c r="I103" t="n">
        <v>44.5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41329-2025</t>
        </is>
      </c>
      <c r="B104" t="inlineStr">
        <is>
          <t>avverkningsanmälan</t>
        </is>
      </c>
      <c r="C104" t="inlineStr">
        <is>
          <t>Föryngringsavverkning</t>
        </is>
      </c>
      <c r="D104" s="1" t="n">
        <v>45899</v>
      </c>
      <c r="E104" s="1" t="n">
        <v>46258</v>
      </c>
      <c r="F104" t="inlineStr">
        <is>
          <t>NORRBOTTENS LÄN</t>
        </is>
      </c>
      <c r="G104" t="inlineStr">
        <is>
          <t>ÖVERTORNEÅ</t>
        </is>
      </c>
      <c r="H104" t="inlineStr">
        <is>
          <t>Sveaskog</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3982-2025</t>
        </is>
      </c>
      <c r="B105" t="inlineStr">
        <is>
          <t>avverkningsanmälan</t>
        </is>
      </c>
      <c r="C105" t="inlineStr">
        <is>
          <t>Avverkning för annat ändamål</t>
        </is>
      </c>
      <c r="D105" s="1" t="n">
        <v>45684</v>
      </c>
      <c r="E105" s="1" t="n">
        <v>46258</v>
      </c>
      <c r="F105" t="inlineStr">
        <is>
          <t>NORRBOTTENS LÄN</t>
        </is>
      </c>
      <c r="G105" t="inlineStr">
        <is>
          <t>ÖVERTORNEÅ</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40274-2024</t>
        </is>
      </c>
      <c r="B106" t="inlineStr">
        <is>
          <t>avverkningsanmälan</t>
        </is>
      </c>
      <c r="C106" t="inlineStr">
        <is>
          <t>Föryngringsavverkning</t>
        </is>
      </c>
      <c r="D106" s="1" t="n">
        <v>45554</v>
      </c>
      <c r="E106" s="1" t="n">
        <v>46258</v>
      </c>
      <c r="F106" t="inlineStr">
        <is>
          <t>NORRBOTTENS LÄN</t>
        </is>
      </c>
      <c r="G106" t="inlineStr">
        <is>
          <t>ÖVERTORNEÅ</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38677-2024</t>
        </is>
      </c>
      <c r="B107" t="inlineStr">
        <is>
          <t>avverkningsanmälan</t>
        </is>
      </c>
      <c r="C107" t="inlineStr">
        <is>
          <t>Föryngringsavverkning</t>
        </is>
      </c>
      <c r="D107" s="1" t="n">
        <v>45547</v>
      </c>
      <c r="E107" s="1" t="n">
        <v>46258</v>
      </c>
      <c r="F107" t="inlineStr">
        <is>
          <t>NORRBOTTENS LÄN</t>
        </is>
      </c>
      <c r="G107" t="inlineStr">
        <is>
          <t>ÖVERTORNEÅ</t>
        </is>
      </c>
      <c r="I107" t="n">
        <v>13.2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55455-2024</t>
        </is>
      </c>
      <c r="B108" t="inlineStr">
        <is>
          <t>avverkningsanmälan</t>
        </is>
      </c>
      <c r="C108" t="inlineStr">
        <is>
          <t>Föryngringsavverkning</t>
        </is>
      </c>
      <c r="D108" s="1" t="n">
        <v>45622</v>
      </c>
      <c r="E108" s="1" t="n">
        <v>46258</v>
      </c>
      <c r="F108" t="inlineStr">
        <is>
          <t>NORRBOTTENS LÄN</t>
        </is>
      </c>
      <c r="G108" t="inlineStr">
        <is>
          <t>ÖVERTORNEÅ</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55245-2024</t>
        </is>
      </c>
      <c r="B109" t="inlineStr">
        <is>
          <t>avverkningsanmälan</t>
        </is>
      </c>
      <c r="C109" t="inlineStr">
        <is>
          <t>Föryngringsavverkning</t>
        </is>
      </c>
      <c r="D109" s="1" t="n">
        <v>45621</v>
      </c>
      <c r="E109" s="1" t="n">
        <v>46258</v>
      </c>
      <c r="F109" t="inlineStr">
        <is>
          <t>NORRBOTTENS LÄN</t>
        </is>
      </c>
      <c r="G109" t="inlineStr">
        <is>
          <t>ÖVERTORNEÅ</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11622-2025</t>
        </is>
      </c>
      <c r="B110" t="inlineStr">
        <is>
          <t>avverkningsanmälan</t>
        </is>
      </c>
      <c r="C110" t="inlineStr">
        <is>
          <t>Föryngringsavverkning</t>
        </is>
      </c>
      <c r="D110" s="1" t="n">
        <v>45727</v>
      </c>
      <c r="E110" s="1" t="n">
        <v>46258</v>
      </c>
      <c r="F110" t="inlineStr">
        <is>
          <t>NORRBOTTENS LÄN</t>
        </is>
      </c>
      <c r="G110" t="inlineStr">
        <is>
          <t>ÖVERTORNEÅ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12202-2025</t>
        </is>
      </c>
      <c r="B111" t="inlineStr">
        <is>
          <t>avverkningsanmälan</t>
        </is>
      </c>
      <c r="C111" t="inlineStr">
        <is>
          <t>Föryngringsavverkning</t>
        </is>
      </c>
      <c r="D111" s="1" t="n">
        <v>45729</v>
      </c>
      <c r="E111" s="1" t="n">
        <v>46258</v>
      </c>
      <c r="F111" t="inlineStr">
        <is>
          <t>NORRBOTTENS LÄN</t>
        </is>
      </c>
      <c r="G111" t="inlineStr">
        <is>
          <t>ÖVERTORNEÅ</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42908-2025</t>
        </is>
      </c>
      <c r="B112" t="inlineStr">
        <is>
          <t>avverkningsanmälan</t>
        </is>
      </c>
      <c r="C112" t="inlineStr">
        <is>
          <t>Föryngringsavverkning</t>
        </is>
      </c>
      <c r="D112" s="1" t="n">
        <v>45908</v>
      </c>
      <c r="E112" s="1" t="n">
        <v>46258</v>
      </c>
      <c r="F112" t="inlineStr">
        <is>
          <t>NORRBOTTENS LÄN</t>
        </is>
      </c>
      <c r="G112" t="inlineStr">
        <is>
          <t>ÖVERTORNEÅ</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61040-2022</t>
        </is>
      </c>
      <c r="B113" t="inlineStr">
        <is>
          <t>avverkningsanmälan</t>
        </is>
      </c>
      <c r="C113" t="inlineStr">
        <is>
          <t>Föryngringsavverkning</t>
        </is>
      </c>
      <c r="D113" s="1" t="n">
        <v>44914</v>
      </c>
      <c r="E113" s="1" t="n">
        <v>46258</v>
      </c>
      <c r="F113" t="inlineStr">
        <is>
          <t>NORRBOTTENS LÄN</t>
        </is>
      </c>
      <c r="G113" t="inlineStr">
        <is>
          <t>ÖVERTORNEÅ</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31329-2024</t>
        </is>
      </c>
      <c r="B114" t="inlineStr">
        <is>
          <t>avverkningsanmälan</t>
        </is>
      </c>
      <c r="C114" t="inlineStr">
        <is>
          <t>Föryngringsavverkning</t>
        </is>
      </c>
      <c r="D114" s="1" t="n">
        <v>45504</v>
      </c>
      <c r="E114" s="1" t="n">
        <v>46258</v>
      </c>
      <c r="F114" t="inlineStr">
        <is>
          <t>NORRBOTTENS LÄN</t>
        </is>
      </c>
      <c r="G114" t="inlineStr">
        <is>
          <t>ÖVERTORNEÅ</t>
        </is>
      </c>
      <c r="H114" t="inlineStr">
        <is>
          <t>Sveaskog</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55556-2024</t>
        </is>
      </c>
      <c r="B115" t="inlineStr">
        <is>
          <t>avverkningsanmälan</t>
        </is>
      </c>
      <c r="C115" t="inlineStr">
        <is>
          <t>Föryngringsavverkning</t>
        </is>
      </c>
      <c r="D115" s="1" t="n">
        <v>45622</v>
      </c>
      <c r="E115" s="1" t="n">
        <v>46258</v>
      </c>
      <c r="F115" t="inlineStr">
        <is>
          <t>NORRBOTTENS LÄN</t>
        </is>
      </c>
      <c r="G115" t="inlineStr">
        <is>
          <t>ÖVERTORNEÅ</t>
        </is>
      </c>
      <c r="I115" t="n">
        <v>3.9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55559-2024</t>
        </is>
      </c>
      <c r="B116" t="inlineStr">
        <is>
          <t>avverkningsanmälan</t>
        </is>
      </c>
      <c r="C116" t="inlineStr">
        <is>
          <t>Föryngringsavverkning</t>
        </is>
      </c>
      <c r="D116" s="1" t="n">
        <v>45622</v>
      </c>
      <c r="E116" s="1" t="n">
        <v>46258</v>
      </c>
      <c r="F116" t="inlineStr">
        <is>
          <t>NORRBOTTENS LÄN</t>
        </is>
      </c>
      <c r="G116" t="inlineStr">
        <is>
          <t>ÖVERTORNEÅ</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12164-2024</t>
        </is>
      </c>
      <c r="B117" t="inlineStr">
        <is>
          <t>avverkningsanmälan</t>
        </is>
      </c>
      <c r="C117" t="inlineStr">
        <is>
          <t>Föryngringsavverkning</t>
        </is>
      </c>
      <c r="D117" s="1" t="n">
        <v>45377</v>
      </c>
      <c r="E117" s="1" t="n">
        <v>46258</v>
      </c>
      <c r="F117" t="inlineStr">
        <is>
          <t>NORRBOTTENS LÄN</t>
        </is>
      </c>
      <c r="G117" t="inlineStr">
        <is>
          <t>ÖVERTORNEÅ</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29907-2025</t>
        </is>
      </c>
      <c r="B118" t="inlineStr">
        <is>
          <t>avverkningsanmälan</t>
        </is>
      </c>
      <c r="C118" t="inlineStr">
        <is>
          <t>Föryngringsavverkning</t>
        </is>
      </c>
      <c r="D118" s="1" t="n">
        <v>45826</v>
      </c>
      <c r="E118" s="1" t="n">
        <v>46258</v>
      </c>
      <c r="F118" t="inlineStr">
        <is>
          <t>NORRBOTTENS LÄN</t>
        </is>
      </c>
      <c r="G118" t="inlineStr">
        <is>
          <t>ÖVERTORNEÅ</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43236-2025</t>
        </is>
      </c>
      <c r="B119" t="inlineStr">
        <is>
          <t>avverkningsanmälan</t>
        </is>
      </c>
      <c r="C119" t="inlineStr">
        <is>
          <t>Föryngringsavverkning</t>
        </is>
      </c>
      <c r="D119" s="1" t="n">
        <v>45910</v>
      </c>
      <c r="E119" s="1" t="n">
        <v>46258</v>
      </c>
      <c r="F119" t="inlineStr">
        <is>
          <t>NORRBOTTENS LÄN</t>
        </is>
      </c>
      <c r="G119" t="inlineStr">
        <is>
          <t>ÖVERTORNEÅ</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30780-2025</t>
        </is>
      </c>
      <c r="B120" t="inlineStr">
        <is>
          <t>avverkningsanmälan</t>
        </is>
      </c>
      <c r="C120" t="inlineStr">
        <is>
          <t>Föryngringsavverkning</t>
        </is>
      </c>
      <c r="D120" s="1" t="n">
        <v>45831</v>
      </c>
      <c r="E120" s="1" t="n">
        <v>46258</v>
      </c>
      <c r="F120" t="inlineStr">
        <is>
          <t>NORRBOTTENS LÄN</t>
        </is>
      </c>
      <c r="G120" t="inlineStr">
        <is>
          <t>ÖVERTORNEÅ</t>
        </is>
      </c>
      <c r="H120" t="inlineStr">
        <is>
          <t>Sveaskog</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16999-2025</t>
        </is>
      </c>
      <c r="B121" t="inlineStr">
        <is>
          <t>avverkningsanmälan</t>
        </is>
      </c>
      <c r="C121" t="inlineStr">
        <is>
          <t>Föryngringsavverkning</t>
        </is>
      </c>
      <c r="D121" s="1" t="n">
        <v>45755</v>
      </c>
      <c r="E121" s="1" t="n">
        <v>46258</v>
      </c>
      <c r="F121" t="inlineStr">
        <is>
          <t>NORRBOTTENS LÄN</t>
        </is>
      </c>
      <c r="G121" t="inlineStr">
        <is>
          <t>ÖVERTORNEÅ</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43235-2025</t>
        </is>
      </c>
      <c r="B122" t="inlineStr">
        <is>
          <t>avverkningsanmälan</t>
        </is>
      </c>
      <c r="C122" t="inlineStr">
        <is>
          <t>Föryngringsavverkning</t>
        </is>
      </c>
      <c r="D122" s="1" t="n">
        <v>45910</v>
      </c>
      <c r="E122" s="1" t="n">
        <v>46258</v>
      </c>
      <c r="F122" t="inlineStr">
        <is>
          <t>NORRBOTTENS LÄN</t>
        </is>
      </c>
      <c r="G122" t="inlineStr">
        <is>
          <t>ÖVERTORNEÅ</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45049-2024</t>
        </is>
      </c>
      <c r="B123" t="inlineStr">
        <is>
          <t>avverkningsanmälan</t>
        </is>
      </c>
      <c r="C123" t="inlineStr">
        <is>
          <t>Föryngringsavverkning</t>
        </is>
      </c>
      <c r="D123" s="1" t="n">
        <v>45575</v>
      </c>
      <c r="E123" s="1" t="n">
        <v>46258</v>
      </c>
      <c r="F123" t="inlineStr">
        <is>
          <t>NORRBOTTENS LÄN</t>
        </is>
      </c>
      <c r="G123" t="inlineStr">
        <is>
          <t>ÖVERTORNEÅ</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10528-2023</t>
        </is>
      </c>
      <c r="B124" t="inlineStr">
        <is>
          <t>avverkningsanmälan</t>
        </is>
      </c>
      <c r="C124" t="inlineStr">
        <is>
          <t>Avverkning för annat ändamål</t>
        </is>
      </c>
      <c r="D124" s="1" t="n">
        <v>44987</v>
      </c>
      <c r="E124" s="1" t="n">
        <v>46258</v>
      </c>
      <c r="F124" t="inlineStr">
        <is>
          <t>NORRBOTTENS LÄN</t>
        </is>
      </c>
      <c r="G124" t="inlineStr">
        <is>
          <t>ÖVERTORNEÅ</t>
        </is>
      </c>
      <c r="I124" t="n">
        <v>0.3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46031-2021</t>
        </is>
      </c>
      <c r="B125" t="inlineStr">
        <is>
          <t>avverkningsanmälan</t>
        </is>
      </c>
      <c r="C125" t="inlineStr">
        <is>
          <t>Föryngringsavverkning</t>
        </is>
      </c>
      <c r="D125" s="1" t="n">
        <v>44441</v>
      </c>
      <c r="E125" s="1" t="n">
        <v>46258</v>
      </c>
      <c r="F125" t="inlineStr">
        <is>
          <t>NORRBOTTENS LÄN</t>
        </is>
      </c>
      <c r="G125" t="inlineStr">
        <is>
          <t>ÖVERTORNEÅ</t>
        </is>
      </c>
      <c r="I125" t="n">
        <v>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62851-2021</t>
        </is>
      </c>
      <c r="B126" t="inlineStr">
        <is>
          <t>avverkningsanmälan</t>
        </is>
      </c>
      <c r="C126" t="inlineStr">
        <is>
          <t>Föryngringsavverkning</t>
        </is>
      </c>
      <c r="D126" s="1" t="n">
        <v>44504</v>
      </c>
      <c r="E126" s="1" t="n">
        <v>46258</v>
      </c>
      <c r="F126" t="inlineStr">
        <is>
          <t>NORRBOTTENS LÄN</t>
        </is>
      </c>
      <c r="G126" t="inlineStr">
        <is>
          <t>ÖVERTORNEÅ</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32156-2025</t>
        </is>
      </c>
      <c r="B127" t="inlineStr">
        <is>
          <t>avverkningsanmälan</t>
        </is>
      </c>
      <c r="C127" t="inlineStr">
        <is>
          <t>Föryngringsavverkning</t>
        </is>
      </c>
      <c r="D127" s="1" t="n">
        <v>45835</v>
      </c>
      <c r="E127" s="1" t="n">
        <v>46258</v>
      </c>
      <c r="F127" t="inlineStr">
        <is>
          <t>NORRBOTTENS LÄN</t>
        </is>
      </c>
      <c r="G127" t="inlineStr">
        <is>
          <t>ÖVERTORNEÅ</t>
        </is>
      </c>
      <c r="H127" t="inlineStr">
        <is>
          <t>Sveaskog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32144-2025</t>
        </is>
      </c>
      <c r="B128" t="inlineStr">
        <is>
          <t>avverkningsanmälan</t>
        </is>
      </c>
      <c r="C128" t="inlineStr">
        <is>
          <t>Föryngringsavverkning</t>
        </is>
      </c>
      <c r="D128" s="1" t="n">
        <v>45835</v>
      </c>
      <c r="E128" s="1" t="n">
        <v>46258</v>
      </c>
      <c r="F128" t="inlineStr">
        <is>
          <t>NORRBOTTENS LÄN</t>
        </is>
      </c>
      <c r="G128" t="inlineStr">
        <is>
          <t>ÖVERTORNEÅ</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34992-2023</t>
        </is>
      </c>
      <c r="B129" t="inlineStr">
        <is>
          <t>avverkningsanmälan</t>
        </is>
      </c>
      <c r="C129" t="inlineStr">
        <is>
          <t>Föryngringsavverkning</t>
        </is>
      </c>
      <c r="D129" s="1" t="n">
        <v>45142</v>
      </c>
      <c r="E129" s="1" t="n">
        <v>46258</v>
      </c>
      <c r="F129" t="inlineStr">
        <is>
          <t>NORRBOTTENS LÄN</t>
        </is>
      </c>
      <c r="G129" t="inlineStr">
        <is>
          <t>ÖVERTORNEÅ</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45261-2025</t>
        </is>
      </c>
      <c r="B130" t="inlineStr">
        <is>
          <t>avverkningsanmälan</t>
        </is>
      </c>
      <c r="C130" t="inlineStr">
        <is>
          <t>Föryngringsavverkning</t>
        </is>
      </c>
      <c r="D130" s="1" t="n">
        <v>45919</v>
      </c>
      <c r="E130" s="1" t="n">
        <v>46258</v>
      </c>
      <c r="F130" t="inlineStr">
        <is>
          <t>NORRBOTTENS LÄN</t>
        </is>
      </c>
      <c r="G130" t="inlineStr">
        <is>
          <t>ÖVERTORNEÅ</t>
        </is>
      </c>
      <c r="H130" t="inlineStr">
        <is>
          <t>Sveaskog</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23259-2024</t>
        </is>
      </c>
      <c r="B131" t="inlineStr">
        <is>
          <t>avverkningsanmälan</t>
        </is>
      </c>
      <c r="C131" t="inlineStr">
        <is>
          <t>Föryngringsavverkning</t>
        </is>
      </c>
      <c r="D131" s="1" t="n">
        <v>45453</v>
      </c>
      <c r="E131" s="1" t="n">
        <v>46258</v>
      </c>
      <c r="F131" t="inlineStr">
        <is>
          <t>NORRBOTTENS LÄN</t>
        </is>
      </c>
      <c r="G131" t="inlineStr">
        <is>
          <t>ÖVERTORNEÅ</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50447-2024</t>
        </is>
      </c>
      <c r="B132" t="inlineStr">
        <is>
          <t>avverkningsanmälan</t>
        </is>
      </c>
      <c r="C132" t="inlineStr">
        <is>
          <t>Avverkning för annat ändamål</t>
        </is>
      </c>
      <c r="D132" s="1" t="n">
        <v>45601</v>
      </c>
      <c r="E132" s="1" t="n">
        <v>46258</v>
      </c>
      <c r="F132" t="inlineStr">
        <is>
          <t>NORRBOTTENS LÄN</t>
        </is>
      </c>
      <c r="G132" t="inlineStr">
        <is>
          <t>ÖVERTORNEÅ</t>
        </is>
      </c>
      <c r="I132" t="n">
        <v>10</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12653-2025</t>
        </is>
      </c>
      <c r="B133" t="inlineStr">
        <is>
          <t>avverkningsanmälan</t>
        </is>
      </c>
      <c r="C133" t="inlineStr">
        <is>
          <t>Föryngringsavverkning</t>
        </is>
      </c>
      <c r="D133" s="1" t="n">
        <v>45733</v>
      </c>
      <c r="E133" s="1" t="n">
        <v>46258</v>
      </c>
      <c r="F133" t="inlineStr">
        <is>
          <t>NORRBOTTENS LÄN</t>
        </is>
      </c>
      <c r="G133" t="inlineStr">
        <is>
          <t>ÖVERTORNEÅ</t>
        </is>
      </c>
      <c r="I133" t="n">
        <v>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51275-2024</t>
        </is>
      </c>
      <c r="B134" t="inlineStr">
        <is>
          <t>avverkningsanmälan</t>
        </is>
      </c>
      <c r="C134" t="inlineStr">
        <is>
          <t>Föryngringsavverkning</t>
        </is>
      </c>
      <c r="D134" s="1" t="n">
        <v>45602</v>
      </c>
      <c r="E134" s="1" t="n">
        <v>46258</v>
      </c>
      <c r="F134" t="inlineStr">
        <is>
          <t>NORRBOTTENS LÄN</t>
        </is>
      </c>
      <c r="G134" t="inlineStr">
        <is>
          <t>ÖVERTORNEÅ</t>
        </is>
      </c>
      <c r="I134" t="n">
        <v>10.4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46703-2025</t>
        </is>
      </c>
      <c r="B135" t="inlineStr">
        <is>
          <t>avverkningsanmälan</t>
        </is>
      </c>
      <c r="C135" t="inlineStr">
        <is>
          <t>Avverkning för annat ändamål</t>
        </is>
      </c>
      <c r="D135" s="1" t="n">
        <v>45926</v>
      </c>
      <c r="E135" s="1" t="n">
        <v>46258</v>
      </c>
      <c r="F135" t="inlineStr">
        <is>
          <t>NORRBOTTENS LÄN</t>
        </is>
      </c>
      <c r="G135" t="inlineStr">
        <is>
          <t>ÖVERTORNEÅ</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14826-2024</t>
        </is>
      </c>
      <c r="B136" t="inlineStr">
        <is>
          <t>avverkningsanmälan</t>
        </is>
      </c>
      <c r="C136" t="inlineStr">
        <is>
          <t>Föryngringsavverkning</t>
        </is>
      </c>
      <c r="D136" s="1" t="n">
        <v>45398</v>
      </c>
      <c r="E136" s="1" t="n">
        <v>46258</v>
      </c>
      <c r="F136" t="inlineStr">
        <is>
          <t>NORRBOTTENS LÄN</t>
        </is>
      </c>
      <c r="G136" t="inlineStr">
        <is>
          <t>ÖVERTORNEÅ</t>
        </is>
      </c>
      <c r="H136" t="inlineStr">
        <is>
          <t>Sveaskog</t>
        </is>
      </c>
      <c r="I136" t="n">
        <v>32.7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32738-2024</t>
        </is>
      </c>
      <c r="B137" t="inlineStr">
        <is>
          <t>avverkningsanmälan</t>
        </is>
      </c>
      <c r="C137" t="inlineStr">
        <is>
          <t>Föryngringsavverkning</t>
        </is>
      </c>
      <c r="D137" s="1" t="n">
        <v>45516</v>
      </c>
      <c r="E137" s="1" t="n">
        <v>46258</v>
      </c>
      <c r="F137" t="inlineStr">
        <is>
          <t>NORRBOTTENS LÄN</t>
        </is>
      </c>
      <c r="G137" t="inlineStr">
        <is>
          <t>ÖVERTORNEÅ</t>
        </is>
      </c>
      <c r="I137" t="n">
        <v>5.1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25149-2022</t>
        </is>
      </c>
      <c r="B138" t="inlineStr">
        <is>
          <t>avverkningsanmälan</t>
        </is>
      </c>
      <c r="C138" t="inlineStr">
        <is>
          <t>Föryngringsavverkning</t>
        </is>
      </c>
      <c r="D138" s="1" t="n">
        <v>44729</v>
      </c>
      <c r="E138" s="1" t="n">
        <v>46258</v>
      </c>
      <c r="F138" t="inlineStr">
        <is>
          <t>NORRBOTTENS LÄN</t>
        </is>
      </c>
      <c r="G138" t="inlineStr">
        <is>
          <t>ÖVERTORNEÅ</t>
        </is>
      </c>
      <c r="I138" t="n">
        <v>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44540-2024</t>
        </is>
      </c>
      <c r="B139" t="inlineStr">
        <is>
          <t>avverkningsanmälan</t>
        </is>
      </c>
      <c r="C139" t="inlineStr">
        <is>
          <t>Föryngringsavverkning</t>
        </is>
      </c>
      <c r="D139" s="1" t="n">
        <v>45574</v>
      </c>
      <c r="E139" s="1" t="n">
        <v>46258</v>
      </c>
      <c r="F139" t="inlineStr">
        <is>
          <t>NORRBOTTENS LÄN</t>
        </is>
      </c>
      <c r="G139" t="inlineStr">
        <is>
          <t>ÖVERTORNEÅ</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16006-2024</t>
        </is>
      </c>
      <c r="B140" t="inlineStr">
        <is>
          <t>avverkningsanmälan</t>
        </is>
      </c>
      <c r="C140" t="inlineStr">
        <is>
          <t>Föryngringsavverkning</t>
        </is>
      </c>
      <c r="D140" s="1" t="n">
        <v>45405</v>
      </c>
      <c r="E140" s="1" t="n">
        <v>46258</v>
      </c>
      <c r="F140" t="inlineStr">
        <is>
          <t>NORRBOTTENS LÄN</t>
        </is>
      </c>
      <c r="G140" t="inlineStr">
        <is>
          <t>ÖVERTORNEÅ</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47909-2025</t>
        </is>
      </c>
      <c r="B141" t="inlineStr">
        <is>
          <t>avverkningsanmälan</t>
        </is>
      </c>
      <c r="C141" t="inlineStr">
        <is>
          <t>Föryngringsavverkning</t>
        </is>
      </c>
      <c r="D141" s="1" t="n">
        <v>45932</v>
      </c>
      <c r="E141" s="1" t="n">
        <v>46258</v>
      </c>
      <c r="F141" t="inlineStr">
        <is>
          <t>NORRBOTTENS LÄN</t>
        </is>
      </c>
      <c r="G141" t="inlineStr">
        <is>
          <t>ÖVERTORNEÅ</t>
        </is>
      </c>
      <c r="H141" t="inlineStr">
        <is>
          <t>Sveaskog</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61782-2022</t>
        </is>
      </c>
      <c r="B142" t="inlineStr">
        <is>
          <t>avverkningsanmälan</t>
        </is>
      </c>
      <c r="C142" t="inlineStr">
        <is>
          <t>Föryngringsavverkning</t>
        </is>
      </c>
      <c r="D142" s="1" t="n">
        <v>44917</v>
      </c>
      <c r="E142" s="1" t="n">
        <v>46258</v>
      </c>
      <c r="F142" t="inlineStr">
        <is>
          <t>NORRBOTTENS LÄN</t>
        </is>
      </c>
      <c r="G142" t="inlineStr">
        <is>
          <t>ÖVERTORNEÅ</t>
        </is>
      </c>
      <c r="I142" t="n">
        <v>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4011-2022</t>
        </is>
      </c>
      <c r="B143" t="inlineStr">
        <is>
          <t>avverkningsanmälan</t>
        </is>
      </c>
      <c r="C143" t="inlineStr">
        <is>
          <t>Avverkning för att bevara och utveckla /försöksver</t>
        </is>
      </c>
      <c r="D143" s="1" t="n">
        <v>44587</v>
      </c>
      <c r="E143" s="1" t="n">
        <v>46258</v>
      </c>
      <c r="F143" t="inlineStr">
        <is>
          <t>NORRBOTTENS LÄN</t>
        </is>
      </c>
      <c r="G143" t="inlineStr">
        <is>
          <t>ÖVERTORNEÅ</t>
        </is>
      </c>
      <c r="H143" t="inlineStr">
        <is>
          <t>Kommuner</t>
        </is>
      </c>
      <c r="I143" t="n">
        <v>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23196-2024</t>
        </is>
      </c>
      <c r="B144" t="inlineStr">
        <is>
          <t>avverkningsanmälan</t>
        </is>
      </c>
      <c r="C144" t="inlineStr">
        <is>
          <t>Föryngringsavverkning</t>
        </is>
      </c>
      <c r="D144" s="1" t="n">
        <v>45451</v>
      </c>
      <c r="E144" s="1" t="n">
        <v>46258</v>
      </c>
      <c r="F144" t="inlineStr">
        <is>
          <t>NORRBOTTENS LÄN</t>
        </is>
      </c>
      <c r="G144" t="inlineStr">
        <is>
          <t>ÖVERTORNEÅ</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47912-2025</t>
        </is>
      </c>
      <c r="B145" t="inlineStr">
        <is>
          <t>avverkningsanmälan</t>
        </is>
      </c>
      <c r="C145" t="inlineStr">
        <is>
          <t>Föryngringsavverkning</t>
        </is>
      </c>
      <c r="D145" s="1" t="n">
        <v>45932</v>
      </c>
      <c r="E145" s="1" t="n">
        <v>46258</v>
      </c>
      <c r="F145" t="inlineStr">
        <is>
          <t>NORRBOTTENS LÄN</t>
        </is>
      </c>
      <c r="G145" t="inlineStr">
        <is>
          <t>ÖVERTORNEÅ</t>
        </is>
      </c>
      <c r="H145" t="inlineStr">
        <is>
          <t>Sveaskog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38127-2024</t>
        </is>
      </c>
      <c r="B146" t="inlineStr">
        <is>
          <t>avverkningsanmälan</t>
        </is>
      </c>
      <c r="C146" t="inlineStr">
        <is>
          <t>Avverkning för att bevara och utveckla /försöksver</t>
        </is>
      </c>
      <c r="D146" s="1" t="n">
        <v>45545</v>
      </c>
      <c r="E146" s="1" t="n">
        <v>46258</v>
      </c>
      <c r="F146" t="inlineStr">
        <is>
          <t>NORRBOTTENS LÄN</t>
        </is>
      </c>
      <c r="G146" t="inlineStr">
        <is>
          <t>ÖVERTORNEÅ</t>
        </is>
      </c>
      <c r="H146" t="inlineStr">
        <is>
          <t>Sveaskog</t>
        </is>
      </c>
      <c r="I146" t="n">
        <v>6.7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47914-2025</t>
        </is>
      </c>
      <c r="B147" t="inlineStr">
        <is>
          <t>avverkningsanmälan</t>
        </is>
      </c>
      <c r="C147" t="inlineStr">
        <is>
          <t>Föryngringsavverkning</t>
        </is>
      </c>
      <c r="D147" s="1" t="n">
        <v>45932</v>
      </c>
      <c r="E147" s="1" t="n">
        <v>46258</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44238-2024</t>
        </is>
      </c>
      <c r="B148" t="inlineStr">
        <is>
          <t>avverkningsanmälan</t>
        </is>
      </c>
      <c r="C148" t="inlineStr">
        <is>
          <t>Föryngringsavverkning</t>
        </is>
      </c>
      <c r="D148" s="1" t="n">
        <v>45573</v>
      </c>
      <c r="E148" s="1" t="n">
        <v>46258</v>
      </c>
      <c r="F148" t="inlineStr">
        <is>
          <t>NORRBOTTENS LÄN</t>
        </is>
      </c>
      <c r="G148" t="inlineStr">
        <is>
          <t>ÖVERTORNEÅ</t>
        </is>
      </c>
      <c r="I148" t="n">
        <v>6.3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48691-2025</t>
        </is>
      </c>
      <c r="B149" t="inlineStr">
        <is>
          <t>avverkningsanmälan</t>
        </is>
      </c>
      <c r="C149" t="inlineStr">
        <is>
          <t>Föryngringsavverkning</t>
        </is>
      </c>
      <c r="D149" s="1" t="n">
        <v>45936</v>
      </c>
      <c r="E149" s="1" t="n">
        <v>46258</v>
      </c>
      <c r="F149" t="inlineStr">
        <is>
          <t>NORRBOTTENS LÄN</t>
        </is>
      </c>
      <c r="G149" t="inlineStr">
        <is>
          <t>ÖVERTORNEÅ</t>
        </is>
      </c>
      <c r="H149" t="inlineStr">
        <is>
          <t>Sveaskog</t>
        </is>
      </c>
      <c r="I149" t="n">
        <v>7.8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48610-2025</t>
        </is>
      </c>
      <c r="B150" t="inlineStr">
        <is>
          <t>avverkningsanmälan</t>
        </is>
      </c>
      <c r="C150" t="inlineStr">
        <is>
          <t>Avverkning för annat ändamål</t>
        </is>
      </c>
      <c r="D150" s="1" t="n">
        <v>45936</v>
      </c>
      <c r="E150" s="1" t="n">
        <v>46258</v>
      </c>
      <c r="F150" t="inlineStr">
        <is>
          <t>NORRBOTTENS LÄN</t>
        </is>
      </c>
      <c r="G150" t="inlineStr">
        <is>
          <t>ÖVERTORNEÅ</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62076-2024</t>
        </is>
      </c>
      <c r="B151" t="inlineStr">
        <is>
          <t>avverkningsanmälan</t>
        </is>
      </c>
      <c r="C151" t="inlineStr">
        <is>
          <t>Föryngringsavverkning</t>
        </is>
      </c>
      <c r="D151" s="1" t="n">
        <v>45656</v>
      </c>
      <c r="E151" s="1" t="n">
        <v>46258</v>
      </c>
      <c r="F151" t="inlineStr">
        <is>
          <t>NORRBOTTENS LÄN</t>
        </is>
      </c>
      <c r="G151" t="inlineStr">
        <is>
          <t>ÖVERTORNEÅ</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49368-2025</t>
        </is>
      </c>
      <c r="B152" t="inlineStr">
        <is>
          <t>avverkningsanmälan</t>
        </is>
      </c>
      <c r="C152" t="inlineStr">
        <is>
          <t>Föryngringsavverkning</t>
        </is>
      </c>
      <c r="D152" s="1" t="n">
        <v>45938</v>
      </c>
      <c r="E152" s="1" t="n">
        <v>46258</v>
      </c>
      <c r="F152" t="inlineStr">
        <is>
          <t>NORRBOTTENS LÄN</t>
        </is>
      </c>
      <c r="G152" t="inlineStr">
        <is>
          <t>ÖVERTORNEÅ</t>
        </is>
      </c>
      <c r="H152" t="inlineStr">
        <is>
          <t>Sveaskog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34143-2023</t>
        </is>
      </c>
      <c r="B153" t="inlineStr">
        <is>
          <t>avverkningsanmälan</t>
        </is>
      </c>
      <c r="C153" t="inlineStr">
        <is>
          <t>Avverkning för annat ändamål</t>
        </is>
      </c>
      <c r="D153" s="1" t="n">
        <v>45136</v>
      </c>
      <c r="E153" s="1" t="n">
        <v>46258</v>
      </c>
      <c r="F153" t="inlineStr">
        <is>
          <t>NORRBOTTENS LÄN</t>
        </is>
      </c>
      <c r="G153" t="inlineStr">
        <is>
          <t>ÖVERTORNEÅ</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34144-2023</t>
        </is>
      </c>
      <c r="B154" t="inlineStr">
        <is>
          <t>avverkningsanmälan</t>
        </is>
      </c>
      <c r="C154" t="inlineStr">
        <is>
          <t>Föryngringsavverkning</t>
        </is>
      </c>
      <c r="D154" s="1" t="n">
        <v>45136</v>
      </c>
      <c r="E154" s="1" t="n">
        <v>46258</v>
      </c>
      <c r="F154" t="inlineStr">
        <is>
          <t>NORRBOTTENS LÄN</t>
        </is>
      </c>
      <c r="G154" t="inlineStr">
        <is>
          <t>ÖVERTORNEÅ</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5095-2025</t>
        </is>
      </c>
      <c r="B155" t="inlineStr">
        <is>
          <t>avverkningsanmälan</t>
        </is>
      </c>
      <c r="C155" t="inlineStr">
        <is>
          <t>Avverkning för annat ändamål</t>
        </is>
      </c>
      <c r="D155" s="1" t="n">
        <v>45691</v>
      </c>
      <c r="E155" s="1" t="n">
        <v>46258</v>
      </c>
      <c r="F155" t="inlineStr">
        <is>
          <t>NORRBOTTENS LÄN</t>
        </is>
      </c>
      <c r="G155" t="inlineStr">
        <is>
          <t>ÖVERTORNEÅ</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49362-2025</t>
        </is>
      </c>
      <c r="B156" t="inlineStr">
        <is>
          <t>avverkningsanmälan</t>
        </is>
      </c>
      <c r="C156" t="inlineStr">
        <is>
          <t>Föryngringsavverkning</t>
        </is>
      </c>
      <c r="D156" s="1" t="n">
        <v>45938</v>
      </c>
      <c r="E156" s="1" t="n">
        <v>46258</v>
      </c>
      <c r="F156" t="inlineStr">
        <is>
          <t>NORRBOTTENS LÄN</t>
        </is>
      </c>
      <c r="G156" t="inlineStr">
        <is>
          <t>ÖVERTORNEÅ</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34579-2024</t>
        </is>
      </c>
      <c r="B157" t="inlineStr">
        <is>
          <t>avverkningsanmälan</t>
        </is>
      </c>
      <c r="C157" t="inlineStr">
        <is>
          <t>Föryngringsavverkning</t>
        </is>
      </c>
      <c r="D157" s="1" t="n">
        <v>45526</v>
      </c>
      <c r="E157" s="1" t="n">
        <v>46258</v>
      </c>
      <c r="F157" t="inlineStr">
        <is>
          <t>NORRBOTTENS LÄN</t>
        </is>
      </c>
      <c r="G157" t="inlineStr">
        <is>
          <t>ÖVERTORNEÅ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49353-2025</t>
        </is>
      </c>
      <c r="B158" t="inlineStr">
        <is>
          <t>avverkningsanmälan</t>
        </is>
      </c>
      <c r="C158" t="inlineStr">
        <is>
          <t>Föryngringsavverkning</t>
        </is>
      </c>
      <c r="D158" s="1" t="n">
        <v>45938</v>
      </c>
      <c r="E158" s="1" t="n">
        <v>46258</v>
      </c>
      <c r="F158" t="inlineStr">
        <is>
          <t>NORRBOTTENS LÄN</t>
        </is>
      </c>
      <c r="G158" t="inlineStr">
        <is>
          <t>ÖVERTORNEÅ</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50184-2025</t>
        </is>
      </c>
      <c r="B159" t="inlineStr">
        <is>
          <t>avverkningsanmälan</t>
        </is>
      </c>
      <c r="C159" t="inlineStr">
        <is>
          <t>Föryngringsavverkning</t>
        </is>
      </c>
      <c r="D159" s="1" t="n">
        <v>45943</v>
      </c>
      <c r="E159" s="1" t="n">
        <v>46258</v>
      </c>
      <c r="F159" t="inlineStr">
        <is>
          <t>NORRBOTTENS LÄN</t>
        </is>
      </c>
      <c r="G159" t="inlineStr">
        <is>
          <t>ÖVERTORNEÅ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49744-2025</t>
        </is>
      </c>
      <c r="B160" t="inlineStr">
        <is>
          <t>avverkningsanmälan</t>
        </is>
      </c>
      <c r="C160" t="inlineStr">
        <is>
          <t>Avverkning för annat ändamål</t>
        </is>
      </c>
      <c r="D160" s="1" t="n">
        <v>45940</v>
      </c>
      <c r="E160" s="1" t="n">
        <v>46258</v>
      </c>
      <c r="F160" t="inlineStr">
        <is>
          <t>NORRBOTTENS LÄN</t>
        </is>
      </c>
      <c r="G160" t="inlineStr">
        <is>
          <t>ÖVERTORNEÅ</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12005-2022</t>
        </is>
      </c>
      <c r="B161" t="inlineStr">
        <is>
          <t>avverkningsanmälan</t>
        </is>
      </c>
      <c r="C161" t="inlineStr">
        <is>
          <t>Föryngringsavverkning</t>
        </is>
      </c>
      <c r="D161" s="1" t="n">
        <v>44635</v>
      </c>
      <c r="E161" s="1" t="n">
        <v>46258</v>
      </c>
      <c r="F161" t="inlineStr">
        <is>
          <t>NORRBOTTENS LÄN</t>
        </is>
      </c>
      <c r="G161" t="inlineStr">
        <is>
          <t>ÖVERTORNEÅ</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1623-2024</t>
        </is>
      </c>
      <c r="B162" t="inlineStr">
        <is>
          <t>avverkningsanmälan</t>
        </is>
      </c>
      <c r="C162" t="inlineStr">
        <is>
          <t>Föryngringsavverkning</t>
        </is>
      </c>
      <c r="D162" s="1" t="n">
        <v>45306</v>
      </c>
      <c r="E162" s="1" t="n">
        <v>46258</v>
      </c>
      <c r="F162" t="inlineStr">
        <is>
          <t>NORRBOTTENS LÄN</t>
        </is>
      </c>
      <c r="G162" t="inlineStr">
        <is>
          <t>ÖVERTORNEÅ</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50236-2025</t>
        </is>
      </c>
      <c r="B163" t="inlineStr">
        <is>
          <t>avverkningsanmälan</t>
        </is>
      </c>
      <c r="C163" t="inlineStr">
        <is>
          <t>Föryngringsavverkning</t>
        </is>
      </c>
      <c r="D163" s="1" t="n">
        <v>45943</v>
      </c>
      <c r="E163" s="1" t="n">
        <v>46258</v>
      </c>
      <c r="F163" t="inlineStr">
        <is>
          <t>NORRBOTTENS LÄN</t>
        </is>
      </c>
      <c r="G163" t="inlineStr">
        <is>
          <t>ÖVERTORNEÅ</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60385-2022</t>
        </is>
      </c>
      <c r="B164" t="inlineStr">
        <is>
          <t>avverkningsanmälan</t>
        </is>
      </c>
      <c r="C164" t="inlineStr">
        <is>
          <t>Föryngringsavverkning</t>
        </is>
      </c>
      <c r="D164" s="1" t="n">
        <v>44910</v>
      </c>
      <c r="E164" s="1" t="n">
        <v>46258</v>
      </c>
      <c r="F164" t="inlineStr">
        <is>
          <t>NORRBOTTENS LÄN</t>
        </is>
      </c>
      <c r="G164" t="inlineStr">
        <is>
          <t>ÖVERTORNEÅ</t>
        </is>
      </c>
      <c r="I164" t="n">
        <v>17.2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32576-2025</t>
        </is>
      </c>
      <c r="B165" t="inlineStr">
        <is>
          <t>avverkningsanmälan</t>
        </is>
      </c>
      <c r="C165" t="inlineStr">
        <is>
          <t>Föryngringsavverkning</t>
        </is>
      </c>
      <c r="D165" s="1" t="n">
        <v>45838</v>
      </c>
      <c r="E165" s="1" t="n">
        <v>46258</v>
      </c>
      <c r="F165" t="inlineStr">
        <is>
          <t>NORRBOTTENS LÄN</t>
        </is>
      </c>
      <c r="G165" t="inlineStr">
        <is>
          <t>ÖVERTORNEÅ</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50938-2025</t>
        </is>
      </c>
      <c r="B166" t="inlineStr">
        <is>
          <t>avverkningsanmälan</t>
        </is>
      </c>
      <c r="C166" t="inlineStr">
        <is>
          <t>Föryngringsavverkning</t>
        </is>
      </c>
      <c r="D166" s="1" t="n">
        <v>45946</v>
      </c>
      <c r="E166" s="1" t="n">
        <v>46258</v>
      </c>
      <c r="F166" t="inlineStr">
        <is>
          <t>NORRBOTTENS LÄN</t>
        </is>
      </c>
      <c r="G166" t="inlineStr">
        <is>
          <t>ÖVERTORNEÅ</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8509-2024</t>
        </is>
      </c>
      <c r="B167" t="inlineStr">
        <is>
          <t>avverkningsanmälan</t>
        </is>
      </c>
      <c r="C167" t="inlineStr">
        <is>
          <t>Föryngringsavverkning</t>
        </is>
      </c>
      <c r="D167" s="1" t="n">
        <v>45351</v>
      </c>
      <c r="E167" s="1" t="n">
        <v>46258</v>
      </c>
      <c r="F167" t="inlineStr">
        <is>
          <t>NORRBOTTENS LÄN</t>
        </is>
      </c>
      <c r="G167" t="inlineStr">
        <is>
          <t>ÖVERTORNEÅ</t>
        </is>
      </c>
      <c r="I167" t="n">
        <v>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33518-2023</t>
        </is>
      </c>
      <c r="B168" t="inlineStr">
        <is>
          <t>avverkningsanmälan</t>
        </is>
      </c>
      <c r="C168" t="inlineStr">
        <is>
          <t>Föryngringsavverkning</t>
        </is>
      </c>
      <c r="D168" s="1" t="n">
        <v>45118</v>
      </c>
      <c r="E168" s="1" t="n">
        <v>46258</v>
      </c>
      <c r="F168" t="inlineStr">
        <is>
          <t>NORRBOTTENS LÄN</t>
        </is>
      </c>
      <c r="G168" t="inlineStr">
        <is>
          <t>ÖVERTORNEÅ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597-2023</t>
        </is>
      </c>
      <c r="B169" t="inlineStr">
        <is>
          <t>avverkningsanmälan</t>
        </is>
      </c>
      <c r="C169" t="inlineStr">
        <is>
          <t>Föryngringsavverkning</t>
        </is>
      </c>
      <c r="D169" s="1" t="n">
        <v>44930</v>
      </c>
      <c r="E169" s="1" t="n">
        <v>46258</v>
      </c>
      <c r="F169" t="inlineStr">
        <is>
          <t>NORRBOTTENS LÄN</t>
        </is>
      </c>
      <c r="G169" t="inlineStr">
        <is>
          <t>ÖVERTORNEÅ</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50807-2023</t>
        </is>
      </c>
      <c r="B170" t="inlineStr">
        <is>
          <t>avverkningsanmälan</t>
        </is>
      </c>
      <c r="C170" t="inlineStr">
        <is>
          <t>Avverkning för annat ändamål</t>
        </is>
      </c>
      <c r="D170" s="1" t="n">
        <v>45217</v>
      </c>
      <c r="E170" s="1" t="n">
        <v>46258</v>
      </c>
      <c r="F170" t="inlineStr">
        <is>
          <t>NORRBOTTENS LÄN</t>
        </is>
      </c>
      <c r="G170" t="inlineStr">
        <is>
          <t>ÖVERTORNEÅ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58691-2021</t>
        </is>
      </c>
      <c r="B171" t="inlineStr">
        <is>
          <t>avverkningsanmälan</t>
        </is>
      </c>
      <c r="C171" t="inlineStr">
        <is>
          <t>Föryngringsavverkning</t>
        </is>
      </c>
      <c r="D171" s="1" t="n">
        <v>44489</v>
      </c>
      <c r="E171" s="1" t="n">
        <v>46258</v>
      </c>
      <c r="F171" t="inlineStr">
        <is>
          <t>NORRBOTTENS LÄN</t>
        </is>
      </c>
      <c r="G171" t="inlineStr">
        <is>
          <t>ÖVERTORNEÅ</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53429-2025</t>
        </is>
      </c>
      <c r="B172" t="inlineStr">
        <is>
          <t>avverkningsanmälan</t>
        </is>
      </c>
      <c r="C172" t="inlineStr">
        <is>
          <t>Föryngringsavverkning</t>
        </is>
      </c>
      <c r="D172" s="1" t="n">
        <v>45959</v>
      </c>
      <c r="E172" s="1" t="n">
        <v>46258</v>
      </c>
      <c r="F172" t="inlineStr">
        <is>
          <t>NORRBOTTENS LÄN</t>
        </is>
      </c>
      <c r="G172" t="inlineStr">
        <is>
          <t>ÖVERTORNEÅ</t>
        </is>
      </c>
      <c r="I172" t="n">
        <v>5.5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20173-2025</t>
        </is>
      </c>
      <c r="B173" t="inlineStr">
        <is>
          <t>avverkningsanmälan</t>
        </is>
      </c>
      <c r="C173" t="inlineStr">
        <is>
          <t>Avverkning för annat ändamål</t>
        </is>
      </c>
      <c r="D173" s="1" t="n">
        <v>45772</v>
      </c>
      <c r="E173" s="1" t="n">
        <v>46258</v>
      </c>
      <c r="F173" t="inlineStr">
        <is>
          <t>NORRBOTTENS LÄN</t>
        </is>
      </c>
      <c r="G173" t="inlineStr">
        <is>
          <t>ÖVERTORNEÅ</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16471-2022</t>
        </is>
      </c>
      <c r="B174" t="inlineStr">
        <is>
          <t>avverkningsanmälan</t>
        </is>
      </c>
      <c r="C174" t="inlineStr">
        <is>
          <t>Föryngringsavverkning</t>
        </is>
      </c>
      <c r="D174" s="1" t="n">
        <v>44671</v>
      </c>
      <c r="E174" s="1" t="n">
        <v>46258</v>
      </c>
      <c r="F174" t="inlineStr">
        <is>
          <t>NORRBOTTENS LÄN</t>
        </is>
      </c>
      <c r="G174" t="inlineStr">
        <is>
          <t>ÖVERTORNEÅ</t>
        </is>
      </c>
      <c r="I174" t="n">
        <v>4.2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46651-2023</t>
        </is>
      </c>
      <c r="B175" t="inlineStr">
        <is>
          <t>avverkningsanmälan</t>
        </is>
      </c>
      <c r="C175" t="inlineStr">
        <is>
          <t>Föryngringsavverkning</t>
        </is>
      </c>
      <c r="D175" s="1" t="n">
        <v>45194</v>
      </c>
      <c r="E175" s="1" t="n">
        <v>46258</v>
      </c>
      <c r="F175" t="inlineStr">
        <is>
          <t>NORRBOTTENS LÄN</t>
        </is>
      </c>
      <c r="G175" t="inlineStr">
        <is>
          <t>ÖVERTORNEÅ</t>
        </is>
      </c>
      <c r="I175" t="n">
        <v>10.1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54000-2025</t>
        </is>
      </c>
      <c r="B176" t="inlineStr">
        <is>
          <t>avverkningsanmälan</t>
        </is>
      </c>
      <c r="C176" t="inlineStr">
        <is>
          <t>Föryngringsavverkning</t>
        </is>
      </c>
      <c r="D176" s="1" t="n">
        <v>45961</v>
      </c>
      <c r="E176" s="1" t="n">
        <v>46258</v>
      </c>
      <c r="F176" t="inlineStr">
        <is>
          <t>NORRBOTTENS LÄN</t>
        </is>
      </c>
      <c r="G176" t="inlineStr">
        <is>
          <t>ÖVERTORNEÅ</t>
        </is>
      </c>
      <c r="H176" t="inlineStr">
        <is>
          <t>Sveaskog</t>
        </is>
      </c>
      <c r="I176" t="n">
        <v>4.3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17068-2024</t>
        </is>
      </c>
      <c r="B177" t="inlineStr">
        <is>
          <t>avverkningsanmälan</t>
        </is>
      </c>
      <c r="C177" t="inlineStr">
        <is>
          <t>Avverkning för att bevara och utveckla /försöksver</t>
        </is>
      </c>
      <c r="D177" s="1" t="n">
        <v>45412</v>
      </c>
      <c r="E177" s="1" t="n">
        <v>46258</v>
      </c>
      <c r="F177" t="inlineStr">
        <is>
          <t>NORRBOTTENS LÄN</t>
        </is>
      </c>
      <c r="G177" t="inlineStr">
        <is>
          <t>ÖVERTORNEÅ</t>
        </is>
      </c>
      <c r="H177" t="inlineStr">
        <is>
          <t>Naturvårdsverket</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39775-2023</t>
        </is>
      </c>
      <c r="B178" t="inlineStr">
        <is>
          <t>avverkningsanmälan</t>
        </is>
      </c>
      <c r="C178" t="inlineStr">
        <is>
          <t>Avverkning för annat ändamål</t>
        </is>
      </c>
      <c r="D178" s="1" t="n">
        <v>45167</v>
      </c>
      <c r="E178" s="1" t="n">
        <v>46258</v>
      </c>
      <c r="F178" t="inlineStr">
        <is>
          <t>NORRBOTTENS LÄN</t>
        </is>
      </c>
      <c r="G178" t="inlineStr">
        <is>
          <t>ÖVERTORNEÅ</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43487-2021</t>
        </is>
      </c>
      <c r="B179" t="inlineStr">
        <is>
          <t>avverkningsanmälan</t>
        </is>
      </c>
      <c r="C179" t="inlineStr">
        <is>
          <t>Föryngringsavverkning</t>
        </is>
      </c>
      <c r="D179" s="1" t="n">
        <v>44432</v>
      </c>
      <c r="E179" s="1" t="n">
        <v>46258</v>
      </c>
      <c r="F179" t="inlineStr">
        <is>
          <t>NORRBOTTENS LÄN</t>
        </is>
      </c>
      <c r="G179" t="inlineStr">
        <is>
          <t>ÖVERTORNEÅ</t>
        </is>
      </c>
      <c r="I179" t="n">
        <v>22.5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54389-2025</t>
        </is>
      </c>
      <c r="B180" t="inlineStr">
        <is>
          <t>avverkningsanmälan</t>
        </is>
      </c>
      <c r="C180" t="inlineStr">
        <is>
          <t>Föryngringsavverkning</t>
        </is>
      </c>
      <c r="D180" s="1" t="n">
        <v>45965</v>
      </c>
      <c r="E180" s="1" t="n">
        <v>46258</v>
      </c>
      <c r="F180" t="inlineStr">
        <is>
          <t>NORRBOTTENS LÄN</t>
        </is>
      </c>
      <c r="G180" t="inlineStr">
        <is>
          <t>ÖVERTORNEÅ</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54394-2025</t>
        </is>
      </c>
      <c r="B181" t="inlineStr">
        <is>
          <t>avverkningsanmälan</t>
        </is>
      </c>
      <c r="C181" t="inlineStr">
        <is>
          <t>Föryngringsavverkning</t>
        </is>
      </c>
      <c r="D181" s="1" t="n">
        <v>45965</v>
      </c>
      <c r="E181" s="1" t="n">
        <v>46258</v>
      </c>
      <c r="F181" t="inlineStr">
        <is>
          <t>NORRBOTTENS LÄN</t>
        </is>
      </c>
      <c r="G181" t="inlineStr">
        <is>
          <t>ÖVERTORNEÅ</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54384-2025</t>
        </is>
      </c>
      <c r="B182" t="inlineStr">
        <is>
          <t>avverkningsanmälan</t>
        </is>
      </c>
      <c r="C182" t="inlineStr">
        <is>
          <t>Föryngringsavverkning</t>
        </is>
      </c>
      <c r="D182" s="1" t="n">
        <v>45965</v>
      </c>
      <c r="E182" s="1" t="n">
        <v>46258</v>
      </c>
      <c r="F182" t="inlineStr">
        <is>
          <t>NORRBOTTENS LÄN</t>
        </is>
      </c>
      <c r="G182" t="inlineStr">
        <is>
          <t>ÖVERTORNEÅ</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54399-2025</t>
        </is>
      </c>
      <c r="B183" t="inlineStr">
        <is>
          <t>avverkningsanmälan</t>
        </is>
      </c>
      <c r="C183" t="inlineStr">
        <is>
          <t>Föryngringsavverkning</t>
        </is>
      </c>
      <c r="D183" s="1" t="n">
        <v>45965</v>
      </c>
      <c r="E183" s="1" t="n">
        <v>46258</v>
      </c>
      <c r="F183" t="inlineStr">
        <is>
          <t>NORRBOTTENS LÄN</t>
        </is>
      </c>
      <c r="G183" t="inlineStr">
        <is>
          <t>ÖVERTORNEÅ</t>
        </is>
      </c>
      <c r="I183" t="n">
        <v>6.2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17896-2023</t>
        </is>
      </c>
      <c r="B184" t="inlineStr">
        <is>
          <t>avverkningsanmälan</t>
        </is>
      </c>
      <c r="C184" t="inlineStr">
        <is>
          <t>Föryngringsavverkning</t>
        </is>
      </c>
      <c r="D184" s="1" t="n">
        <v>45039</v>
      </c>
      <c r="E184" s="1" t="n">
        <v>46258</v>
      </c>
      <c r="F184" t="inlineStr">
        <is>
          <t>NORRBOTTENS LÄN</t>
        </is>
      </c>
      <c r="G184" t="inlineStr">
        <is>
          <t>ÖVERTORNEÅ</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63475-2023</t>
        </is>
      </c>
      <c r="B185" t="inlineStr">
        <is>
          <t>avverkningsanmälan</t>
        </is>
      </c>
      <c r="C185" t="inlineStr">
        <is>
          <t>Föryngringsavverkning</t>
        </is>
      </c>
      <c r="D185" s="1" t="n">
        <v>45274</v>
      </c>
      <c r="E185" s="1" t="n">
        <v>46258</v>
      </c>
      <c r="F185" t="inlineStr">
        <is>
          <t>NORRBOTTENS LÄN</t>
        </is>
      </c>
      <c r="G185" t="inlineStr">
        <is>
          <t>ÖVERTORNEÅ</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24785-2024</t>
        </is>
      </c>
      <c r="B186" t="inlineStr">
        <is>
          <t>avverkningsanmälan</t>
        </is>
      </c>
      <c r="C186" t="inlineStr">
        <is>
          <t>Föryngringsavverkning</t>
        </is>
      </c>
      <c r="D186" s="1" t="n">
        <v>45460</v>
      </c>
      <c r="E186" s="1" t="n">
        <v>46258</v>
      </c>
      <c r="F186" t="inlineStr">
        <is>
          <t>NORRBOTTENS LÄN</t>
        </is>
      </c>
      <c r="G186" t="inlineStr">
        <is>
          <t>ÖVERTORNEÅ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14591-2024</t>
        </is>
      </c>
      <c r="B187" t="inlineStr">
        <is>
          <t>avverkningsanmälan</t>
        </is>
      </c>
      <c r="C187" t="inlineStr">
        <is>
          <t>Föryngringsavverkning</t>
        </is>
      </c>
      <c r="D187" s="1" t="n">
        <v>45395</v>
      </c>
      <c r="E187" s="1" t="n">
        <v>46258</v>
      </c>
      <c r="F187" t="inlineStr">
        <is>
          <t>NORRBOTTENS LÄN</t>
        </is>
      </c>
      <c r="G187" t="inlineStr">
        <is>
          <t>ÖVERTORNEÅ</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41030-2024</t>
        </is>
      </c>
      <c r="B188" t="inlineStr">
        <is>
          <t>avverkningsanmälan</t>
        </is>
      </c>
      <c r="C188" t="inlineStr">
        <is>
          <t>Föryngringsavverkning</t>
        </is>
      </c>
      <c r="D188" s="1" t="n">
        <v>45559</v>
      </c>
      <c r="E188" s="1" t="n">
        <v>46258</v>
      </c>
      <c r="F188" t="inlineStr">
        <is>
          <t>NORRBOTTENS LÄN</t>
        </is>
      </c>
      <c r="G188" t="inlineStr">
        <is>
          <t>ÖVERTORNEÅ</t>
        </is>
      </c>
      <c r="I188" t="n">
        <v>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20405-2024</t>
        </is>
      </c>
      <c r="B189" t="inlineStr">
        <is>
          <t>avverkningsanmälan</t>
        </is>
      </c>
      <c r="C189" t="inlineStr">
        <is>
          <t>Föryngringsavverkning</t>
        </is>
      </c>
      <c r="D189" s="1" t="n">
        <v>45435</v>
      </c>
      <c r="E189" s="1" t="n">
        <v>46258</v>
      </c>
      <c r="F189" t="inlineStr">
        <is>
          <t>NORRBOTTENS LÄN</t>
        </is>
      </c>
      <c r="G189" t="inlineStr">
        <is>
          <t>ÖVERTORNEÅ</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4398-2025</t>
        </is>
      </c>
      <c r="B190" t="inlineStr">
        <is>
          <t>avverkningsanmälan</t>
        </is>
      </c>
      <c r="C190" t="inlineStr">
        <is>
          <t>Föryngringsavverkning</t>
        </is>
      </c>
      <c r="D190" s="1" t="n">
        <v>45686</v>
      </c>
      <c r="E190" s="1" t="n">
        <v>46258</v>
      </c>
      <c r="F190" t="inlineStr">
        <is>
          <t>NORRBOTTENS LÄN</t>
        </is>
      </c>
      <c r="G190" t="inlineStr">
        <is>
          <t>ÖVERTORNEÅ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34799-2025</t>
        </is>
      </c>
      <c r="B191" t="inlineStr">
        <is>
          <t>avverkningsanmälan</t>
        </is>
      </c>
      <c r="C191" t="inlineStr">
        <is>
          <t>Föryngringsavverkning</t>
        </is>
      </c>
      <c r="D191" s="1" t="n">
        <v>45848</v>
      </c>
      <c r="E191" s="1" t="n">
        <v>46258</v>
      </c>
      <c r="F191" t="inlineStr">
        <is>
          <t>NORRBOTTENS LÄN</t>
        </is>
      </c>
      <c r="G191" t="inlineStr">
        <is>
          <t>ÖVERTORNEÅ</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6423-2025</t>
        </is>
      </c>
      <c r="B192" t="inlineStr">
        <is>
          <t>avverkningsanmälan</t>
        </is>
      </c>
      <c r="C192" t="inlineStr">
        <is>
          <t>Föryngringsavverkning</t>
        </is>
      </c>
      <c r="D192" s="1" t="n">
        <v>45699</v>
      </c>
      <c r="E192" s="1" t="n">
        <v>46258</v>
      </c>
      <c r="F192" t="inlineStr">
        <is>
          <t>NORRBOTTENS LÄN</t>
        </is>
      </c>
      <c r="G192" t="inlineStr">
        <is>
          <t>ÖVERTORNEÅ</t>
        </is>
      </c>
      <c r="I192" t="n">
        <v>16.5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56952-2025</t>
        </is>
      </c>
      <c r="B193" t="inlineStr">
        <is>
          <t>avverkningsanmälan</t>
        </is>
      </c>
      <c r="C193" t="inlineStr">
        <is>
          <t>Föryngringsavverkning</t>
        </is>
      </c>
      <c r="D193" s="1" t="n">
        <v>45978</v>
      </c>
      <c r="E193" s="1" t="n">
        <v>46258</v>
      </c>
      <c r="F193" t="inlineStr">
        <is>
          <t>NORRBOTTENS LÄN</t>
        </is>
      </c>
      <c r="G193" t="inlineStr">
        <is>
          <t>ÖVERTORNEÅ</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57027-2025</t>
        </is>
      </c>
      <c r="B194" t="inlineStr">
        <is>
          <t>avverkningsanmälan</t>
        </is>
      </c>
      <c r="C194" t="inlineStr">
        <is>
          <t>Avverkning för annat ändamål</t>
        </is>
      </c>
      <c r="D194" s="1" t="n">
        <v>45979</v>
      </c>
      <c r="E194" s="1" t="n">
        <v>46258</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57028-2025</t>
        </is>
      </c>
      <c r="B195" t="inlineStr">
        <is>
          <t>avverkningsanmälan</t>
        </is>
      </c>
      <c r="C195" t="inlineStr">
        <is>
          <t>Avverkning för annat ändamål</t>
        </is>
      </c>
      <c r="D195" s="1" t="n">
        <v>45979</v>
      </c>
      <c r="E195" s="1" t="n">
        <v>46258</v>
      </c>
      <c r="F195" t="inlineStr">
        <is>
          <t>NORRBOTTENS LÄN</t>
        </is>
      </c>
      <c r="G195" t="inlineStr">
        <is>
          <t>ÖVERTORNEÅ</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57032-2025</t>
        </is>
      </c>
      <c r="B196" t="inlineStr">
        <is>
          <t>avverkningsanmälan</t>
        </is>
      </c>
      <c r="C196" t="inlineStr">
        <is>
          <t>Avverkning för annat ändamål</t>
        </is>
      </c>
      <c r="D196" s="1" t="n">
        <v>45979</v>
      </c>
      <c r="E196" s="1" t="n">
        <v>46258</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57031-2025</t>
        </is>
      </c>
      <c r="B197" t="inlineStr">
        <is>
          <t>avverkningsanmälan</t>
        </is>
      </c>
      <c r="C197" t="inlineStr">
        <is>
          <t>Avverkning för annat ändamål</t>
        </is>
      </c>
      <c r="D197" s="1" t="n">
        <v>45979</v>
      </c>
      <c r="E197" s="1" t="n">
        <v>46258</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34801-2025</t>
        </is>
      </c>
      <c r="B198" t="inlineStr">
        <is>
          <t>avverkningsanmälan</t>
        </is>
      </c>
      <c r="C198" t="inlineStr">
        <is>
          <t>Föryngringsavverkning</t>
        </is>
      </c>
      <c r="D198" s="1" t="n">
        <v>45848</v>
      </c>
      <c r="E198" s="1" t="n">
        <v>46258</v>
      </c>
      <c r="F198" t="inlineStr">
        <is>
          <t>NORRBOTTENS LÄN</t>
        </is>
      </c>
      <c r="G198" t="inlineStr">
        <is>
          <t>ÖVERTORNEÅ</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58424-2025</t>
        </is>
      </c>
      <c r="B199" t="inlineStr">
        <is>
          <t>avverkningsanmälan</t>
        </is>
      </c>
      <c r="C199" t="inlineStr">
        <is>
          <t>Föryngringsavverkning</t>
        </is>
      </c>
      <c r="D199" s="1" t="n">
        <v>45985</v>
      </c>
      <c r="E199" s="1" t="n">
        <v>46258</v>
      </c>
      <c r="F199" t="inlineStr">
        <is>
          <t>NORRBOTTENS LÄN</t>
        </is>
      </c>
      <c r="G199" t="inlineStr">
        <is>
          <t>ÖVERTORNEÅ</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57968-2025</t>
        </is>
      </c>
      <c r="B200" t="inlineStr">
        <is>
          <t>avverkningsanmälan</t>
        </is>
      </c>
      <c r="C200" t="inlineStr">
        <is>
          <t>Avverkning för annat ändamål</t>
        </is>
      </c>
      <c r="D200" s="1" t="n">
        <v>45982</v>
      </c>
      <c r="E200" s="1" t="n">
        <v>46258</v>
      </c>
      <c r="F200" t="inlineStr">
        <is>
          <t>NORRBOTTENS LÄN</t>
        </is>
      </c>
      <c r="G200" t="inlineStr">
        <is>
          <t>ÖVERTORNEÅ</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68764-2021</t>
        </is>
      </c>
      <c r="B201" t="inlineStr">
        <is>
          <t>avverkningsanmälan</t>
        </is>
      </c>
      <c r="C201" t="inlineStr">
        <is>
          <t>Föryngringsavverkning</t>
        </is>
      </c>
      <c r="D201" s="1" t="n">
        <v>44529</v>
      </c>
      <c r="E201" s="1" t="n">
        <v>46258</v>
      </c>
      <c r="F201" t="inlineStr">
        <is>
          <t>NORRBOTTENS LÄN</t>
        </is>
      </c>
      <c r="G201" t="inlineStr">
        <is>
          <t>ÖVERTORNEÅ</t>
        </is>
      </c>
      <c r="I201" t="n">
        <v>19.2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19051-2024</t>
        </is>
      </c>
      <c r="B202" t="inlineStr">
        <is>
          <t>avverkningsanmälan</t>
        </is>
      </c>
      <c r="C202" t="inlineStr">
        <is>
          <t>Föryngringsavverkning</t>
        </is>
      </c>
      <c r="D202" s="1" t="n">
        <v>45427</v>
      </c>
      <c r="E202" s="1" t="n">
        <v>46258</v>
      </c>
      <c r="F202" t="inlineStr">
        <is>
          <t>NORRBOTTENS LÄN</t>
        </is>
      </c>
      <c r="G202" t="inlineStr">
        <is>
          <t>ÖVERTORNEÅ</t>
        </is>
      </c>
      <c r="I202" t="n">
        <v>8.199999999999999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28658-2022</t>
        </is>
      </c>
      <c r="B203" t="inlineStr">
        <is>
          <t>avverkningsanmälan</t>
        </is>
      </c>
      <c r="C203" t="inlineStr">
        <is>
          <t>Föryngringsavverkning</t>
        </is>
      </c>
      <c r="D203" s="1" t="n">
        <v>44748</v>
      </c>
      <c r="E203" s="1" t="n">
        <v>46258</v>
      </c>
      <c r="F203" t="inlineStr">
        <is>
          <t>NORRBOTTENS LÄN</t>
        </is>
      </c>
      <c r="G203" t="inlineStr">
        <is>
          <t>ÖVERTORNEÅ</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63285-2023</t>
        </is>
      </c>
      <c r="B204" t="inlineStr">
        <is>
          <t>avverkningsanmälan</t>
        </is>
      </c>
      <c r="C204" t="inlineStr">
        <is>
          <t>Föryngringsavverkning</t>
        </is>
      </c>
      <c r="D204" s="1" t="n">
        <v>45273</v>
      </c>
      <c r="E204" s="1" t="n">
        <v>46258</v>
      </c>
      <c r="F204" t="inlineStr">
        <is>
          <t>NORRBOTTENS LÄN</t>
        </is>
      </c>
      <c r="G204" t="inlineStr">
        <is>
          <t>ÖVERTORNEÅ</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53810-2025</t>
        </is>
      </c>
      <c r="B205" t="inlineStr">
        <is>
          <t>avverkningsanmälan</t>
        </is>
      </c>
      <c r="C205" t="inlineStr">
        <is>
          <t>Föryngringsavverkning</t>
        </is>
      </c>
      <c r="D205" s="1" t="n">
        <v>45960</v>
      </c>
      <c r="E205" s="1" t="n">
        <v>46258</v>
      </c>
      <c r="F205" t="inlineStr">
        <is>
          <t>NORRBOTTENS LÄN</t>
        </is>
      </c>
      <c r="G205" t="inlineStr">
        <is>
          <t>ÖVERTORNEÅ</t>
        </is>
      </c>
      <c r="I205" t="n">
        <v>5.6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46026-2021</t>
        </is>
      </c>
      <c r="B206" t="inlineStr">
        <is>
          <t>avverkningsanmälan</t>
        </is>
      </c>
      <c r="C206" t="inlineStr">
        <is>
          <t>Föryngringsavverkning</t>
        </is>
      </c>
      <c r="D206" s="1" t="n">
        <v>44441</v>
      </c>
      <c r="E206" s="1" t="n">
        <v>46258</v>
      </c>
      <c r="F206" t="inlineStr">
        <is>
          <t>NORRBOTTENS LÄN</t>
        </is>
      </c>
      <c r="G206" t="inlineStr">
        <is>
          <t>ÖVERTORNEÅ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46035-2021</t>
        </is>
      </c>
      <c r="B207" t="inlineStr">
        <is>
          <t>avverkningsanmälan</t>
        </is>
      </c>
      <c r="C207" t="inlineStr">
        <is>
          <t>Föryngringsavverkning</t>
        </is>
      </c>
      <c r="D207" s="1" t="n">
        <v>44441</v>
      </c>
      <c r="E207" s="1" t="n">
        <v>46258</v>
      </c>
      <c r="F207" t="inlineStr">
        <is>
          <t>NORRBOTTENS LÄN</t>
        </is>
      </c>
      <c r="G207" t="inlineStr">
        <is>
          <t>ÖVERTORNEÅ</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14392-2024</t>
        </is>
      </c>
      <c r="B208" t="inlineStr">
        <is>
          <t>avverkningsanmälan</t>
        </is>
      </c>
      <c r="C208" t="inlineStr">
        <is>
          <t>Föryngringsavverkning</t>
        </is>
      </c>
      <c r="D208" s="1" t="n">
        <v>45394</v>
      </c>
      <c r="E208" s="1" t="n">
        <v>46258</v>
      </c>
      <c r="F208" t="inlineStr">
        <is>
          <t>NORRBOTTENS LÄN</t>
        </is>
      </c>
      <c r="G208" t="inlineStr">
        <is>
          <t>ÖVERTORNEÅ</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48780-2021</t>
        </is>
      </c>
      <c r="B209" t="inlineStr">
        <is>
          <t>avverkningsanmälan</t>
        </is>
      </c>
      <c r="C209" t="inlineStr">
        <is>
          <t>Föryngringsavverkning</t>
        </is>
      </c>
      <c r="D209" s="1" t="n">
        <v>44452</v>
      </c>
      <c r="E209" s="1" t="n">
        <v>46258</v>
      </c>
      <c r="F209" t="inlineStr">
        <is>
          <t>NORRBOTTENS LÄN</t>
        </is>
      </c>
      <c r="G209" t="inlineStr">
        <is>
          <t>ÖVERTORNEÅ</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60522-2025</t>
        </is>
      </c>
      <c r="B210" t="inlineStr">
        <is>
          <t>avverkningsanmälan</t>
        </is>
      </c>
      <c r="C210" t="inlineStr">
        <is>
          <t>Föryngringsavverkning</t>
        </is>
      </c>
      <c r="D210" s="1" t="n">
        <v>45995</v>
      </c>
      <c r="E210" s="1" t="n">
        <v>46258</v>
      </c>
      <c r="F210" t="inlineStr">
        <is>
          <t>NORRBOTTENS LÄN</t>
        </is>
      </c>
      <c r="G210" t="inlineStr">
        <is>
          <t>ÖVERTORNEÅ</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60675-2025</t>
        </is>
      </c>
      <c r="B211" t="inlineStr">
        <is>
          <t>avverkningsanmälan</t>
        </is>
      </c>
      <c r="C211" t="inlineStr">
        <is>
          <t>Föryngringsavverkning</t>
        </is>
      </c>
      <c r="D211" s="1" t="n">
        <v>45996</v>
      </c>
      <c r="E211" s="1" t="n">
        <v>46258</v>
      </c>
      <c r="F211" t="inlineStr">
        <is>
          <t>NORRBOTTENS LÄN</t>
        </is>
      </c>
      <c r="G211" t="inlineStr">
        <is>
          <t>ÖVERTORNEÅ</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35591-2025</t>
        </is>
      </c>
      <c r="B212" t="inlineStr">
        <is>
          <t>avverkningsanmälan</t>
        </is>
      </c>
      <c r="C212" t="inlineStr">
        <is>
          <t>Föryngringsavverkning</t>
        </is>
      </c>
      <c r="D212" s="1" t="n">
        <v>45857</v>
      </c>
      <c r="E212" s="1" t="n">
        <v>46258</v>
      </c>
      <c r="F212" t="inlineStr">
        <is>
          <t>NORRBOTTENS LÄN</t>
        </is>
      </c>
      <c r="G212" t="inlineStr">
        <is>
          <t>ÖVERTORNEÅ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48036-2024</t>
        </is>
      </c>
      <c r="B213" t="inlineStr">
        <is>
          <t>avverkningsanmälan</t>
        </is>
      </c>
      <c r="C213" t="inlineStr">
        <is>
          <t>Föryngringsavverkning</t>
        </is>
      </c>
      <c r="D213" s="1" t="n">
        <v>45589</v>
      </c>
      <c r="E213" s="1" t="n">
        <v>46258</v>
      </c>
      <c r="F213" t="inlineStr">
        <is>
          <t>NORRBOTTENS LÄN</t>
        </is>
      </c>
      <c r="G213" t="inlineStr">
        <is>
          <t>ÖVERTORNEÅ</t>
        </is>
      </c>
      <c r="H213" t="inlineStr">
        <is>
          <t>Kommuner</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35837-2025</t>
        </is>
      </c>
      <c r="B214" t="inlineStr">
        <is>
          <t>avverkningsanmälan</t>
        </is>
      </c>
      <c r="C214" t="inlineStr">
        <is>
          <t>Föryngringsavverkning</t>
        </is>
      </c>
      <c r="D214" s="1" t="n">
        <v>45861</v>
      </c>
      <c r="E214" s="1" t="n">
        <v>46258</v>
      </c>
      <c r="F214" t="inlineStr">
        <is>
          <t>NORRBOTTENS LÄN</t>
        </is>
      </c>
      <c r="G214" t="inlineStr">
        <is>
          <t>ÖVERTORNEÅ</t>
        </is>
      </c>
      <c r="I214" t="n">
        <v>16.4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61923-2025</t>
        </is>
      </c>
      <c r="B215" t="inlineStr">
        <is>
          <t>avverkningsanmälan</t>
        </is>
      </c>
      <c r="C215" t="inlineStr">
        <is>
          <t>Föryngringsavverkning</t>
        </is>
      </c>
      <c r="D215" s="1" t="n">
        <v>46003</v>
      </c>
      <c r="E215" s="1" t="n">
        <v>46258</v>
      </c>
      <c r="F215" t="inlineStr">
        <is>
          <t>NORRBOTTENS LÄN</t>
        </is>
      </c>
      <c r="G215" t="inlineStr">
        <is>
          <t>ÖVERTORNEÅ</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58172-2024</t>
        </is>
      </c>
      <c r="B216" t="inlineStr">
        <is>
          <t>avverkningsanmälan</t>
        </is>
      </c>
      <c r="C216" t="inlineStr">
        <is>
          <t>Föryngringsavverkning</t>
        </is>
      </c>
      <c r="D216" s="1" t="n">
        <v>45632</v>
      </c>
      <c r="E216" s="1" t="n">
        <v>46258</v>
      </c>
      <c r="F216" t="inlineStr">
        <is>
          <t>NORRBOTTENS LÄN</t>
        </is>
      </c>
      <c r="G216" t="inlineStr">
        <is>
          <t>ÖVERTORNEÅ</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58178-2024</t>
        </is>
      </c>
      <c r="B217" t="inlineStr">
        <is>
          <t>avverkningsanmälan</t>
        </is>
      </c>
      <c r="C217" t="inlineStr">
        <is>
          <t>Föryngringsavverkning</t>
        </is>
      </c>
      <c r="D217" s="1" t="n">
        <v>45632</v>
      </c>
      <c r="E217" s="1" t="n">
        <v>46258</v>
      </c>
      <c r="F217" t="inlineStr">
        <is>
          <t>NORRBOTTENS LÄN</t>
        </is>
      </c>
      <c r="G217" t="inlineStr">
        <is>
          <t>ÖVERTORNEÅ</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35603-2025</t>
        </is>
      </c>
      <c r="B218" t="inlineStr">
        <is>
          <t>avverkningsanmälan</t>
        </is>
      </c>
      <c r="C218" t="inlineStr">
        <is>
          <t>Föryngringsavverkning</t>
        </is>
      </c>
      <c r="D218" s="1" t="n">
        <v>45859</v>
      </c>
      <c r="E218" s="1" t="n">
        <v>46258</v>
      </c>
      <c r="F218" t="inlineStr">
        <is>
          <t>NORRBOTTENS LÄN</t>
        </is>
      </c>
      <c r="G218" t="inlineStr">
        <is>
          <t>ÖVERTORNEÅ</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61921-2025</t>
        </is>
      </c>
      <c r="B219" t="inlineStr">
        <is>
          <t>avverkningsanmälan</t>
        </is>
      </c>
      <c r="C219" t="inlineStr">
        <is>
          <t>Föryngringsavverkning</t>
        </is>
      </c>
      <c r="D219" s="1" t="n">
        <v>46003</v>
      </c>
      <c r="E219" s="1" t="n">
        <v>46258</v>
      </c>
      <c r="F219" t="inlineStr">
        <is>
          <t>NORRBOTTENS LÄN</t>
        </is>
      </c>
      <c r="G219" t="inlineStr">
        <is>
          <t>ÖVERTORNEÅ</t>
        </is>
      </c>
      <c r="I219" t="n">
        <v>18.4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16356-2025</t>
        </is>
      </c>
      <c r="B220" t="inlineStr">
        <is>
          <t>avverkningsanmälan</t>
        </is>
      </c>
      <c r="C220" t="inlineStr">
        <is>
          <t>Föryngringsavverkning</t>
        </is>
      </c>
      <c r="D220" s="1" t="n">
        <v>45750</v>
      </c>
      <c r="E220" s="1" t="n">
        <v>46258</v>
      </c>
      <c r="F220" t="inlineStr">
        <is>
          <t>NORRBOTTENS LÄN</t>
        </is>
      </c>
      <c r="G220" t="inlineStr">
        <is>
          <t>ÖVERTORNEÅ</t>
        </is>
      </c>
      <c r="I220" t="n">
        <v>9.1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62669-2025</t>
        </is>
      </c>
      <c r="B221" t="inlineStr">
        <is>
          <t>avverkningsanmälan</t>
        </is>
      </c>
      <c r="C221" t="inlineStr">
        <is>
          <t>Föryngringsavverkning</t>
        </is>
      </c>
      <c r="D221" s="1" t="n">
        <v>46008</v>
      </c>
      <c r="E221" s="1" t="n">
        <v>46258</v>
      </c>
      <c r="F221" t="inlineStr">
        <is>
          <t>NORRBOTTENS LÄN</t>
        </is>
      </c>
      <c r="G221" t="inlineStr">
        <is>
          <t>ÖVERTORNEÅ</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62786-2025</t>
        </is>
      </c>
      <c r="B222" t="inlineStr">
        <is>
          <t>avverkningsanmälan</t>
        </is>
      </c>
      <c r="C222" t="inlineStr">
        <is>
          <t>Föryngringsavverkning</t>
        </is>
      </c>
      <c r="D222" s="1" t="n">
        <v>46008</v>
      </c>
      <c r="E222" s="1" t="n">
        <v>46258</v>
      </c>
      <c r="F222" t="inlineStr">
        <is>
          <t>NORRBOTTENS LÄN</t>
        </is>
      </c>
      <c r="G222" t="inlineStr">
        <is>
          <t>ÖVERTORNEÅ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62658-2025</t>
        </is>
      </c>
      <c r="B223" t="inlineStr">
        <is>
          <t>avverkningsanmälan</t>
        </is>
      </c>
      <c r="C223" t="inlineStr">
        <is>
          <t>Föryngringsavverkning</t>
        </is>
      </c>
      <c r="D223" s="1" t="n">
        <v>46008</v>
      </c>
      <c r="E223" s="1" t="n">
        <v>46258</v>
      </c>
      <c r="F223" t="inlineStr">
        <is>
          <t>NORRBOTTENS LÄN</t>
        </is>
      </c>
      <c r="G223" t="inlineStr">
        <is>
          <t>ÖVERTORNEÅ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62653-2025</t>
        </is>
      </c>
      <c r="B224" t="inlineStr">
        <is>
          <t>avverkningsanmälan</t>
        </is>
      </c>
      <c r="C224" t="inlineStr">
        <is>
          <t>Föryngringsavverkning</t>
        </is>
      </c>
      <c r="D224" s="1" t="n">
        <v>46008</v>
      </c>
      <c r="E224" s="1" t="n">
        <v>46258</v>
      </c>
      <c r="F224" t="inlineStr">
        <is>
          <t>NORRBOTTENS LÄN</t>
        </is>
      </c>
      <c r="G224" t="inlineStr">
        <is>
          <t>ÖVERTORNEÅ</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58386-2024</t>
        </is>
      </c>
      <c r="B225" t="inlineStr">
        <is>
          <t>avverkningsanmälan</t>
        </is>
      </c>
      <c r="C225" t="inlineStr">
        <is>
          <t>Föryngringsavverkning</t>
        </is>
      </c>
      <c r="D225" s="1" t="n">
        <v>45633</v>
      </c>
      <c r="E225" s="1" t="n">
        <v>46258</v>
      </c>
      <c r="F225" t="inlineStr">
        <is>
          <t>NORRBOTTENS LÄN</t>
        </is>
      </c>
      <c r="G225" t="inlineStr">
        <is>
          <t>ÖVERTORNEÅ</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64554-2023</t>
        </is>
      </c>
      <c r="B226" t="inlineStr">
        <is>
          <t>avverkningsanmälan</t>
        </is>
      </c>
      <c r="C226" t="inlineStr">
        <is>
          <t>Föryngringsavverkning</t>
        </is>
      </c>
      <c r="D226" s="1" t="n">
        <v>45281</v>
      </c>
      <c r="E226" s="1" t="n">
        <v>46258</v>
      </c>
      <c r="F226" t="inlineStr">
        <is>
          <t>NORRBOTTENS LÄN</t>
        </is>
      </c>
      <c r="G226" t="inlineStr">
        <is>
          <t>ÖVERTORNEÅ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36115-2025</t>
        </is>
      </c>
      <c r="B227" t="inlineStr">
        <is>
          <t>avverkningsanmälan</t>
        </is>
      </c>
      <c r="C227" t="inlineStr">
        <is>
          <t>Föryngringsavverkning</t>
        </is>
      </c>
      <c r="D227" s="1" t="n">
        <v>45866</v>
      </c>
      <c r="E227" s="1" t="n">
        <v>46258</v>
      </c>
      <c r="F227" t="inlineStr">
        <is>
          <t>NORRBOTTENS LÄN</t>
        </is>
      </c>
      <c r="G227" t="inlineStr">
        <is>
          <t>ÖVERTORNEÅ</t>
        </is>
      </c>
      <c r="H227" t="inlineStr">
        <is>
          <t>Sveaskog</t>
        </is>
      </c>
      <c r="I227" t="n">
        <v>12.9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63174-2025</t>
        </is>
      </c>
      <c r="B228" t="inlineStr">
        <is>
          <t>avverkningsanmälan</t>
        </is>
      </c>
      <c r="C228" t="inlineStr">
        <is>
          <t>Föryngringsavverkning</t>
        </is>
      </c>
      <c r="D228" s="1" t="n">
        <v>46010</v>
      </c>
      <c r="E228" s="1" t="n">
        <v>46258</v>
      </c>
      <c r="F228" t="inlineStr">
        <is>
          <t>NORRBOTTENS LÄN</t>
        </is>
      </c>
      <c r="G228" t="inlineStr">
        <is>
          <t>ÖVERTORNEÅ</t>
        </is>
      </c>
      <c r="I228" t="n">
        <v>8.800000000000001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13842-2024</t>
        </is>
      </c>
      <c r="B229" t="inlineStr">
        <is>
          <t>avverkningsanmälan</t>
        </is>
      </c>
      <c r="C229" t="inlineStr">
        <is>
          <t>Föryngringsavverkning</t>
        </is>
      </c>
      <c r="D229" s="1" t="n">
        <v>45390</v>
      </c>
      <c r="E229" s="1" t="n">
        <v>46258</v>
      </c>
      <c r="F229" t="inlineStr">
        <is>
          <t>NORRBOTTENS LÄN</t>
        </is>
      </c>
      <c r="G229" t="inlineStr">
        <is>
          <t>ÖVERTORNEÅ</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6790-2025</t>
        </is>
      </c>
      <c r="B230" t="inlineStr">
        <is>
          <t>avverkningsanmälan</t>
        </is>
      </c>
      <c r="C230" t="inlineStr">
        <is>
          <t>Föryngringsavverkning</t>
        </is>
      </c>
      <c r="D230" s="1" t="n">
        <v>45700</v>
      </c>
      <c r="E230" s="1" t="n">
        <v>46258</v>
      </c>
      <c r="F230" t="inlineStr">
        <is>
          <t>NORRBOTTENS LÄN</t>
        </is>
      </c>
      <c r="G230" t="inlineStr">
        <is>
          <t>ÖVERTORNEÅ</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34798-2025</t>
        </is>
      </c>
      <c r="B231" t="inlineStr">
        <is>
          <t>avverkningsanmälan</t>
        </is>
      </c>
      <c r="C231" t="inlineStr">
        <is>
          <t>Föryngringsavverkning</t>
        </is>
      </c>
      <c r="D231" s="1" t="n">
        <v>45848</v>
      </c>
      <c r="E231" s="1" t="n">
        <v>46258</v>
      </c>
      <c r="F231" t="inlineStr">
        <is>
          <t>NORRBOTTENS LÄN</t>
        </is>
      </c>
      <c r="G231" t="inlineStr">
        <is>
          <t>ÖVERTORNEÅ</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74228-2021</t>
        </is>
      </c>
      <c r="B232" t="inlineStr">
        <is>
          <t>avverkningsanmälan</t>
        </is>
      </c>
      <c r="C232" t="inlineStr">
        <is>
          <t>Föryngringsavverkning</t>
        </is>
      </c>
      <c r="D232" s="1" t="n">
        <v>44553</v>
      </c>
      <c r="E232" s="1" t="n">
        <v>46258</v>
      </c>
      <c r="F232" t="inlineStr">
        <is>
          <t>NORRBOTTENS LÄN</t>
        </is>
      </c>
      <c r="G232" t="inlineStr">
        <is>
          <t>ÖVERTORNEÅ</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58201-2024</t>
        </is>
      </c>
      <c r="B233" t="inlineStr">
        <is>
          <t>avverkningsanmälan</t>
        </is>
      </c>
      <c r="C233" t="inlineStr">
        <is>
          <t>Föryngringsavverkning</t>
        </is>
      </c>
      <c r="D233" s="1" t="n">
        <v>45632</v>
      </c>
      <c r="E233" s="1" t="n">
        <v>46258</v>
      </c>
      <c r="F233" t="inlineStr">
        <is>
          <t>NORRBOTTENS LÄN</t>
        </is>
      </c>
      <c r="G233" t="inlineStr">
        <is>
          <t>ÖVERTORNEÅ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60537-2022</t>
        </is>
      </c>
      <c r="B234" t="inlineStr">
        <is>
          <t>avverkningsanmälan</t>
        </is>
      </c>
      <c r="C234" t="inlineStr">
        <is>
          <t>Föryngringsavverkning</t>
        </is>
      </c>
      <c r="D234" s="1" t="n">
        <v>44904</v>
      </c>
      <c r="E234" s="1" t="n">
        <v>46258</v>
      </c>
      <c r="F234" t="inlineStr">
        <is>
          <t>NORRBOTTENS LÄN</t>
        </is>
      </c>
      <c r="G234" t="inlineStr">
        <is>
          <t>ÖVERTORNEÅ</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1783-2026</t>
        </is>
      </c>
      <c r="B235" t="inlineStr">
        <is>
          <t>avverkningsanmälan</t>
        </is>
      </c>
      <c r="C235" t="inlineStr">
        <is>
          <t>Föryngringsavverkning</t>
        </is>
      </c>
      <c r="D235" s="1" t="n">
        <v>46034</v>
      </c>
      <c r="E235" s="1" t="n">
        <v>46258</v>
      </c>
      <c r="F235" t="inlineStr">
        <is>
          <t>NORRBOTTENS LÄN</t>
        </is>
      </c>
      <c r="G235" t="inlineStr">
        <is>
          <t>ÖVERTORNEÅ</t>
        </is>
      </c>
      <c r="I235" t="n">
        <v>3.8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1558-2026</t>
        </is>
      </c>
      <c r="B236" t="inlineStr">
        <is>
          <t>avverkningsanmälan</t>
        </is>
      </c>
      <c r="C236" t="inlineStr">
        <is>
          <t>Föryngringsavverkning</t>
        </is>
      </c>
      <c r="D236" s="1" t="n">
        <v>46034</v>
      </c>
      <c r="E236" s="1" t="n">
        <v>46258</v>
      </c>
      <c r="F236" t="inlineStr">
        <is>
          <t>NORRBOTTENS LÄN</t>
        </is>
      </c>
      <c r="G236" t="inlineStr">
        <is>
          <t>ÖVERTORNEÅ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1775-2026</t>
        </is>
      </c>
      <c r="B237" t="inlineStr">
        <is>
          <t>avverkningsanmälan</t>
        </is>
      </c>
      <c r="C237" t="inlineStr">
        <is>
          <t>Avverkning för annat ändamål</t>
        </is>
      </c>
      <c r="D237" s="1" t="n">
        <v>46034</v>
      </c>
      <c r="E237" s="1" t="n">
        <v>46258</v>
      </c>
      <c r="F237" t="inlineStr">
        <is>
          <t>NORRBOTTENS LÄN</t>
        </is>
      </c>
      <c r="G237" t="inlineStr">
        <is>
          <t>ÖVERTORNEÅ</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24656-2024</t>
        </is>
      </c>
      <c r="B238" t="inlineStr">
        <is>
          <t>avverkningsanmälan</t>
        </is>
      </c>
      <c r="C238" t="inlineStr">
        <is>
          <t>Föryngringsavverkning</t>
        </is>
      </c>
      <c r="D238" s="1" t="n">
        <v>45460</v>
      </c>
      <c r="E238" s="1" t="n">
        <v>46258</v>
      </c>
      <c r="F238" t="inlineStr">
        <is>
          <t>NORRBOTTENS LÄN</t>
        </is>
      </c>
      <c r="G238" t="inlineStr">
        <is>
          <t>ÖVERTORNEÅ</t>
        </is>
      </c>
      <c r="H238" t="inlineStr">
        <is>
          <t>Sveaskog</t>
        </is>
      </c>
      <c r="I238" t="n">
        <v>16.9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2421-2026</t>
        </is>
      </c>
      <c r="B239" t="inlineStr">
        <is>
          <t>avverkningsanmälan</t>
        </is>
      </c>
      <c r="C239" t="inlineStr">
        <is>
          <t>Föryngringsavverkning</t>
        </is>
      </c>
      <c r="D239" s="1" t="n">
        <v>46034</v>
      </c>
      <c r="E239" s="1" t="n">
        <v>46258</v>
      </c>
      <c r="F239" t="inlineStr">
        <is>
          <t>NORRBOTTENS LÄN</t>
        </is>
      </c>
      <c r="G239" t="inlineStr">
        <is>
          <t>ÖVERTORNEÅ</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2422-2026</t>
        </is>
      </c>
      <c r="B240" t="inlineStr">
        <is>
          <t>avverkningsanmälan</t>
        </is>
      </c>
      <c r="C240" t="inlineStr">
        <is>
          <t>Föryngringsavverkning</t>
        </is>
      </c>
      <c r="D240" s="1" t="n">
        <v>46034</v>
      </c>
      <c r="E240" s="1" t="n">
        <v>46258</v>
      </c>
      <c r="F240" t="inlineStr">
        <is>
          <t>NORRBOTTENS LÄN</t>
        </is>
      </c>
      <c r="G240" t="inlineStr">
        <is>
          <t>ÖVERTORNEÅ</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1444-2026</t>
        </is>
      </c>
      <c r="B241" t="inlineStr">
        <is>
          <t>avverkningsanmälan</t>
        </is>
      </c>
      <c r="C241" t="inlineStr">
        <is>
          <t>Föryngringsavverkning</t>
        </is>
      </c>
      <c r="D241" s="1" t="n">
        <v>46032</v>
      </c>
      <c r="E241" s="1" t="n">
        <v>46258</v>
      </c>
      <c r="F241" t="inlineStr">
        <is>
          <t>NORRBOTTENS LÄN</t>
        </is>
      </c>
      <c r="G241" t="inlineStr">
        <is>
          <t>ÖVERTORNEÅ</t>
        </is>
      </c>
      <c r="I241" t="n">
        <v>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1779-2026</t>
        </is>
      </c>
      <c r="B242" t="inlineStr">
        <is>
          <t>avverkningsanmälan</t>
        </is>
      </c>
      <c r="C242" t="inlineStr">
        <is>
          <t>Föryngringsavverkning</t>
        </is>
      </c>
      <c r="D242" s="1" t="n">
        <v>46034</v>
      </c>
      <c r="E242" s="1" t="n">
        <v>46258</v>
      </c>
      <c r="F242" t="inlineStr">
        <is>
          <t>NORRBOTTENS LÄN</t>
        </is>
      </c>
      <c r="G242" t="inlineStr">
        <is>
          <t>ÖVERTORNEÅ</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1782-2026</t>
        </is>
      </c>
      <c r="B243" t="inlineStr">
        <is>
          <t>avverkningsanmälan</t>
        </is>
      </c>
      <c r="C243" t="inlineStr">
        <is>
          <t>Föryngringsavverkning</t>
        </is>
      </c>
      <c r="D243" s="1" t="n">
        <v>46034</v>
      </c>
      <c r="E243" s="1" t="n">
        <v>46258</v>
      </c>
      <c r="F243" t="inlineStr">
        <is>
          <t>NORRBOTTENS LÄN</t>
        </is>
      </c>
      <c r="G243" t="inlineStr">
        <is>
          <t>ÖVERTORNEÅ</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60515-2022</t>
        </is>
      </c>
      <c r="B244" t="inlineStr">
        <is>
          <t>avverkningsanmälan</t>
        </is>
      </c>
      <c r="C244" t="inlineStr">
        <is>
          <t>Föryngringsavverkning</t>
        </is>
      </c>
      <c r="D244" s="1" t="n">
        <v>44911</v>
      </c>
      <c r="E244" s="1" t="n">
        <v>46258</v>
      </c>
      <c r="F244" t="inlineStr">
        <is>
          <t>NORRBOTTENS LÄN</t>
        </is>
      </c>
      <c r="G244" t="inlineStr">
        <is>
          <t>ÖVERTORNEÅ</t>
        </is>
      </c>
      <c r="I244" t="n">
        <v>7.1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5093-2025</t>
        </is>
      </c>
      <c r="B245" t="inlineStr">
        <is>
          <t>avverkningsanmälan</t>
        </is>
      </c>
      <c r="C245" t="inlineStr">
        <is>
          <t>Avverkning för annat ändamål</t>
        </is>
      </c>
      <c r="D245" s="1" t="n">
        <v>45691</v>
      </c>
      <c r="E245" s="1" t="n">
        <v>46258</v>
      </c>
      <c r="F245" t="inlineStr">
        <is>
          <t>NORRBOTTENS LÄN</t>
        </is>
      </c>
      <c r="G245" t="inlineStr">
        <is>
          <t>ÖVERTORNEÅ</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40589-2024</t>
        </is>
      </c>
      <c r="B246" t="inlineStr">
        <is>
          <t>avverkningsanmälan</t>
        </is>
      </c>
      <c r="C246" t="inlineStr">
        <is>
          <t>Föryngringsavverkning</t>
        </is>
      </c>
      <c r="D246" s="1" t="n">
        <v>45555</v>
      </c>
      <c r="E246" s="1" t="n">
        <v>46258</v>
      </c>
      <c r="F246" t="inlineStr">
        <is>
          <t>NORRBOTTENS LÄN</t>
        </is>
      </c>
      <c r="G246" t="inlineStr">
        <is>
          <t>ÖVERTORNEÅ</t>
        </is>
      </c>
      <c r="I246" t="n">
        <v>4.9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24647-2024</t>
        </is>
      </c>
      <c r="B247" t="inlineStr">
        <is>
          <t>avverkningsanmälan</t>
        </is>
      </c>
      <c r="C247" t="inlineStr">
        <is>
          <t>Föryngringsavverkning</t>
        </is>
      </c>
      <c r="D247" s="1" t="n">
        <v>45460</v>
      </c>
      <c r="E247" s="1" t="n">
        <v>46258</v>
      </c>
      <c r="F247" t="inlineStr">
        <is>
          <t>NORRBOTTENS LÄN</t>
        </is>
      </c>
      <c r="G247" t="inlineStr">
        <is>
          <t>ÖVERTORNEÅ</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2894-2026</t>
        </is>
      </c>
      <c r="B248" t="inlineStr">
        <is>
          <t>avverkningsanmälan</t>
        </is>
      </c>
      <c r="C248" t="inlineStr">
        <is>
          <t>Föryngringsavverkning</t>
        </is>
      </c>
      <c r="D248" s="1" t="n">
        <v>46038</v>
      </c>
      <c r="E248" s="1" t="n">
        <v>46258</v>
      </c>
      <c r="F248" t="inlineStr">
        <is>
          <t>NORRBOTTENS LÄN</t>
        </is>
      </c>
      <c r="G248" t="inlineStr">
        <is>
          <t>ÖVERTORNEÅ</t>
        </is>
      </c>
      <c r="I248" t="n">
        <v>6.6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36608-2025</t>
        </is>
      </c>
      <c r="B249" t="inlineStr">
        <is>
          <t>avverkningsanmälan</t>
        </is>
      </c>
      <c r="C249" t="inlineStr">
        <is>
          <t>Föryngringsavverkning</t>
        </is>
      </c>
      <c r="D249" s="1" t="n">
        <v>45870</v>
      </c>
      <c r="E249" s="1" t="n">
        <v>46258</v>
      </c>
      <c r="F249" t="inlineStr">
        <is>
          <t>NORRBOTTENS LÄN</t>
        </is>
      </c>
      <c r="G249" t="inlineStr">
        <is>
          <t>ÖVERTORNEÅ</t>
        </is>
      </c>
      <c r="H249" t="inlineStr">
        <is>
          <t>Sveaskog</t>
        </is>
      </c>
      <c r="I249" t="n">
        <v>9.800000000000001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31774-2022</t>
        </is>
      </c>
      <c r="B250" t="inlineStr">
        <is>
          <t>avverkningsanmälan</t>
        </is>
      </c>
      <c r="C250" t="inlineStr">
        <is>
          <t>Föryngringsavverkning</t>
        </is>
      </c>
      <c r="D250" s="1" t="n">
        <v>44776</v>
      </c>
      <c r="E250" s="1" t="n">
        <v>46258</v>
      </c>
      <c r="F250" t="inlineStr">
        <is>
          <t>NORRBOTTENS LÄN</t>
        </is>
      </c>
      <c r="G250" t="inlineStr">
        <is>
          <t>ÖVERTORNEÅ</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2918-2026</t>
        </is>
      </c>
      <c r="B251" t="inlineStr">
        <is>
          <t>avverkningsanmälan</t>
        </is>
      </c>
      <c r="C251" t="inlineStr">
        <is>
          <t>Föryngringsavverkning</t>
        </is>
      </c>
      <c r="D251" s="1" t="n">
        <v>46038</v>
      </c>
      <c r="E251" s="1" t="n">
        <v>46258</v>
      </c>
      <c r="F251" t="inlineStr">
        <is>
          <t>NORRBOTTENS LÄN</t>
        </is>
      </c>
      <c r="G251" t="inlineStr">
        <is>
          <t>ÖVERTORNEÅ</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48770-2021</t>
        </is>
      </c>
      <c r="B252" t="inlineStr">
        <is>
          <t>avverkningsanmälan</t>
        </is>
      </c>
      <c r="C252" t="inlineStr">
        <is>
          <t>Föryngringsavverkning</t>
        </is>
      </c>
      <c r="D252" s="1" t="n">
        <v>44452</v>
      </c>
      <c r="E252" s="1" t="n">
        <v>46258</v>
      </c>
      <c r="F252" t="inlineStr">
        <is>
          <t>NORRBOTTENS LÄN</t>
        </is>
      </c>
      <c r="G252" t="inlineStr">
        <is>
          <t>ÖVERTORNEÅ</t>
        </is>
      </c>
      <c r="I252" t="n">
        <v>9.4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2883-2026</t>
        </is>
      </c>
      <c r="B253" t="inlineStr">
        <is>
          <t>avverkningsanmälan</t>
        </is>
      </c>
      <c r="C253" t="inlineStr">
        <is>
          <t>Föryngringsavverkning</t>
        </is>
      </c>
      <c r="D253" s="1" t="n">
        <v>46038</v>
      </c>
      <c r="E253" s="1" t="n">
        <v>46258</v>
      </c>
      <c r="F253" t="inlineStr">
        <is>
          <t>NORRBOTTENS LÄN</t>
        </is>
      </c>
      <c r="G253" t="inlineStr">
        <is>
          <t>ÖVERTORNEÅ</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2887-2026</t>
        </is>
      </c>
      <c r="B254" t="inlineStr">
        <is>
          <t>avverkningsanmälan</t>
        </is>
      </c>
      <c r="C254" t="inlineStr">
        <is>
          <t>Föryngringsavverkning</t>
        </is>
      </c>
      <c r="D254" s="1" t="n">
        <v>46038</v>
      </c>
      <c r="E254" s="1" t="n">
        <v>46258</v>
      </c>
      <c r="F254" t="inlineStr">
        <is>
          <t>NORRBOTTENS LÄN</t>
        </is>
      </c>
      <c r="G254" t="inlineStr">
        <is>
          <t>ÖVERTORNEÅ</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2904-2026</t>
        </is>
      </c>
      <c r="B255" t="inlineStr">
        <is>
          <t>avverkningsanmälan</t>
        </is>
      </c>
      <c r="C255" t="inlineStr">
        <is>
          <t>Föryngringsavverkning</t>
        </is>
      </c>
      <c r="D255" s="1" t="n">
        <v>46038</v>
      </c>
      <c r="E255" s="1" t="n">
        <v>46258</v>
      </c>
      <c r="F255" t="inlineStr">
        <is>
          <t>NORRBOTTENS LÄN</t>
        </is>
      </c>
      <c r="G255" t="inlineStr">
        <is>
          <t>ÖVERTORNEÅ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16452-2024</t>
        </is>
      </c>
      <c r="B256" t="inlineStr">
        <is>
          <t>avverkningsanmälan</t>
        </is>
      </c>
      <c r="C256" t="inlineStr">
        <is>
          <t>Föryngringsavverkning</t>
        </is>
      </c>
      <c r="D256" s="1" t="n">
        <v>45407</v>
      </c>
      <c r="E256" s="1" t="n">
        <v>46258</v>
      </c>
      <c r="F256" t="inlineStr">
        <is>
          <t>NORRBOTTENS LÄN</t>
        </is>
      </c>
      <c r="G256" t="inlineStr">
        <is>
          <t>ÖVERTORNEÅ</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13754-2024</t>
        </is>
      </c>
      <c r="B257" t="inlineStr">
        <is>
          <t>avverkningsanmälan</t>
        </is>
      </c>
      <c r="C257" t="inlineStr">
        <is>
          <t>Föryngringsavverkning</t>
        </is>
      </c>
      <c r="D257" s="1" t="n">
        <v>45390</v>
      </c>
      <c r="E257" s="1" t="n">
        <v>46258</v>
      </c>
      <c r="F257" t="inlineStr">
        <is>
          <t>NORRBOTTENS LÄN</t>
        </is>
      </c>
      <c r="G257" t="inlineStr">
        <is>
          <t>ÖVERTORNEÅ</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48792-2021</t>
        </is>
      </c>
      <c r="B258" t="inlineStr">
        <is>
          <t>avverkningsanmälan</t>
        </is>
      </c>
      <c r="C258" t="inlineStr">
        <is>
          <t>Föryngringsavverkning</t>
        </is>
      </c>
      <c r="D258" s="1" t="n">
        <v>44452</v>
      </c>
      <c r="E258" s="1" t="n">
        <v>46258</v>
      </c>
      <c r="F258" t="inlineStr">
        <is>
          <t>NORRBOTTENS LÄN</t>
        </is>
      </c>
      <c r="G258" t="inlineStr">
        <is>
          <t>ÖVERTORNEÅ</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4400-2025</t>
        </is>
      </c>
      <c r="B259" t="inlineStr">
        <is>
          <t>avverkningsanmälan</t>
        </is>
      </c>
      <c r="C259" t="inlineStr">
        <is>
          <t>Föryngringsavverkning</t>
        </is>
      </c>
      <c r="D259" s="1" t="n">
        <v>45686</v>
      </c>
      <c r="E259" s="1" t="n">
        <v>46258</v>
      </c>
      <c r="F259" t="inlineStr">
        <is>
          <t>NORRBOTTENS LÄN</t>
        </is>
      </c>
      <c r="G259" t="inlineStr">
        <is>
          <t>ÖVERTORNEÅ</t>
        </is>
      </c>
      <c r="I259" t="n">
        <v>3.6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4514-2022</t>
        </is>
      </c>
      <c r="B260" t="inlineStr">
        <is>
          <t>avverkningsanmälan</t>
        </is>
      </c>
      <c r="C260" t="inlineStr">
        <is>
          <t>Avverkning för annat ändamål</t>
        </is>
      </c>
      <c r="D260" s="1" t="n">
        <v>44589</v>
      </c>
      <c r="E260" s="1" t="n">
        <v>46258</v>
      </c>
      <c r="F260" t="inlineStr">
        <is>
          <t>NORRBOTTENS LÄN</t>
        </is>
      </c>
      <c r="G260" t="inlineStr">
        <is>
          <t>ÖVERTORNEÅ</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23813-2026</t>
        </is>
      </c>
      <c r="B261" t="inlineStr">
        <is>
          <t>avverkningsanmälan</t>
        </is>
      </c>
      <c r="C261" t="inlineStr">
        <is>
          <t>Föryngringsavverkning</t>
        </is>
      </c>
      <c r="D261" s="1" t="n">
        <v>46164</v>
      </c>
      <c r="E261" s="1" t="n">
        <v>46258</v>
      </c>
      <c r="F261" t="inlineStr">
        <is>
          <t>NORRBOTTENS LÄN</t>
        </is>
      </c>
      <c r="G261" t="inlineStr">
        <is>
          <t>ÖVERTORNEÅ</t>
        </is>
      </c>
      <c r="I261" t="n">
        <v>12.5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23954-2026</t>
        </is>
      </c>
      <c r="B262" t="inlineStr">
        <is>
          <t>avverkningsanmälan</t>
        </is>
      </c>
      <c r="C262" t="inlineStr">
        <is>
          <t>Föryngringsavverkning</t>
        </is>
      </c>
      <c r="D262" s="1" t="n">
        <v>46167</v>
      </c>
      <c r="E262" s="1" t="n">
        <v>46258</v>
      </c>
      <c r="F262" t="inlineStr">
        <is>
          <t>NORRBOTTENS LÄN</t>
        </is>
      </c>
      <c r="G262" t="inlineStr">
        <is>
          <t>ÖVERTORNEÅ</t>
        </is>
      </c>
      <c r="I262" t="n">
        <v>12.2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4283-2025</t>
        </is>
      </c>
      <c r="B263" t="inlineStr">
        <is>
          <t>avverkningsanmälan</t>
        </is>
      </c>
      <c r="C263" t="inlineStr">
        <is>
          <t>Föryngringsavverkning</t>
        </is>
      </c>
      <c r="D263" s="1" t="n">
        <v>45685</v>
      </c>
      <c r="E263" s="1" t="n">
        <v>46258</v>
      </c>
      <c r="F263" t="inlineStr">
        <is>
          <t>NORRBOTTENS LÄN</t>
        </is>
      </c>
      <c r="G263" t="inlineStr">
        <is>
          <t>ÖVERTORNEÅ</t>
        </is>
      </c>
      <c r="I263" t="n">
        <v>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15043-2025</t>
        </is>
      </c>
      <c r="B264" t="inlineStr">
        <is>
          <t>avverkningsanmälan</t>
        </is>
      </c>
      <c r="C264" t="inlineStr">
        <is>
          <t>Föryngringsavverkning</t>
        </is>
      </c>
      <c r="D264" s="1" t="n">
        <v>45743</v>
      </c>
      <c r="E264" s="1" t="n">
        <v>46258</v>
      </c>
      <c r="F264" t="inlineStr">
        <is>
          <t>NORRBOTTENS LÄN</t>
        </is>
      </c>
      <c r="G264" t="inlineStr">
        <is>
          <t>ÖVERTORNEÅ</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4688-2026</t>
        </is>
      </c>
      <c r="B265" t="inlineStr">
        <is>
          <t>avverkningsanmälan</t>
        </is>
      </c>
      <c r="C265" t="inlineStr">
        <is>
          <t>Föryngringsavverkning</t>
        </is>
      </c>
      <c r="D265" s="1" t="n">
        <v>46048</v>
      </c>
      <c r="E265" s="1" t="n">
        <v>46258</v>
      </c>
      <c r="F265" t="inlineStr">
        <is>
          <t>NORRBOTTENS LÄN</t>
        </is>
      </c>
      <c r="G265" t="inlineStr">
        <is>
          <t>ÖVERTORNEÅ</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24388-2026</t>
        </is>
      </c>
      <c r="B266" t="inlineStr">
        <is>
          <t>avverkningsanmälan</t>
        </is>
      </c>
      <c r="C266" t="inlineStr">
        <is>
          <t>Föryngringsavverkning</t>
        </is>
      </c>
      <c r="D266" s="1" t="n">
        <v>46167</v>
      </c>
      <c r="E266" s="1" t="n">
        <v>46258</v>
      </c>
      <c r="F266" t="inlineStr">
        <is>
          <t>NORRBOTTENS LÄN</t>
        </is>
      </c>
      <c r="G266" t="inlineStr">
        <is>
          <t>ÖVERTORNEÅ</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26162-2024</t>
        </is>
      </c>
      <c r="B267" t="inlineStr">
        <is>
          <t>avverkningsanmälan</t>
        </is>
      </c>
      <c r="C267" t="inlineStr">
        <is>
          <t>Föryngringsavverkning</t>
        </is>
      </c>
      <c r="D267" s="1" t="n">
        <v>45467</v>
      </c>
      <c r="E267" s="1" t="n">
        <v>46258</v>
      </c>
      <c r="F267" t="inlineStr">
        <is>
          <t>NORRBOTTENS LÄN</t>
        </is>
      </c>
      <c r="G267" t="inlineStr">
        <is>
          <t>ÖVERTORNEÅ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23913-2026</t>
        </is>
      </c>
      <c r="B268" t="inlineStr">
        <is>
          <t>avverkningsanmälan</t>
        </is>
      </c>
      <c r="C268" t="inlineStr">
        <is>
          <t>Föryngringsavverkning</t>
        </is>
      </c>
      <c r="D268" s="1" t="n">
        <v>46167</v>
      </c>
      <c r="E268" s="1" t="n">
        <v>46258</v>
      </c>
      <c r="F268" t="inlineStr">
        <is>
          <t>NORRBOTTENS LÄN</t>
        </is>
      </c>
      <c r="G268" t="inlineStr">
        <is>
          <t>ÖVERTORNEÅ</t>
        </is>
      </c>
      <c r="I268" t="n">
        <v>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23911-2026</t>
        </is>
      </c>
      <c r="B269" t="inlineStr">
        <is>
          <t>avverkningsanmälan</t>
        </is>
      </c>
      <c r="C269" t="inlineStr">
        <is>
          <t>Föryngringsavverkning</t>
        </is>
      </c>
      <c r="D269" s="1" t="n">
        <v>46167</v>
      </c>
      <c r="E269" s="1" t="n">
        <v>46258</v>
      </c>
      <c r="F269" t="inlineStr">
        <is>
          <t>NORRBOTTENS LÄN</t>
        </is>
      </c>
      <c r="G269" t="inlineStr">
        <is>
          <t>ÖVERTORNEÅ</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1859-2026</t>
        </is>
      </c>
      <c r="B270" t="inlineStr">
        <is>
          <t>avverkningsanmälan</t>
        </is>
      </c>
      <c r="C270" t="inlineStr">
        <is>
          <t>Föryngringsavverkning</t>
        </is>
      </c>
      <c r="D270" s="1" t="n">
        <v>46035</v>
      </c>
      <c r="E270" s="1" t="n">
        <v>46258</v>
      </c>
      <c r="F270" t="inlineStr">
        <is>
          <t>NORRBOTTENS LÄN</t>
        </is>
      </c>
      <c r="G270" t="inlineStr">
        <is>
          <t>ÖVERTORNEÅ</t>
        </is>
      </c>
      <c r="I270" t="n">
        <v>5.3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24381-2026</t>
        </is>
      </c>
      <c r="B271" t="inlineStr">
        <is>
          <t>avverkningsanmälan</t>
        </is>
      </c>
      <c r="C271" t="inlineStr">
        <is>
          <t>Föryngringsavverkning</t>
        </is>
      </c>
      <c r="D271" s="1" t="n">
        <v>46167</v>
      </c>
      <c r="E271" s="1" t="n">
        <v>46258</v>
      </c>
      <c r="F271" t="inlineStr">
        <is>
          <t>NORRBOTTENS LÄN</t>
        </is>
      </c>
      <c r="G271" t="inlineStr">
        <is>
          <t>ÖVERTORNEÅ</t>
        </is>
      </c>
      <c r="I271" t="n">
        <v>6.8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24396-2026</t>
        </is>
      </c>
      <c r="B272" t="inlineStr">
        <is>
          <t>avverkningsanmälan</t>
        </is>
      </c>
      <c r="C272" t="inlineStr">
        <is>
          <t>Föryngringsavverkning</t>
        </is>
      </c>
      <c r="D272" s="1" t="n">
        <v>46167</v>
      </c>
      <c r="E272" s="1" t="n">
        <v>46258</v>
      </c>
      <c r="F272" t="inlineStr">
        <is>
          <t>NORRBOTTENS LÄN</t>
        </is>
      </c>
      <c r="G272" t="inlineStr">
        <is>
          <t>ÖVERTORNEÅ</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24401-2026</t>
        </is>
      </c>
      <c r="B273" t="inlineStr">
        <is>
          <t>avverkningsanmälan</t>
        </is>
      </c>
      <c r="C273" t="inlineStr">
        <is>
          <t>Föryngringsavverkning</t>
        </is>
      </c>
      <c r="D273" s="1" t="n">
        <v>46167</v>
      </c>
      <c r="E273" s="1" t="n">
        <v>46258</v>
      </c>
      <c r="F273" t="inlineStr">
        <is>
          <t>NORRBOTTENS LÄN</t>
        </is>
      </c>
      <c r="G273" t="inlineStr">
        <is>
          <t>ÖVERTORNEÅ</t>
        </is>
      </c>
      <c r="I273" t="n">
        <v>16.5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23955-2026</t>
        </is>
      </c>
      <c r="B274" t="inlineStr">
        <is>
          <t>avverkningsanmälan</t>
        </is>
      </c>
      <c r="C274" t="inlineStr">
        <is>
          <t>Föryngringsavverkning</t>
        </is>
      </c>
      <c r="D274" s="1" t="n">
        <v>46167</v>
      </c>
      <c r="E274" s="1" t="n">
        <v>46258</v>
      </c>
      <c r="F274" t="inlineStr">
        <is>
          <t>NORRBOTTENS LÄN</t>
        </is>
      </c>
      <c r="G274" t="inlineStr">
        <is>
          <t>ÖVERTORNEÅ</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35593-2025</t>
        </is>
      </c>
      <c r="B275" t="inlineStr">
        <is>
          <t>avverkningsanmälan</t>
        </is>
      </c>
      <c r="C275" t="inlineStr">
        <is>
          <t>Föryngringsavverkning</t>
        </is>
      </c>
      <c r="D275" s="1" t="n">
        <v>45857</v>
      </c>
      <c r="E275" s="1" t="n">
        <v>46258</v>
      </c>
      <c r="F275" t="inlineStr">
        <is>
          <t>NORRBOTTENS LÄN</t>
        </is>
      </c>
      <c r="G275" t="inlineStr">
        <is>
          <t>ÖVERTORNEÅ</t>
        </is>
      </c>
      <c r="I275" t="n">
        <v>3.1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1470-2025</t>
        </is>
      </c>
      <c r="B276" t="inlineStr">
        <is>
          <t>avverkningsanmälan</t>
        </is>
      </c>
      <c r="C276" t="inlineStr">
        <is>
          <t>Föryngringsavverkning</t>
        </is>
      </c>
      <c r="D276" s="1" t="n">
        <v>45670</v>
      </c>
      <c r="E276" s="1" t="n">
        <v>46258</v>
      </c>
      <c r="F276" t="inlineStr">
        <is>
          <t>NORRBOTTENS LÄN</t>
        </is>
      </c>
      <c r="G276" t="inlineStr">
        <is>
          <t>ÖVERTORNEÅ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46024-2021</t>
        </is>
      </c>
      <c r="B277" t="inlineStr">
        <is>
          <t>avverkningsanmälan</t>
        </is>
      </c>
      <c r="C277" t="inlineStr">
        <is>
          <t>Föryngringsavverkning</t>
        </is>
      </c>
      <c r="D277" s="1" t="n">
        <v>44441</v>
      </c>
      <c r="E277" s="1" t="n">
        <v>46258</v>
      </c>
      <c r="F277" t="inlineStr">
        <is>
          <t>NORRBOTTENS LÄN</t>
        </is>
      </c>
      <c r="G277" t="inlineStr">
        <is>
          <t>ÖVERTORNEÅ</t>
        </is>
      </c>
      <c r="I277" t="n">
        <v>2.7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55545-2024</t>
        </is>
      </c>
      <c r="B278" t="inlineStr">
        <is>
          <t>avverkningsanmälan</t>
        </is>
      </c>
      <c r="C278" t="inlineStr">
        <is>
          <t>Föryngringsavverkning</t>
        </is>
      </c>
      <c r="D278" s="1" t="n">
        <v>45622</v>
      </c>
      <c r="E278" s="1" t="n">
        <v>46258</v>
      </c>
      <c r="F278" t="inlineStr">
        <is>
          <t>NORRBOTTENS LÄN</t>
        </is>
      </c>
      <c r="G278" t="inlineStr">
        <is>
          <t>ÖVERTORNEÅ</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1469-2025</t>
        </is>
      </c>
      <c r="B279" t="inlineStr">
        <is>
          <t>avverkningsanmälan</t>
        </is>
      </c>
      <c r="C279" t="inlineStr">
        <is>
          <t>Föryngringsavverkning</t>
        </is>
      </c>
      <c r="D279" s="1" t="n">
        <v>45670</v>
      </c>
      <c r="E279" s="1" t="n">
        <v>46258</v>
      </c>
      <c r="F279" t="inlineStr">
        <is>
          <t>NORRBOTTENS LÄN</t>
        </is>
      </c>
      <c r="G279" t="inlineStr">
        <is>
          <t>ÖVERTORNEÅ</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8514-2024</t>
        </is>
      </c>
      <c r="B280" t="inlineStr">
        <is>
          <t>avverkningsanmälan</t>
        </is>
      </c>
      <c r="C280" t="inlineStr">
        <is>
          <t>Föryngringsavverkning</t>
        </is>
      </c>
      <c r="D280" s="1" t="n">
        <v>45351</v>
      </c>
      <c r="E280" s="1" t="n">
        <v>46258</v>
      </c>
      <c r="F280" t="inlineStr">
        <is>
          <t>NORRBOTTENS LÄN</t>
        </is>
      </c>
      <c r="G280" t="inlineStr">
        <is>
          <t>ÖVERTORNEÅ</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37361-2025</t>
        </is>
      </c>
      <c r="B281" t="inlineStr">
        <is>
          <t>avverkningsanmälan</t>
        </is>
      </c>
      <c r="C281" t="inlineStr">
        <is>
          <t>Föryngringsavverkning</t>
        </is>
      </c>
      <c r="D281" s="1" t="n">
        <v>45877</v>
      </c>
      <c r="E281" s="1" t="n">
        <v>46258</v>
      </c>
      <c r="F281" t="inlineStr">
        <is>
          <t>NORRBOTTENS LÄN</t>
        </is>
      </c>
      <c r="G281" t="inlineStr">
        <is>
          <t>ÖVERTORNEÅ</t>
        </is>
      </c>
      <c r="I281" t="n">
        <v>4.2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26118-2024</t>
        </is>
      </c>
      <c r="B282" t="inlineStr">
        <is>
          <t>avverkningsanmälan</t>
        </is>
      </c>
      <c r="C282" t="inlineStr">
        <is>
          <t>Föryngringsavverkning</t>
        </is>
      </c>
      <c r="D282" s="1" t="n">
        <v>45467</v>
      </c>
      <c r="E282" s="1" t="n">
        <v>46258</v>
      </c>
      <c r="F282" t="inlineStr">
        <is>
          <t>NORRBOTTENS LÄN</t>
        </is>
      </c>
      <c r="G282" t="inlineStr">
        <is>
          <t>ÖVERTORNEÅ</t>
        </is>
      </c>
      <c r="I282" t="n">
        <v>12.4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24803-2026</t>
        </is>
      </c>
      <c r="B283" t="inlineStr">
        <is>
          <t>avverkningsanmälan</t>
        </is>
      </c>
      <c r="C283" t="inlineStr">
        <is>
          <t>Föryngringsavverkning</t>
        </is>
      </c>
      <c r="D283" s="1" t="n">
        <v>46171</v>
      </c>
      <c r="E283" s="1" t="n">
        <v>46258</v>
      </c>
      <c r="F283" t="inlineStr">
        <is>
          <t>NORRBOTTENS LÄN</t>
        </is>
      </c>
      <c r="G283" t="inlineStr">
        <is>
          <t>ÖVERTORNEÅ</t>
        </is>
      </c>
      <c r="H283" t="inlineStr">
        <is>
          <t>Sveaskog</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1319-2025</t>
        </is>
      </c>
      <c r="B284" t="inlineStr">
        <is>
          <t>avverkningsanmälan</t>
        </is>
      </c>
      <c r="C284" t="inlineStr">
        <is>
          <t>Föryngringsavverkning</t>
        </is>
      </c>
      <c r="D284" s="1" t="n">
        <v>45667</v>
      </c>
      <c r="E284" s="1" t="n">
        <v>46258</v>
      </c>
      <c r="F284" t="inlineStr">
        <is>
          <t>NORRBOTTENS LÄN</t>
        </is>
      </c>
      <c r="G284" t="inlineStr">
        <is>
          <t>ÖVERTORNEÅ</t>
        </is>
      </c>
      <c r="I284" t="n">
        <v>5.5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6722-2026</t>
        </is>
      </c>
      <c r="B285" t="inlineStr">
        <is>
          <t>avverkningsanmälan</t>
        </is>
      </c>
      <c r="C285" t="inlineStr">
        <is>
          <t>Föryngringsavverkning</t>
        </is>
      </c>
      <c r="D285" s="1" t="n">
        <v>46056</v>
      </c>
      <c r="E285" s="1" t="n">
        <v>46258</v>
      </c>
      <c r="F285" t="inlineStr">
        <is>
          <t>NORRBOTTENS LÄN</t>
        </is>
      </c>
      <c r="G285" t="inlineStr">
        <is>
          <t>ÖVERTORNEÅ</t>
        </is>
      </c>
      <c r="I285" t="n">
        <v>5.6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48891-2022</t>
        </is>
      </c>
      <c r="B286" t="inlineStr">
        <is>
          <t>avverkningsanmälan</t>
        </is>
      </c>
      <c r="C286" t="inlineStr">
        <is>
          <t>Föryngringsavverkning</t>
        </is>
      </c>
      <c r="D286" s="1" t="n">
        <v>44859</v>
      </c>
      <c r="E286" s="1" t="n">
        <v>46258</v>
      </c>
      <c r="F286" t="inlineStr">
        <is>
          <t>NORRBOTTENS LÄN</t>
        </is>
      </c>
      <c r="G286" t="inlineStr">
        <is>
          <t>ÖVERTORNEÅ</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6922-2026</t>
        </is>
      </c>
      <c r="B287" t="inlineStr">
        <is>
          <t>avverkningsanmälan</t>
        </is>
      </c>
      <c r="C287" t="inlineStr">
        <is>
          <t>Föryngringsavverkning</t>
        </is>
      </c>
      <c r="D287" s="1" t="n">
        <v>46057</v>
      </c>
      <c r="E287" s="1" t="n">
        <v>46258</v>
      </c>
      <c r="F287" t="inlineStr">
        <is>
          <t>NORRBOTTENS LÄN</t>
        </is>
      </c>
      <c r="G287" t="inlineStr">
        <is>
          <t>ÖVERTORNEÅ</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28839-2023</t>
        </is>
      </c>
      <c r="B288" t="inlineStr">
        <is>
          <t>avverkningsanmälan</t>
        </is>
      </c>
      <c r="C288" t="inlineStr">
        <is>
          <t>Föryngringsavverkning</t>
        </is>
      </c>
      <c r="D288" s="1" t="n">
        <v>45104</v>
      </c>
      <c r="E288" s="1" t="n">
        <v>46258</v>
      </c>
      <c r="F288" t="inlineStr">
        <is>
          <t>NORRBOTTENS LÄN</t>
        </is>
      </c>
      <c r="G288" t="inlineStr">
        <is>
          <t>ÖVERTORNEÅ</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7136-2026</t>
        </is>
      </c>
      <c r="B289" t="inlineStr">
        <is>
          <t>avverkningsanmälan</t>
        </is>
      </c>
      <c r="C289" t="inlineStr">
        <is>
          <t>Föryngringsavverkning</t>
        </is>
      </c>
      <c r="D289" s="1" t="n">
        <v>46058</v>
      </c>
      <c r="E289" s="1" t="n">
        <v>46258</v>
      </c>
      <c r="F289" t="inlineStr">
        <is>
          <t>NORRBOTTENS LÄN</t>
        </is>
      </c>
      <c r="G289" t="inlineStr">
        <is>
          <t>ÖVERTORNEÅ</t>
        </is>
      </c>
      <c r="I289" t="n">
        <v>8.6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7534-2026</t>
        </is>
      </c>
      <c r="B290" t="inlineStr">
        <is>
          <t>avverkningsanmälan</t>
        </is>
      </c>
      <c r="C290" t="inlineStr">
        <is>
          <t>Föryngringsavverkning</t>
        </is>
      </c>
      <c r="D290" s="1" t="n">
        <v>46059</v>
      </c>
      <c r="E290" s="1" t="n">
        <v>46258</v>
      </c>
      <c r="F290" t="inlineStr">
        <is>
          <t>NORRBOTTENS LÄN</t>
        </is>
      </c>
      <c r="G290" t="inlineStr">
        <is>
          <t>ÖVERTORNEÅ</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7536-2026</t>
        </is>
      </c>
      <c r="B291" t="inlineStr">
        <is>
          <t>avverkningsanmälan</t>
        </is>
      </c>
      <c r="C291" t="inlineStr">
        <is>
          <t>Föryngringsavverkning</t>
        </is>
      </c>
      <c r="D291" s="1" t="n">
        <v>46059</v>
      </c>
      <c r="E291" s="1" t="n">
        <v>46258</v>
      </c>
      <c r="F291" t="inlineStr">
        <is>
          <t>NORRBOTTENS LÄN</t>
        </is>
      </c>
      <c r="G291" t="inlineStr">
        <is>
          <t>ÖVERTORNEÅ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24972-2026</t>
        </is>
      </c>
      <c r="B292" t="inlineStr">
        <is>
          <t>avverkningsanmälan</t>
        </is>
      </c>
      <c r="C292" t="inlineStr">
        <is>
          <t>Föryngringsavverkning</t>
        </is>
      </c>
      <c r="D292" s="1" t="n">
        <v>46174</v>
      </c>
      <c r="E292" s="1" t="n">
        <v>46258</v>
      </c>
      <c r="F292" t="inlineStr">
        <is>
          <t>NORRBOTTENS LÄN</t>
        </is>
      </c>
      <c r="G292" t="inlineStr">
        <is>
          <t>ÖVERTORNEÅ</t>
        </is>
      </c>
      <c r="I292" t="n">
        <v>10.1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26556-2023</t>
        </is>
      </c>
      <c r="B293" t="inlineStr">
        <is>
          <t>avverkningsanmälan</t>
        </is>
      </c>
      <c r="C293" t="inlineStr">
        <is>
          <t>Avverkning för annat ändamål</t>
        </is>
      </c>
      <c r="D293" s="1" t="n">
        <v>45092</v>
      </c>
      <c r="E293" s="1" t="n">
        <v>46258</v>
      </c>
      <c r="F293" t="inlineStr">
        <is>
          <t>NORRBOTTENS LÄN</t>
        </is>
      </c>
      <c r="G293" t="inlineStr">
        <is>
          <t>ÖVERTORNEÅ</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7539-2026</t>
        </is>
      </c>
      <c r="B294" t="inlineStr">
        <is>
          <t>avverkningsanmälan</t>
        </is>
      </c>
      <c r="C294" t="inlineStr">
        <is>
          <t>Föryngringsavverkning</t>
        </is>
      </c>
      <c r="D294" s="1" t="n">
        <v>46059</v>
      </c>
      <c r="E294" s="1" t="n">
        <v>46258</v>
      </c>
      <c r="F294" t="inlineStr">
        <is>
          <t>NORRBOTTENS LÄN</t>
        </is>
      </c>
      <c r="G294" t="inlineStr">
        <is>
          <t>ÖVERTORNEÅ</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31196-2026</t>
        </is>
      </c>
      <c r="B295" t="inlineStr">
        <is>
          <t>avverkningsanmälan</t>
        </is>
      </c>
      <c r="C295" t="inlineStr">
        <is>
          <t>Föryngringsavverkning</t>
        </is>
      </c>
      <c r="D295" s="1" t="n">
        <v>46217</v>
      </c>
      <c r="E295" s="1" t="n">
        <v>46258</v>
      </c>
      <c r="F295" t="inlineStr">
        <is>
          <t>NORRBOTTENS LÄN</t>
        </is>
      </c>
      <c r="G295" t="inlineStr">
        <is>
          <t>ÖVERTORNEÅ</t>
        </is>
      </c>
      <c r="I295" t="n">
        <v>8.4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4274-2025</t>
        </is>
      </c>
      <c r="B296" t="inlineStr">
        <is>
          <t>avverkningsanmälan</t>
        </is>
      </c>
      <c r="C296" t="inlineStr">
        <is>
          <t>Föryngringsavverkning</t>
        </is>
      </c>
      <c r="D296" s="1" t="n">
        <v>45685</v>
      </c>
      <c r="E296" s="1" t="n">
        <v>46258</v>
      </c>
      <c r="F296" t="inlineStr">
        <is>
          <t>NORRBOTTENS LÄN</t>
        </is>
      </c>
      <c r="G296" t="inlineStr">
        <is>
          <t>ÖVERTORNEÅ</t>
        </is>
      </c>
      <c r="I296" t="n">
        <v>7.1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7804-2026</t>
        </is>
      </c>
      <c r="B297" t="inlineStr">
        <is>
          <t>avverkningsanmälan</t>
        </is>
      </c>
      <c r="C297" t="inlineStr">
        <is>
          <t>Föryngringsavverkning</t>
        </is>
      </c>
      <c r="D297" s="1" t="n">
        <v>46062</v>
      </c>
      <c r="E297" s="1" t="n">
        <v>46258</v>
      </c>
      <c r="F297" t="inlineStr">
        <is>
          <t>NORRBOTTENS LÄN</t>
        </is>
      </c>
      <c r="G297" t="inlineStr">
        <is>
          <t>ÖVERTORNEÅ</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8062-2026</t>
        </is>
      </c>
      <c r="B298" t="inlineStr">
        <is>
          <t>avverkningsanmälan</t>
        </is>
      </c>
      <c r="C298" t="inlineStr">
        <is>
          <t>Föryngringsavverkning</t>
        </is>
      </c>
      <c r="D298" s="1" t="n">
        <v>46062</v>
      </c>
      <c r="E298" s="1" t="n">
        <v>46258</v>
      </c>
      <c r="F298" t="inlineStr">
        <is>
          <t>NORRBOTTENS LÄN</t>
        </is>
      </c>
      <c r="G298" t="inlineStr">
        <is>
          <t>ÖVERTORNEÅ</t>
        </is>
      </c>
      <c r="I298" t="n">
        <v>6.8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25681-2026</t>
        </is>
      </c>
      <c r="B299" t="inlineStr">
        <is>
          <t>avverkningsanmälan</t>
        </is>
      </c>
      <c r="C299" t="inlineStr">
        <is>
          <t>Föryngringsavverkning</t>
        </is>
      </c>
      <c r="D299" s="1" t="n">
        <v>46178</v>
      </c>
      <c r="E299" s="1" t="n">
        <v>46258</v>
      </c>
      <c r="F299" t="inlineStr">
        <is>
          <t>NORRBOTTENS LÄN</t>
        </is>
      </c>
      <c r="G299" t="inlineStr">
        <is>
          <t>ÖVERTORNEÅ</t>
        </is>
      </c>
      <c r="I299" t="n">
        <v>3.2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25776-2026</t>
        </is>
      </c>
      <c r="B300" t="inlineStr">
        <is>
          <t>avverkningsanmälan</t>
        </is>
      </c>
      <c r="C300" t="inlineStr">
        <is>
          <t>Föryngringsavverkning</t>
        </is>
      </c>
      <c r="D300" s="1" t="n">
        <v>46178</v>
      </c>
      <c r="E300" s="1" t="n">
        <v>46258</v>
      </c>
      <c r="F300" t="inlineStr">
        <is>
          <t>NORRBOTTENS LÄN</t>
        </is>
      </c>
      <c r="G300" t="inlineStr">
        <is>
          <t>ÖVERTORNEÅ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59662-2024</t>
        </is>
      </c>
      <c r="B301" t="inlineStr">
        <is>
          <t>avverkningsanmälan</t>
        </is>
      </c>
      <c r="C301" t="inlineStr">
        <is>
          <t>Föryngringsavverkning</t>
        </is>
      </c>
      <c r="D301" s="1" t="n">
        <v>45639</v>
      </c>
      <c r="E301" s="1" t="n">
        <v>46258</v>
      </c>
      <c r="F301" t="inlineStr">
        <is>
          <t>NORRBOTTENS LÄN</t>
        </is>
      </c>
      <c r="G301" t="inlineStr">
        <is>
          <t>ÖVERTORNEÅ</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34402-2023</t>
        </is>
      </c>
      <c r="B302" t="inlineStr">
        <is>
          <t>avverkningsanmälan</t>
        </is>
      </c>
      <c r="C302" t="inlineStr">
        <is>
          <t>Föryngringsavverkning</t>
        </is>
      </c>
      <c r="D302" s="1" t="n">
        <v>45139</v>
      </c>
      <c r="E302" s="1" t="n">
        <v>46258</v>
      </c>
      <c r="F302" t="inlineStr">
        <is>
          <t>NORRBOTTENS LÄN</t>
        </is>
      </c>
      <c r="G302" t="inlineStr">
        <is>
          <t>ÖVERTORNEÅ</t>
        </is>
      </c>
      <c r="I302" t="n">
        <v>7.6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25509-2026</t>
        </is>
      </c>
      <c r="B303" t="inlineStr">
        <is>
          <t>avverkningsanmälan</t>
        </is>
      </c>
      <c r="C303" t="inlineStr">
        <is>
          <t>Föryngringsavverkning</t>
        </is>
      </c>
      <c r="D303" s="1" t="n">
        <v>46177</v>
      </c>
      <c r="E303" s="1" t="n">
        <v>46258</v>
      </c>
      <c r="F303" t="inlineStr">
        <is>
          <t>NORRBOTTENS LÄN</t>
        </is>
      </c>
      <c r="G303" t="inlineStr">
        <is>
          <t>ÖVERTORNEÅ</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25751-2026</t>
        </is>
      </c>
      <c r="B304" t="inlineStr">
        <is>
          <t>avverkningsanmälan</t>
        </is>
      </c>
      <c r="C304" t="inlineStr">
        <is>
          <t>Föryngringsavverkning</t>
        </is>
      </c>
      <c r="D304" s="1" t="n">
        <v>46178</v>
      </c>
      <c r="E304" s="1" t="n">
        <v>46258</v>
      </c>
      <c r="F304" t="inlineStr">
        <is>
          <t>NORRBOTTENS LÄN</t>
        </is>
      </c>
      <c r="G304" t="inlineStr">
        <is>
          <t>ÖVERTORNEÅ</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22419-2024</t>
        </is>
      </c>
      <c r="B305" t="inlineStr">
        <is>
          <t>avverkningsanmälan</t>
        </is>
      </c>
      <c r="C305" t="inlineStr">
        <is>
          <t>Föryngringsavverkning</t>
        </is>
      </c>
      <c r="D305" s="1" t="n">
        <v>45446</v>
      </c>
      <c r="E305" s="1" t="n">
        <v>46258</v>
      </c>
      <c r="F305" t="inlineStr">
        <is>
          <t>NORRBOTTENS LÄN</t>
        </is>
      </c>
      <c r="G305" t="inlineStr">
        <is>
          <t>ÖVERTORNEÅ</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31827-2024</t>
        </is>
      </c>
      <c r="B306" t="inlineStr">
        <is>
          <t>avverkningsanmälan</t>
        </is>
      </c>
      <c r="C306" t="inlineStr">
        <is>
          <t>Föryngringsavverkning</t>
        </is>
      </c>
      <c r="D306" s="1" t="n">
        <v>45509</v>
      </c>
      <c r="E306" s="1" t="n">
        <v>46258</v>
      </c>
      <c r="F306" t="inlineStr">
        <is>
          <t>NORRBOTTENS LÄN</t>
        </is>
      </c>
      <c r="G306" t="inlineStr">
        <is>
          <t>ÖVERTORNEÅ</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10921-2026</t>
        </is>
      </c>
      <c r="B307" t="inlineStr">
        <is>
          <t>avverkningsanmälan</t>
        </is>
      </c>
      <c r="C307" t="inlineStr">
        <is>
          <t>Föryngringsavverkning</t>
        </is>
      </c>
      <c r="D307" s="1" t="n">
        <v>46079</v>
      </c>
      <c r="E307" s="1" t="n">
        <v>46258</v>
      </c>
      <c r="F307" t="inlineStr">
        <is>
          <t>NORRBOTTENS LÄN</t>
        </is>
      </c>
      <c r="G307" t="inlineStr">
        <is>
          <t>ÖVERTORNEÅ</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26154-2026</t>
        </is>
      </c>
      <c r="B308" t="inlineStr">
        <is>
          <t>avverkningsanmälan</t>
        </is>
      </c>
      <c r="C308" t="inlineStr">
        <is>
          <t>Avverkning för annat ändamål</t>
        </is>
      </c>
      <c r="D308" s="1" t="n">
        <v>46181</v>
      </c>
      <c r="E308" s="1" t="n">
        <v>46258</v>
      </c>
      <c r="F308" t="inlineStr">
        <is>
          <t>NORRBOTTENS LÄN</t>
        </is>
      </c>
      <c r="G308" t="inlineStr">
        <is>
          <t>ÖVERTORNEÅ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23014-2024</t>
        </is>
      </c>
      <c r="B309" t="inlineStr">
        <is>
          <t>avverkningsanmälan</t>
        </is>
      </c>
      <c r="C309" t="inlineStr">
        <is>
          <t>Föryngringsavverkning</t>
        </is>
      </c>
      <c r="D309" s="1" t="n">
        <v>45449</v>
      </c>
      <c r="E309" s="1" t="n">
        <v>46258</v>
      </c>
      <c r="F309" t="inlineStr">
        <is>
          <t>NORRBOTTENS LÄN</t>
        </is>
      </c>
      <c r="G309" t="inlineStr">
        <is>
          <t>ÖVERTORNEÅ</t>
        </is>
      </c>
      <c r="I309" t="n">
        <v>13.8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38974-2025</t>
        </is>
      </c>
      <c r="B310" t="inlineStr">
        <is>
          <t>avverkningsanmälan</t>
        </is>
      </c>
      <c r="C310" t="inlineStr">
        <is>
          <t>Föryngringsavverkning</t>
        </is>
      </c>
      <c r="D310" s="1" t="n">
        <v>45887</v>
      </c>
      <c r="E310" s="1" t="n">
        <v>46258</v>
      </c>
      <c r="F310" t="inlineStr">
        <is>
          <t>NORRBOTTENS LÄN</t>
        </is>
      </c>
      <c r="G310" t="inlineStr">
        <is>
          <t>ÖVERTORNEÅ</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26372-2026</t>
        </is>
      </c>
      <c r="B311" t="inlineStr">
        <is>
          <t>avverkningsanmälan</t>
        </is>
      </c>
      <c r="C311" t="inlineStr">
        <is>
          <t>Föryngringsavverkning</t>
        </is>
      </c>
      <c r="D311" s="1" t="n">
        <v>46183</v>
      </c>
      <c r="E311" s="1" t="n">
        <v>46258</v>
      </c>
      <c r="F311" t="inlineStr">
        <is>
          <t>NORRBOTTENS LÄN</t>
        </is>
      </c>
      <c r="G311" t="inlineStr">
        <is>
          <t>ÖVERTORNEÅ</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26156-2026</t>
        </is>
      </c>
      <c r="B312" t="inlineStr">
        <is>
          <t>avverkningsanmälan</t>
        </is>
      </c>
      <c r="C312" t="inlineStr">
        <is>
          <t>Avverkning för annat ändamål</t>
        </is>
      </c>
      <c r="D312" s="1" t="n">
        <v>46181</v>
      </c>
      <c r="E312" s="1" t="n">
        <v>46258</v>
      </c>
      <c r="F312" t="inlineStr">
        <is>
          <t>NORRBOTTENS LÄN</t>
        </is>
      </c>
      <c r="G312" t="inlineStr">
        <is>
          <t>ÖVERTORNEÅ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11203-2026</t>
        </is>
      </c>
      <c r="B313" t="inlineStr">
        <is>
          <t>avverkningsanmälan</t>
        </is>
      </c>
      <c r="C313" t="inlineStr">
        <is>
          <t>Föryngringsavverkning</t>
        </is>
      </c>
      <c r="D313" s="1" t="n">
        <v>46080</v>
      </c>
      <c r="E313" s="1" t="n">
        <v>46258</v>
      </c>
      <c r="F313" t="inlineStr">
        <is>
          <t>NORRBOTTENS LÄN</t>
        </is>
      </c>
      <c r="G313" t="inlineStr">
        <is>
          <t>ÖVERTORNEÅ</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11280-2026</t>
        </is>
      </c>
      <c r="B314" t="inlineStr">
        <is>
          <t>avverkningsanmälan</t>
        </is>
      </c>
      <c r="C314" t="inlineStr">
        <is>
          <t>Föryngringsavverkning</t>
        </is>
      </c>
      <c r="D314" s="1" t="n">
        <v>46080</v>
      </c>
      <c r="E314" s="1" t="n">
        <v>46258</v>
      </c>
      <c r="F314" t="inlineStr">
        <is>
          <t>NORRBOTTENS LÄN</t>
        </is>
      </c>
      <c r="G314" t="inlineStr">
        <is>
          <t>ÖVERTORNEÅ</t>
        </is>
      </c>
      <c r="I314" t="n">
        <v>7.8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16000-2024</t>
        </is>
      </c>
      <c r="B315" t="inlineStr">
        <is>
          <t>avverkningsanmälan</t>
        </is>
      </c>
      <c r="C315" t="inlineStr">
        <is>
          <t>Föryngringsavverkning</t>
        </is>
      </c>
      <c r="D315" s="1" t="n">
        <v>45405</v>
      </c>
      <c r="E315" s="1" t="n">
        <v>46258</v>
      </c>
      <c r="F315" t="inlineStr">
        <is>
          <t>NORRBOTTENS LÄN</t>
        </is>
      </c>
      <c r="G315" t="inlineStr">
        <is>
          <t>ÖVERTORNEÅ</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23423-2025</t>
        </is>
      </c>
      <c r="B316" t="inlineStr">
        <is>
          <t>avverkningsanmälan</t>
        </is>
      </c>
      <c r="C316" t="inlineStr">
        <is>
          <t>Föryngringsavverkning</t>
        </is>
      </c>
      <c r="D316" s="1" t="n">
        <v>45792</v>
      </c>
      <c r="E316" s="1" t="n">
        <v>46258</v>
      </c>
      <c r="F316" t="inlineStr">
        <is>
          <t>NORRBOTTENS LÄN</t>
        </is>
      </c>
      <c r="G316" t="inlineStr">
        <is>
          <t>ÖVERTORNEÅ</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26272-2026</t>
        </is>
      </c>
      <c r="B317" t="inlineStr">
        <is>
          <t>avverkningsanmälan</t>
        </is>
      </c>
      <c r="C317" t="inlineStr">
        <is>
          <t>Föryngringsavverkning</t>
        </is>
      </c>
      <c r="D317" s="1" t="n">
        <v>46182</v>
      </c>
      <c r="E317" s="1" t="n">
        <v>46258</v>
      </c>
      <c r="F317" t="inlineStr">
        <is>
          <t>NORRBOTTENS LÄN</t>
        </is>
      </c>
      <c r="G317" t="inlineStr">
        <is>
          <t>ÖVERTORNEÅ</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41778-2025</t>
        </is>
      </c>
      <c r="B318" t="inlineStr">
        <is>
          <t>avverkningsanmälan</t>
        </is>
      </c>
      <c r="C318" t="inlineStr">
        <is>
          <t>Föryngringsavverkning</t>
        </is>
      </c>
      <c r="D318" s="1" t="n">
        <v>45902</v>
      </c>
      <c r="E318" s="1" t="n">
        <v>46258</v>
      </c>
      <c r="F318" t="inlineStr">
        <is>
          <t>NORRBOTTENS LÄN</t>
        </is>
      </c>
      <c r="G318" t="inlineStr">
        <is>
          <t>ÖVERTORNEÅ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12163-2024</t>
        </is>
      </c>
      <c r="B319" t="inlineStr">
        <is>
          <t>avverkningsanmälan</t>
        </is>
      </c>
      <c r="C319" t="inlineStr">
        <is>
          <t>Föryngringsavverkning</t>
        </is>
      </c>
      <c r="D319" s="1" t="n">
        <v>45377</v>
      </c>
      <c r="E319" s="1" t="n">
        <v>46258</v>
      </c>
      <c r="F319" t="inlineStr">
        <is>
          <t>NORRBOTTENS LÄN</t>
        </is>
      </c>
      <c r="G319" t="inlineStr">
        <is>
          <t>ÖVERTORNEÅ</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26615-2026</t>
        </is>
      </c>
      <c r="B320" t="inlineStr">
        <is>
          <t>avverkningsanmälan</t>
        </is>
      </c>
      <c r="C320" t="inlineStr">
        <is>
          <t>Föryngringsavverkning</t>
        </is>
      </c>
      <c r="D320" s="1" t="n">
        <v>46184</v>
      </c>
      <c r="E320" s="1" t="n">
        <v>46258</v>
      </c>
      <c r="F320" t="inlineStr">
        <is>
          <t>NORRBOTTENS LÄN</t>
        </is>
      </c>
      <c r="G320" t="inlineStr">
        <is>
          <t>ÖVERTORNEÅ</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44079-2023</t>
        </is>
      </c>
      <c r="B321" t="inlineStr">
        <is>
          <t>avverkningsanmälan</t>
        </is>
      </c>
      <c r="C321" t="inlineStr">
        <is>
          <t>Föryngringsavverkning</t>
        </is>
      </c>
      <c r="D321" s="1" t="n">
        <v>45188</v>
      </c>
      <c r="E321" s="1" t="n">
        <v>46258</v>
      </c>
      <c r="F321" t="inlineStr">
        <is>
          <t>NORRBOTTENS LÄN</t>
        </is>
      </c>
      <c r="G321" t="inlineStr">
        <is>
          <t>ÖVERTORNEÅ</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44096-2023</t>
        </is>
      </c>
      <c r="B322" t="inlineStr">
        <is>
          <t>avverkningsanmälan</t>
        </is>
      </c>
      <c r="C322" t="inlineStr">
        <is>
          <t>Föryngringsavverkning</t>
        </is>
      </c>
      <c r="D322" s="1" t="n">
        <v>45188</v>
      </c>
      <c r="E322" s="1" t="n">
        <v>46258</v>
      </c>
      <c r="F322" t="inlineStr">
        <is>
          <t>NORRBOTTENS LÄN</t>
        </is>
      </c>
      <c r="G322" t="inlineStr">
        <is>
          <t>ÖVERTORNEÅ</t>
        </is>
      </c>
      <c r="I322" t="n">
        <v>16.2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12456-2026</t>
        </is>
      </c>
      <c r="B323" t="inlineStr">
        <is>
          <t>avverkningsanmälan</t>
        </is>
      </c>
      <c r="C323" t="inlineStr">
        <is>
          <t>Föryngringsavverkning</t>
        </is>
      </c>
      <c r="D323" s="1" t="n">
        <v>46090</v>
      </c>
      <c r="E323" s="1" t="n">
        <v>46258</v>
      </c>
      <c r="F323" t="inlineStr">
        <is>
          <t>NORRBOTTENS LÄN</t>
        </is>
      </c>
      <c r="G323" t="inlineStr">
        <is>
          <t>ÖVERTORNEÅ</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8476-2024</t>
        </is>
      </c>
      <c r="B324" t="inlineStr">
        <is>
          <t>avverkningsanmälan</t>
        </is>
      </c>
      <c r="C324" t="inlineStr">
        <is>
          <t>Föryngringsavverkning</t>
        </is>
      </c>
      <c r="D324" s="1" t="n">
        <v>45351</v>
      </c>
      <c r="E324" s="1" t="n">
        <v>46258</v>
      </c>
      <c r="F324" t="inlineStr">
        <is>
          <t>NORRBOTTENS LÄN</t>
        </is>
      </c>
      <c r="G324" t="inlineStr">
        <is>
          <t>ÖVERTORNEÅ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6593-2022</t>
        </is>
      </c>
      <c r="B325" t="inlineStr">
        <is>
          <t>avverkningsanmälan</t>
        </is>
      </c>
      <c r="C325" t="inlineStr">
        <is>
          <t>Föryngringsavverkning</t>
        </is>
      </c>
      <c r="D325" s="1" t="n">
        <v>44601</v>
      </c>
      <c r="E325" s="1" t="n">
        <v>46258</v>
      </c>
      <c r="F325" t="inlineStr">
        <is>
          <t>NORRBOTTENS LÄN</t>
        </is>
      </c>
      <c r="G325" t="inlineStr">
        <is>
          <t>ÖVERTORNEÅ</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31879-2026</t>
        </is>
      </c>
      <c r="B326" t="inlineStr">
        <is>
          <t>avverkningsanmälan</t>
        </is>
      </c>
      <c r="C326" t="inlineStr">
        <is>
          <t>Föryngringsavverkning</t>
        </is>
      </c>
      <c r="D326" s="1" t="n">
        <v>46231</v>
      </c>
      <c r="E326" s="1" t="n">
        <v>46258</v>
      </c>
      <c r="F326" t="inlineStr">
        <is>
          <t>NORRBOTTENS LÄN</t>
        </is>
      </c>
      <c r="G326" t="inlineStr">
        <is>
          <t>ÖVERTORNEÅ</t>
        </is>
      </c>
      <c r="I326" t="n">
        <v>3.7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27015-2026</t>
        </is>
      </c>
      <c r="B327" t="inlineStr">
        <is>
          <t>avverkningsanmälan</t>
        </is>
      </c>
      <c r="C327" t="inlineStr">
        <is>
          <t>Föryngringsavverkning</t>
        </is>
      </c>
      <c r="D327" s="1" t="n">
        <v>46185</v>
      </c>
      <c r="E327" s="1" t="n">
        <v>46258</v>
      </c>
      <c r="F327" t="inlineStr">
        <is>
          <t>NORRBOTTENS LÄN</t>
        </is>
      </c>
      <c r="G327" t="inlineStr">
        <is>
          <t>ÖVERTORNEÅ</t>
        </is>
      </c>
      <c r="I327" t="n">
        <v>10.6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13383-2026</t>
        </is>
      </c>
      <c r="B328" t="inlineStr">
        <is>
          <t>avverkningsanmälan</t>
        </is>
      </c>
      <c r="C328" t="inlineStr">
        <is>
          <t>Föryngringsavverkning</t>
        </is>
      </c>
      <c r="D328" s="1" t="n">
        <v>46094</v>
      </c>
      <c r="E328" s="1" t="n">
        <v>46258</v>
      </c>
      <c r="F328" t="inlineStr">
        <is>
          <t>NORRBOTTENS LÄN</t>
        </is>
      </c>
      <c r="G328" t="inlineStr">
        <is>
          <t>ÖVERTORNEÅ</t>
        </is>
      </c>
      <c r="I328" t="n">
        <v>16.5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17624-2025</t>
        </is>
      </c>
      <c r="B329" t="inlineStr">
        <is>
          <t>avverkningsanmälan</t>
        </is>
      </c>
      <c r="C329" t="inlineStr">
        <is>
          <t>Föryngringsavverkning</t>
        </is>
      </c>
      <c r="D329" s="1" t="n">
        <v>45757</v>
      </c>
      <c r="E329" s="1" t="n">
        <v>46258</v>
      </c>
      <c r="F329" t="inlineStr">
        <is>
          <t>NORRBOTTENS LÄN</t>
        </is>
      </c>
      <c r="G329" t="inlineStr">
        <is>
          <t>ÖVERTORNEÅ</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27012-2026</t>
        </is>
      </c>
      <c r="B330" t="inlineStr">
        <is>
          <t>avverkningsanmälan</t>
        </is>
      </c>
      <c r="C330" t="inlineStr">
        <is>
          <t>Föryngringsavverkning</t>
        </is>
      </c>
      <c r="D330" s="1" t="n">
        <v>46185</v>
      </c>
      <c r="E330" s="1" t="n">
        <v>46258</v>
      </c>
      <c r="F330" t="inlineStr">
        <is>
          <t>NORRBOTTENS LÄN</t>
        </is>
      </c>
      <c r="G330" t="inlineStr">
        <is>
          <t>ÖVERTORNEÅ</t>
        </is>
      </c>
      <c r="I330" t="n">
        <v>22.7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13371-2026</t>
        </is>
      </c>
      <c r="B331" t="inlineStr">
        <is>
          <t>avverkningsanmälan</t>
        </is>
      </c>
      <c r="C331" t="inlineStr">
        <is>
          <t>Föryngringsavverkning</t>
        </is>
      </c>
      <c r="D331" s="1" t="n">
        <v>46094</v>
      </c>
      <c r="E331" s="1" t="n">
        <v>46258</v>
      </c>
      <c r="F331" t="inlineStr">
        <is>
          <t>NORRBOTTENS LÄN</t>
        </is>
      </c>
      <c r="G331" t="inlineStr">
        <is>
          <t>ÖVERTORNEÅ</t>
        </is>
      </c>
      <c r="I331" t="n">
        <v>6.9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13374-2026</t>
        </is>
      </c>
      <c r="B332" t="inlineStr">
        <is>
          <t>avverkningsanmälan</t>
        </is>
      </c>
      <c r="C332" t="inlineStr">
        <is>
          <t>Föryngringsavverkning</t>
        </is>
      </c>
      <c r="D332" s="1" t="n">
        <v>46094</v>
      </c>
      <c r="E332" s="1" t="n">
        <v>46258</v>
      </c>
      <c r="F332" t="inlineStr">
        <is>
          <t>NORRBOTTENS LÄN</t>
        </is>
      </c>
      <c r="G332" t="inlineStr">
        <is>
          <t>ÖVERTORNEÅ</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23991-2026</t>
        </is>
      </c>
      <c r="B333" t="inlineStr">
        <is>
          <t>avverkningsanmälan</t>
        </is>
      </c>
      <c r="C333" t="inlineStr">
        <is>
          <t>Föryngringsavverkning</t>
        </is>
      </c>
      <c r="D333" s="1" t="n">
        <v>46167</v>
      </c>
      <c r="E333" s="1" t="n">
        <v>46258</v>
      </c>
      <c r="F333" t="inlineStr">
        <is>
          <t>NORRBOTTENS LÄN</t>
        </is>
      </c>
      <c r="G333" t="inlineStr">
        <is>
          <t>ÖVERTORNEÅ</t>
        </is>
      </c>
      <c r="I333" t="n">
        <v>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14418-2026</t>
        </is>
      </c>
      <c r="B334" t="inlineStr">
        <is>
          <t>avverkningsanmälan</t>
        </is>
      </c>
      <c r="C334" t="inlineStr">
        <is>
          <t>Föryngringsavverkning</t>
        </is>
      </c>
      <c r="D334" s="1" t="n">
        <v>46100</v>
      </c>
      <c r="E334" s="1" t="n">
        <v>46258</v>
      </c>
      <c r="F334" t="inlineStr">
        <is>
          <t>NORRBOTTENS LÄN</t>
        </is>
      </c>
      <c r="G334" t="inlineStr">
        <is>
          <t>ÖVERTORNEÅ</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44431-2024</t>
        </is>
      </c>
      <c r="B335" t="inlineStr">
        <is>
          <t>avverkningsanmälan</t>
        </is>
      </c>
      <c r="C335" t="inlineStr">
        <is>
          <t>Föryngringsavverkning</t>
        </is>
      </c>
      <c r="D335" s="1" t="n">
        <v>45574</v>
      </c>
      <c r="E335" s="1" t="n">
        <v>46258</v>
      </c>
      <c r="F335" t="inlineStr">
        <is>
          <t>NORRBOTTENS LÄN</t>
        </is>
      </c>
      <c r="G335" t="inlineStr">
        <is>
          <t>ÖVERTORNEÅ</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27678-2026</t>
        </is>
      </c>
      <c r="B336" t="inlineStr">
        <is>
          <t>avverkningsanmälan</t>
        </is>
      </c>
      <c r="C336" t="inlineStr">
        <is>
          <t>Föryngringsavverkning</t>
        </is>
      </c>
      <c r="D336" s="1" t="n">
        <v>46190</v>
      </c>
      <c r="E336" s="1" t="n">
        <v>46258</v>
      </c>
      <c r="F336" t="inlineStr">
        <is>
          <t>NORRBOTTENS LÄN</t>
        </is>
      </c>
      <c r="G336" t="inlineStr">
        <is>
          <t>ÖVERTORNEÅ</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14985-2026</t>
        </is>
      </c>
      <c r="B337" t="inlineStr">
        <is>
          <t>avverkningsanmälan</t>
        </is>
      </c>
      <c r="C337" t="inlineStr">
        <is>
          <t>Föryngringsavverkning</t>
        </is>
      </c>
      <c r="D337" s="1" t="n">
        <v>46104</v>
      </c>
      <c r="E337" s="1" t="n">
        <v>46258</v>
      </c>
      <c r="F337" t="inlineStr">
        <is>
          <t>NORRBOTTENS LÄN</t>
        </is>
      </c>
      <c r="G337" t="inlineStr">
        <is>
          <t>ÖVERTORNEÅ</t>
        </is>
      </c>
      <c r="I337" t="n">
        <v>20</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47019-2024</t>
        </is>
      </c>
      <c r="B338" t="inlineStr">
        <is>
          <t>avverkningsanmälan</t>
        </is>
      </c>
      <c r="C338" t="inlineStr">
        <is>
          <t>Föryngringsavverkning</t>
        </is>
      </c>
      <c r="D338" s="1" t="n">
        <v>45586</v>
      </c>
      <c r="E338" s="1" t="n">
        <v>46258</v>
      </c>
      <c r="F338" t="inlineStr">
        <is>
          <t>NORRBOTTENS LÄN</t>
        </is>
      </c>
      <c r="G338" t="inlineStr">
        <is>
          <t>ÖVERTORNEÅ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45698-2024</t>
        </is>
      </c>
      <c r="B339" t="inlineStr">
        <is>
          <t>avverkningsanmälan</t>
        </is>
      </c>
      <c r="C339" t="inlineStr">
        <is>
          <t>Föryngringsavverkning</t>
        </is>
      </c>
      <c r="D339" s="1" t="n">
        <v>45579</v>
      </c>
      <c r="E339" s="1" t="n">
        <v>46258</v>
      </c>
      <c r="F339" t="inlineStr">
        <is>
          <t>NORRBOTTENS LÄN</t>
        </is>
      </c>
      <c r="G339" t="inlineStr">
        <is>
          <t>ÖVERTORNEÅ</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16150-2026</t>
        </is>
      </c>
      <c r="B340" t="inlineStr">
        <is>
          <t>avverkningsanmälan</t>
        </is>
      </c>
      <c r="C340" t="inlineStr">
        <is>
          <t>Föryngringsavverkning</t>
        </is>
      </c>
      <c r="D340" s="1" t="n">
        <v>46108</v>
      </c>
      <c r="E340" s="1" t="n">
        <v>46258</v>
      </c>
      <c r="F340" t="inlineStr">
        <is>
          <t>NORRBOTTENS LÄN</t>
        </is>
      </c>
      <c r="G340" t="inlineStr">
        <is>
          <t>ÖVERTORNEÅ</t>
        </is>
      </c>
      <c r="I340" t="n">
        <v>14.9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32498-2026</t>
        </is>
      </c>
      <c r="B341" t="inlineStr">
        <is>
          <t>avverkningsanmälan</t>
        </is>
      </c>
      <c r="C341" t="inlineStr">
        <is>
          <t>Föryngringsavverkning</t>
        </is>
      </c>
      <c r="D341" s="1" t="n">
        <v>46239</v>
      </c>
      <c r="E341" s="1" t="n">
        <v>46258</v>
      </c>
      <c r="F341" t="inlineStr">
        <is>
          <t>NORRBOTTENS LÄN</t>
        </is>
      </c>
      <c r="G341" t="inlineStr">
        <is>
          <t>ÖVERTORNEÅ</t>
        </is>
      </c>
      <c r="I341" t="n">
        <v>10.4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16152-2026</t>
        </is>
      </c>
      <c r="B342" t="inlineStr">
        <is>
          <t>avverkningsanmälan</t>
        </is>
      </c>
      <c r="C342" t="inlineStr">
        <is>
          <t>Föryngringsavverkning</t>
        </is>
      </c>
      <c r="D342" s="1" t="n">
        <v>46108</v>
      </c>
      <c r="E342" s="1" t="n">
        <v>46258</v>
      </c>
      <c r="F342" t="inlineStr">
        <is>
          <t>NORRBOTTENS LÄN</t>
        </is>
      </c>
      <c r="G342" t="inlineStr">
        <is>
          <t>ÖVERTORNEÅ</t>
        </is>
      </c>
      <c r="I342" t="n">
        <v>11.1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16148-2026</t>
        </is>
      </c>
      <c r="B343" t="inlineStr">
        <is>
          <t>avverkningsanmälan</t>
        </is>
      </c>
      <c r="C343" t="inlineStr">
        <is>
          <t>Föryngringsavverkning</t>
        </is>
      </c>
      <c r="D343" s="1" t="n">
        <v>46108</v>
      </c>
      <c r="E343" s="1" t="n">
        <v>46258</v>
      </c>
      <c r="F343" t="inlineStr">
        <is>
          <t>NORRBOTTENS LÄN</t>
        </is>
      </c>
      <c r="G343" t="inlineStr">
        <is>
          <t>ÖVERTORNEÅ</t>
        </is>
      </c>
      <c r="I343" t="n">
        <v>4.8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5030-2024</t>
        </is>
      </c>
      <c r="B344" t="inlineStr">
        <is>
          <t>avverkningsanmälan</t>
        </is>
      </c>
      <c r="C344" t="inlineStr">
        <is>
          <t>Avverkning för annat ändamål</t>
        </is>
      </c>
      <c r="D344" s="1" t="n">
        <v>45329</v>
      </c>
      <c r="E344" s="1" t="n">
        <v>46258</v>
      </c>
      <c r="F344" t="inlineStr">
        <is>
          <t>NORRBOTTENS LÄN</t>
        </is>
      </c>
      <c r="G344" t="inlineStr">
        <is>
          <t>ÖVERTORNEÅ</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34701-2024</t>
        </is>
      </c>
      <c r="B345" t="inlineStr">
        <is>
          <t>avverkningsanmälan</t>
        </is>
      </c>
      <c r="C345" t="inlineStr">
        <is>
          <t>Föryngringsavverkning</t>
        </is>
      </c>
      <c r="D345" s="1" t="n">
        <v>45526</v>
      </c>
      <c r="E345" s="1" t="n">
        <v>46258</v>
      </c>
      <c r="F345" t="inlineStr">
        <is>
          <t>NORRBOTTENS LÄN</t>
        </is>
      </c>
      <c r="G345" t="inlineStr">
        <is>
          <t>ÖVERTORNEÅ</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10193-2024</t>
        </is>
      </c>
      <c r="B346" t="inlineStr">
        <is>
          <t>avverkningsanmälan</t>
        </is>
      </c>
      <c r="C346" t="inlineStr">
        <is>
          <t>Föryngringsavverkning</t>
        </is>
      </c>
      <c r="D346" s="1" t="n">
        <v>45364</v>
      </c>
      <c r="E346" s="1" t="n">
        <v>46258</v>
      </c>
      <c r="F346" t="inlineStr">
        <is>
          <t>NORRBOTTENS LÄN</t>
        </is>
      </c>
      <c r="G346" t="inlineStr">
        <is>
          <t>ÖVERTORNEÅ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52191-2025</t>
        </is>
      </c>
      <c r="B347" t="inlineStr">
        <is>
          <t>avverkningsanmälan</t>
        </is>
      </c>
      <c r="C347" t="inlineStr">
        <is>
          <t>Föryngringsavverkning</t>
        </is>
      </c>
      <c r="D347" s="1" t="n">
        <v>45953</v>
      </c>
      <c r="E347" s="1" t="n">
        <v>46258</v>
      </c>
      <c r="F347" t="inlineStr">
        <is>
          <t>NORRBOTTENS LÄN</t>
        </is>
      </c>
      <c r="G347" t="inlineStr">
        <is>
          <t>ÖVERTORNEÅ</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35995-2023</t>
        </is>
      </c>
      <c r="B348" t="inlineStr">
        <is>
          <t>avverkningsanmälan</t>
        </is>
      </c>
      <c r="C348" t="inlineStr">
        <is>
          <t>Föryngringsavverkning</t>
        </is>
      </c>
      <c r="D348" s="1" t="n">
        <v>45149</v>
      </c>
      <c r="E348" s="1" t="n">
        <v>46258</v>
      </c>
      <c r="F348" t="inlineStr">
        <is>
          <t>NORRBOTTENS LÄN</t>
        </is>
      </c>
      <c r="G348" t="inlineStr">
        <is>
          <t>ÖVERTORNEÅ</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32735-2026</t>
        </is>
      </c>
      <c r="B349" t="inlineStr">
        <is>
          <t>avverkningsanmälan</t>
        </is>
      </c>
      <c r="C349" t="inlineStr">
        <is>
          <t>Föryngringsavverkning</t>
        </is>
      </c>
      <c r="D349" s="1" t="n">
        <v>46241</v>
      </c>
      <c r="E349" s="1" t="n">
        <v>46258</v>
      </c>
      <c r="F349" t="inlineStr">
        <is>
          <t>NORRBOTTENS LÄN</t>
        </is>
      </c>
      <c r="G349" t="inlineStr">
        <is>
          <t>ÖVERTORNEÅ</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32738-2026</t>
        </is>
      </c>
      <c r="B350" t="inlineStr">
        <is>
          <t>avverkningsanmälan</t>
        </is>
      </c>
      <c r="C350" t="inlineStr">
        <is>
          <t>Föryngringsavverkning</t>
        </is>
      </c>
      <c r="D350" s="1" t="n">
        <v>46241</v>
      </c>
      <c r="E350" s="1" t="n">
        <v>46258</v>
      </c>
      <c r="F350" t="inlineStr">
        <is>
          <t>NORRBOTTENS LÄN</t>
        </is>
      </c>
      <c r="G350" t="inlineStr">
        <is>
          <t>ÖVERTORNEÅ</t>
        </is>
      </c>
      <c r="I350" t="n">
        <v>15.4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28457-2026</t>
        </is>
      </c>
      <c r="B351" t="inlineStr">
        <is>
          <t>avverkningsanmälan</t>
        </is>
      </c>
      <c r="C351" t="inlineStr">
        <is>
          <t>Föryngringsavverkning</t>
        </is>
      </c>
      <c r="D351" s="1" t="n">
        <v>46197</v>
      </c>
      <c r="E351" s="1" t="n">
        <v>46258</v>
      </c>
      <c r="F351" t="inlineStr">
        <is>
          <t>NORRBOTTENS LÄN</t>
        </is>
      </c>
      <c r="G351" t="inlineStr">
        <is>
          <t>ÖVERTORNEÅ</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17987-2026</t>
        </is>
      </c>
      <c r="B352" t="inlineStr">
        <is>
          <t>avverkningsanmälan</t>
        </is>
      </c>
      <c r="C352" t="inlineStr">
        <is>
          <t>Föryngringsavverkning</t>
        </is>
      </c>
      <c r="D352" s="1" t="n">
        <v>46124</v>
      </c>
      <c r="E352" s="1" t="n">
        <v>46258</v>
      </c>
      <c r="F352" t="inlineStr">
        <is>
          <t>NORRBOTTENS LÄN</t>
        </is>
      </c>
      <c r="G352" t="inlineStr">
        <is>
          <t>ÖVERTORNEÅ</t>
        </is>
      </c>
      <c r="I352" t="n">
        <v>12.3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32800-2026</t>
        </is>
      </c>
      <c r="B353" t="inlineStr">
        <is>
          <t>avverkningsanmälan</t>
        </is>
      </c>
      <c r="C353" t="inlineStr">
        <is>
          <t>Föryngringsavverkning</t>
        </is>
      </c>
      <c r="D353" s="1" t="n">
        <v>46241</v>
      </c>
      <c r="E353" s="1" t="n">
        <v>46258</v>
      </c>
      <c r="F353" t="inlineStr">
        <is>
          <t>NORRBOTTENS LÄN</t>
        </is>
      </c>
      <c r="G353" t="inlineStr">
        <is>
          <t>ÖVERTORNEÅ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62390-2022</t>
        </is>
      </c>
      <c r="B354" t="inlineStr">
        <is>
          <t>avverkningsanmälan</t>
        </is>
      </c>
      <c r="C354" t="inlineStr">
        <is>
          <t>Föryngringsavverkning</t>
        </is>
      </c>
      <c r="D354" s="1" t="n">
        <v>44923</v>
      </c>
      <c r="E354" s="1" t="n">
        <v>46258</v>
      </c>
      <c r="F354" t="inlineStr">
        <is>
          <t>NORRBOTTENS LÄN</t>
        </is>
      </c>
      <c r="G354" t="inlineStr">
        <is>
          <t>ÖVERTORNEÅ</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18925-2026</t>
        </is>
      </c>
      <c r="B355" t="inlineStr">
        <is>
          <t>avverkningsanmälan</t>
        </is>
      </c>
      <c r="C355" t="inlineStr">
        <is>
          <t>Föryngringsavverkning</t>
        </is>
      </c>
      <c r="D355" s="1" t="n">
        <v>46129</v>
      </c>
      <c r="E355" s="1" t="n">
        <v>46258</v>
      </c>
      <c r="F355" t="inlineStr">
        <is>
          <t>NORRBOTTENS LÄN</t>
        </is>
      </c>
      <c r="G355" t="inlineStr">
        <is>
          <t>ÖVERTORNEÅ</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19100-2026</t>
        </is>
      </c>
      <c r="B356" t="inlineStr">
        <is>
          <t>avverkningsanmälan</t>
        </is>
      </c>
      <c r="C356" t="inlineStr">
        <is>
          <t>Föryngringsavverkning</t>
        </is>
      </c>
      <c r="D356" s="1" t="n">
        <v>46132</v>
      </c>
      <c r="E356" s="1" t="n">
        <v>46258</v>
      </c>
      <c r="F356" t="inlineStr">
        <is>
          <t>NORRBOTTENS LÄN</t>
        </is>
      </c>
      <c r="G356" t="inlineStr">
        <is>
          <t>ÖVERTORNEÅ</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20175-2025</t>
        </is>
      </c>
      <c r="B357" t="inlineStr">
        <is>
          <t>avverkningsanmälan</t>
        </is>
      </c>
      <c r="C357" t="inlineStr">
        <is>
          <t>Avverkning för annat ändamål</t>
        </is>
      </c>
      <c r="D357" s="1" t="n">
        <v>45772</v>
      </c>
      <c r="E357" s="1" t="n">
        <v>46258</v>
      </c>
      <c r="F357" t="inlineStr">
        <is>
          <t>NORRBOTTENS LÄN</t>
        </is>
      </c>
      <c r="G357" t="inlineStr">
        <is>
          <t>ÖVERTORNEÅ</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23055-2024</t>
        </is>
      </c>
      <c r="B358" t="inlineStr">
        <is>
          <t>avverkningsanmälan</t>
        </is>
      </c>
      <c r="C358" t="inlineStr">
        <is>
          <t>Föryngringsavverkning</t>
        </is>
      </c>
      <c r="D358" s="1" t="n">
        <v>45449</v>
      </c>
      <c r="E358" s="1" t="n">
        <v>46258</v>
      </c>
      <c r="F358" t="inlineStr">
        <is>
          <t>NORRBOTTENS LÄN</t>
        </is>
      </c>
      <c r="G358" t="inlineStr">
        <is>
          <t>ÖVERTORNEÅ</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58083-2024</t>
        </is>
      </c>
      <c r="B359" t="inlineStr">
        <is>
          <t>avverkningsanmälan</t>
        </is>
      </c>
      <c r="C359" t="inlineStr">
        <is>
          <t>Föryngringsavverkning</t>
        </is>
      </c>
      <c r="D359" s="1" t="n">
        <v>45632</v>
      </c>
      <c r="E359" s="1" t="n">
        <v>46258</v>
      </c>
      <c r="F359" t="inlineStr">
        <is>
          <t>NORRBOTTENS LÄN</t>
        </is>
      </c>
      <c r="G359" t="inlineStr">
        <is>
          <t>ÖVERTORNEÅ</t>
        </is>
      </c>
      <c r="I359" t="n">
        <v>13.2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14298-2023</t>
        </is>
      </c>
      <c r="B360" t="inlineStr">
        <is>
          <t>avverkningsanmälan</t>
        </is>
      </c>
      <c r="C360" t="inlineStr">
        <is>
          <t>Föryngringsavverkning</t>
        </is>
      </c>
      <c r="D360" s="1" t="n">
        <v>45011</v>
      </c>
      <c r="E360" s="1" t="n">
        <v>46258</v>
      </c>
      <c r="F360" t="inlineStr">
        <is>
          <t>NORRBOTTENS LÄN</t>
        </is>
      </c>
      <c r="G360" t="inlineStr">
        <is>
          <t>ÖVERTORNEÅ</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33271-2026</t>
        </is>
      </c>
      <c r="B361" t="inlineStr">
        <is>
          <t>avverkningsanmälan</t>
        </is>
      </c>
      <c r="C361" t="inlineStr">
        <is>
          <t>Föryngringsavverkning</t>
        </is>
      </c>
      <c r="D361" s="1" t="n">
        <v>46246</v>
      </c>
      <c r="E361" s="1" t="n">
        <v>46258</v>
      </c>
      <c r="F361" t="inlineStr">
        <is>
          <t>NORRBOTTENS LÄN</t>
        </is>
      </c>
      <c r="G361" t="inlineStr">
        <is>
          <t>ÖVERTORNEÅ</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33319-2026</t>
        </is>
      </c>
      <c r="B362" t="inlineStr">
        <is>
          <t>avverkningsanmälan</t>
        </is>
      </c>
      <c r="C362" t="inlineStr">
        <is>
          <t>Föryngringsavverkning</t>
        </is>
      </c>
      <c r="D362" s="1" t="n">
        <v>46246</v>
      </c>
      <c r="E362" s="1" t="n">
        <v>46258</v>
      </c>
      <c r="F362" t="inlineStr">
        <is>
          <t>NORRBOTTENS LÄN</t>
        </is>
      </c>
      <c r="G362" t="inlineStr">
        <is>
          <t>ÖVERTORNEÅ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26209-2024</t>
        </is>
      </c>
      <c r="B363" t="inlineStr">
        <is>
          <t>avverkningsanmälan</t>
        </is>
      </c>
      <c r="C363" t="inlineStr">
        <is>
          <t>Föryngringsavverkning</t>
        </is>
      </c>
      <c r="D363" s="1" t="n">
        <v>45467</v>
      </c>
      <c r="E363" s="1" t="n">
        <v>46258</v>
      </c>
      <c r="F363" t="inlineStr">
        <is>
          <t>NORRBOTTENS LÄN</t>
        </is>
      </c>
      <c r="G363" t="inlineStr">
        <is>
          <t>ÖVERTORNEÅ</t>
        </is>
      </c>
      <c r="I363" t="n">
        <v>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33268-2026</t>
        </is>
      </c>
      <c r="B364" t="inlineStr">
        <is>
          <t>avverkningsanmälan</t>
        </is>
      </c>
      <c r="C364" t="inlineStr">
        <is>
          <t>Föryngringsavverkning</t>
        </is>
      </c>
      <c r="D364" s="1" t="n">
        <v>46246</v>
      </c>
      <c r="E364" s="1" t="n">
        <v>46258</v>
      </c>
      <c r="F364" t="inlineStr">
        <is>
          <t>NORRBOTTENS LÄN</t>
        </is>
      </c>
      <c r="G364" t="inlineStr">
        <is>
          <t>ÖVERTORNEÅ</t>
        </is>
      </c>
      <c r="I364" t="n">
        <v>10.9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26716-2026</t>
        </is>
      </c>
      <c r="B365" t="inlineStr">
        <is>
          <t>avverkningsanmälan</t>
        </is>
      </c>
      <c r="C365" t="inlineStr">
        <is>
          <t>Föryngringsavverkning</t>
        </is>
      </c>
      <c r="D365" s="1" t="n">
        <v>46184</v>
      </c>
      <c r="E365" s="1" t="n">
        <v>46258</v>
      </c>
      <c r="F365" t="inlineStr">
        <is>
          <t>NORRBOTTENS LÄN</t>
        </is>
      </c>
      <c r="G365" t="inlineStr">
        <is>
          <t>ÖVERTORNEÅ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30647-2023</t>
        </is>
      </c>
      <c r="B366" t="inlineStr">
        <is>
          <t>avverkningsanmälan</t>
        </is>
      </c>
      <c r="C366" t="inlineStr">
        <is>
          <t>Föryngringsavverkning</t>
        </is>
      </c>
      <c r="D366" s="1" t="n">
        <v>45112</v>
      </c>
      <c r="E366" s="1" t="n">
        <v>46258</v>
      </c>
      <c r="F366" t="inlineStr">
        <is>
          <t>NORRBOTTENS LÄN</t>
        </is>
      </c>
      <c r="G366" t="inlineStr">
        <is>
          <t>ÖVERTORNEÅ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30062-2026</t>
        </is>
      </c>
      <c r="B367" t="inlineStr">
        <is>
          <t>avverkningsanmälan</t>
        </is>
      </c>
      <c r="C367" t="inlineStr">
        <is>
          <t>Föryngringsavverkning</t>
        </is>
      </c>
      <c r="D367" s="1" t="n">
        <v>46206</v>
      </c>
      <c r="E367" s="1" t="n">
        <v>46258</v>
      </c>
      <c r="F367" t="inlineStr">
        <is>
          <t>NORRBOTTENS LÄN</t>
        </is>
      </c>
      <c r="G367" t="inlineStr">
        <is>
          <t>ÖVERTORNEÅ</t>
        </is>
      </c>
      <c r="H367" t="inlineStr">
        <is>
          <t>Sveaskog</t>
        </is>
      </c>
      <c r="I367" t="n">
        <v>10.2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51274-2024</t>
        </is>
      </c>
      <c r="B368" t="inlineStr">
        <is>
          <t>avverkningsanmälan</t>
        </is>
      </c>
      <c r="C368" t="inlineStr">
        <is>
          <t>Föryngringsavverkning</t>
        </is>
      </c>
      <c r="D368" s="1" t="n">
        <v>45602</v>
      </c>
      <c r="E368" s="1" t="n">
        <v>46258</v>
      </c>
      <c r="F368" t="inlineStr">
        <is>
          <t>NORRBOTTENS LÄN</t>
        </is>
      </c>
      <c r="G368" t="inlineStr">
        <is>
          <t>ÖVERTORNEÅ</t>
        </is>
      </c>
      <c r="I368" t="n">
        <v>15.2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28953-2024</t>
        </is>
      </c>
      <c r="B369" t="inlineStr">
        <is>
          <t>avverkningsanmälan</t>
        </is>
      </c>
      <c r="C369" t="inlineStr">
        <is>
          <t>Föryngringsavverkning</t>
        </is>
      </c>
      <c r="D369" s="1" t="n">
        <v>45481</v>
      </c>
      <c r="E369" s="1" t="n">
        <v>46258</v>
      </c>
      <c r="F369" t="inlineStr">
        <is>
          <t>NORRBOTTENS LÄN</t>
        </is>
      </c>
      <c r="G369" t="inlineStr">
        <is>
          <t>ÖVERTORNEÅ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33819-2026</t>
        </is>
      </c>
      <c r="B370" t="inlineStr">
        <is>
          <t>avverkningsanmälan</t>
        </is>
      </c>
      <c r="C370" t="inlineStr">
        <is>
          <t>Föryngringsavverkning</t>
        </is>
      </c>
      <c r="D370" s="1" t="n">
        <v>46251</v>
      </c>
      <c r="E370" s="1" t="n">
        <v>46258</v>
      </c>
      <c r="F370" t="inlineStr">
        <is>
          <t>NORRBOTTENS LÄN</t>
        </is>
      </c>
      <c r="G370" t="inlineStr">
        <is>
          <t>ÖVERTORNEÅ</t>
        </is>
      </c>
      <c r="H370" t="inlineStr">
        <is>
          <t>Sveaskog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33825-2026</t>
        </is>
      </c>
      <c r="B371" t="inlineStr">
        <is>
          <t>avverkningsanmälan</t>
        </is>
      </c>
      <c r="C371" t="inlineStr">
        <is>
          <t>Föryngringsavverkning</t>
        </is>
      </c>
      <c r="D371" s="1" t="n">
        <v>46251</v>
      </c>
      <c r="E371" s="1" t="n">
        <v>46258</v>
      </c>
      <c r="F371" t="inlineStr">
        <is>
          <t>NORRBOTTENS LÄN</t>
        </is>
      </c>
      <c r="G371" t="inlineStr">
        <is>
          <t>ÖVERTORNEÅ</t>
        </is>
      </c>
      <c r="H371" t="inlineStr">
        <is>
          <t>Sveaskog</t>
        </is>
      </c>
      <c r="I371" t="n">
        <v>8.199999999999999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30079-2026</t>
        </is>
      </c>
      <c r="B372" t="inlineStr">
        <is>
          <t>avverkningsanmälan</t>
        </is>
      </c>
      <c r="C372" t="inlineStr">
        <is>
          <t>Föryngringsavverkning</t>
        </is>
      </c>
      <c r="D372" s="1" t="n">
        <v>46206</v>
      </c>
      <c r="E372" s="1" t="n">
        <v>46258</v>
      </c>
      <c r="F372" t="inlineStr">
        <is>
          <t>NORRBOTTENS LÄN</t>
        </is>
      </c>
      <c r="G372" t="inlineStr">
        <is>
          <t>ÖVERTORNEÅ</t>
        </is>
      </c>
      <c r="H372" t="inlineStr">
        <is>
          <t>Sveaskog</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69898-2021</t>
        </is>
      </c>
      <c r="B373" t="inlineStr">
        <is>
          <t>avverkningsanmälan</t>
        </is>
      </c>
      <c r="C373" t="inlineStr">
        <is>
          <t>Föryngringsavverkning</t>
        </is>
      </c>
      <c r="D373" s="1" t="n">
        <v>44532</v>
      </c>
      <c r="E373" s="1" t="n">
        <v>46258</v>
      </c>
      <c r="F373" t="inlineStr">
        <is>
          <t>NORRBOTTENS LÄN</t>
        </is>
      </c>
      <c r="G373" t="inlineStr">
        <is>
          <t>ÖVERTORNEÅ</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20564-2025</t>
        </is>
      </c>
      <c r="B374" t="inlineStr">
        <is>
          <t>avverkningsanmälan</t>
        </is>
      </c>
      <c r="C374" t="inlineStr">
        <is>
          <t>Föryngringsavverkning</t>
        </is>
      </c>
      <c r="D374" s="1" t="n">
        <v>45775</v>
      </c>
      <c r="E374" s="1" t="n">
        <v>46258</v>
      </c>
      <c r="F374" t="inlineStr">
        <is>
          <t>NORRBOTTENS LÄN</t>
        </is>
      </c>
      <c r="G374" t="inlineStr">
        <is>
          <t>ÖVERTORNEÅ</t>
        </is>
      </c>
      <c r="H374" t="inlineStr">
        <is>
          <t>Sveaskog</t>
        </is>
      </c>
      <c r="I374" t="n">
        <v>39.6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4250-2025</t>
        </is>
      </c>
      <c r="B375" t="inlineStr">
        <is>
          <t>avverkningsanmälan</t>
        </is>
      </c>
      <c r="C375" t="inlineStr">
        <is>
          <t>Föryngringsavverkning</t>
        </is>
      </c>
      <c r="D375" s="1" t="n">
        <v>45685</v>
      </c>
      <c r="E375" s="1" t="n">
        <v>46258</v>
      </c>
      <c r="F375" t="inlineStr">
        <is>
          <t>NORRBOTTENS LÄN</t>
        </is>
      </c>
      <c r="G375" t="inlineStr">
        <is>
          <t>ÖVERTORNEÅ</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41918-2024</t>
        </is>
      </c>
      <c r="B376" t="inlineStr">
        <is>
          <t>avverkningsanmälan</t>
        </is>
      </c>
      <c r="C376" t="inlineStr">
        <is>
          <t>Föryngringsavverkning</t>
        </is>
      </c>
      <c r="D376" s="1" t="n">
        <v>45561</v>
      </c>
      <c r="E376" s="1" t="n">
        <v>46258</v>
      </c>
      <c r="F376" t="inlineStr">
        <is>
          <t>NORRBOTTENS LÄN</t>
        </is>
      </c>
      <c r="G376" t="inlineStr">
        <is>
          <t>ÖVERTORNEÅ</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23363-2026</t>
        </is>
      </c>
      <c r="B377" t="inlineStr">
        <is>
          <t>avverkningsanmälan</t>
        </is>
      </c>
      <c r="C377" t="inlineStr">
        <is>
          <t>Föryngringsavverkning</t>
        </is>
      </c>
      <c r="D377" s="1" t="n">
        <v>46162</v>
      </c>
      <c r="E377" s="1" t="n">
        <v>46258</v>
      </c>
      <c r="F377" t="inlineStr">
        <is>
          <t>NORRBOTTENS LÄN</t>
        </is>
      </c>
      <c r="G377" t="inlineStr">
        <is>
          <t>ÖVERTORNEÅ</t>
        </is>
      </c>
      <c r="H377" t="inlineStr">
        <is>
          <t>Sveaskog</t>
        </is>
      </c>
      <c r="I377" t="n">
        <v>12.2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34142-2023</t>
        </is>
      </c>
      <c r="B378" t="inlineStr">
        <is>
          <t>avverkningsanmälan</t>
        </is>
      </c>
      <c r="C378" t="inlineStr">
        <is>
          <t>Föryngringsavverkning</t>
        </is>
      </c>
      <c r="D378" s="1" t="n">
        <v>45136</v>
      </c>
      <c r="E378" s="1" t="n">
        <v>46258</v>
      </c>
      <c r="F378" t="inlineStr">
        <is>
          <t>NORRBOTTENS LÄN</t>
        </is>
      </c>
      <c r="G378" t="inlineStr">
        <is>
          <t>ÖVERTORNEÅ</t>
        </is>
      </c>
      <c r="I378" t="n">
        <v>22.5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30567-2026</t>
        </is>
      </c>
      <c r="B379" t="inlineStr">
        <is>
          <t>avverkningsanmälan</t>
        </is>
      </c>
      <c r="C379" t="inlineStr">
        <is>
          <t>Föryngringsavverkning</t>
        </is>
      </c>
      <c r="D379" s="1" t="n">
        <v>46210</v>
      </c>
      <c r="E379" s="1" t="n">
        <v>46258</v>
      </c>
      <c r="F379" t="inlineStr">
        <is>
          <t>NORRBOTTENS LÄN</t>
        </is>
      </c>
      <c r="G379" t="inlineStr">
        <is>
          <t>ÖVERTORNEÅ</t>
        </is>
      </c>
      <c r="I379" t="n">
        <v>20.4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20129-2026</t>
        </is>
      </c>
      <c r="B380" t="inlineStr">
        <is>
          <t>avverkningsanmälan</t>
        </is>
      </c>
      <c r="C380" t="inlineStr">
        <is>
          <t>Föryngringsavverkning</t>
        </is>
      </c>
      <c r="D380" s="1" t="n">
        <v>46136</v>
      </c>
      <c r="E380" s="1" t="n">
        <v>46258</v>
      </c>
      <c r="F380" t="inlineStr">
        <is>
          <t>NORRBOTTENS LÄN</t>
        </is>
      </c>
      <c r="G380" t="inlineStr">
        <is>
          <t>ÖVERTORNEÅ</t>
        </is>
      </c>
      <c r="H380" t="inlineStr">
        <is>
          <t>Sveaskog</t>
        </is>
      </c>
      <c r="I380" t="n">
        <v>33.5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31699-2023</t>
        </is>
      </c>
      <c r="B381" t="inlineStr">
        <is>
          <t>avverkningsanmälan</t>
        </is>
      </c>
      <c r="C381" t="inlineStr">
        <is>
          <t>Avverkning för annat ändamål</t>
        </is>
      </c>
      <c r="D381" s="1" t="n">
        <v>45117</v>
      </c>
      <c r="E381" s="1" t="n">
        <v>46258</v>
      </c>
      <c r="F381" t="inlineStr">
        <is>
          <t>NORRBOTTENS LÄN</t>
        </is>
      </c>
      <c r="G381" t="inlineStr">
        <is>
          <t>ÖVERTORNEÅ</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32741-2024</t>
        </is>
      </c>
      <c r="B382" t="inlineStr">
        <is>
          <t>avverkningsanmälan</t>
        </is>
      </c>
      <c r="C382" t="inlineStr">
        <is>
          <t>Föryngringsavverkning</t>
        </is>
      </c>
      <c r="D382" s="1" t="n">
        <v>45516</v>
      </c>
      <c r="E382" s="1" t="n">
        <v>46258</v>
      </c>
      <c r="F382" t="inlineStr">
        <is>
          <t>NORRBOTTENS LÄN</t>
        </is>
      </c>
      <c r="G382" t="inlineStr">
        <is>
          <t>ÖVERTORNEÅ</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49299-2024</t>
        </is>
      </c>
      <c r="B383" t="inlineStr">
        <is>
          <t>avverkningsanmälan</t>
        </is>
      </c>
      <c r="C383" t="inlineStr">
        <is>
          <t>Föryngringsavverkning</t>
        </is>
      </c>
      <c r="D383" s="1" t="n">
        <v>45595</v>
      </c>
      <c r="E383" s="1" t="n">
        <v>46258</v>
      </c>
      <c r="F383" t="inlineStr">
        <is>
          <t>NORRBOTTENS LÄN</t>
        </is>
      </c>
      <c r="G383" t="inlineStr">
        <is>
          <t>ÖVERTORNEÅ</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20516-2026</t>
        </is>
      </c>
      <c r="B384" t="inlineStr">
        <is>
          <t>avverkningsanmälan</t>
        </is>
      </c>
      <c r="C384" t="inlineStr">
        <is>
          <t>Föryngringsavverkning</t>
        </is>
      </c>
      <c r="D384" s="1" t="n">
        <v>46140</v>
      </c>
      <c r="E384" s="1" t="n">
        <v>46258</v>
      </c>
      <c r="F384" t="inlineStr">
        <is>
          <t>NORRBOTTENS LÄN</t>
        </is>
      </c>
      <c r="G384" t="inlineStr">
        <is>
          <t>ÖVERTORNEÅ</t>
        </is>
      </c>
      <c r="I384" t="n">
        <v>6.9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46032-2021</t>
        </is>
      </c>
      <c r="B385" t="inlineStr">
        <is>
          <t>avverkningsanmälan</t>
        </is>
      </c>
      <c r="C385" t="inlineStr">
        <is>
          <t>Föryngringsavverkning</t>
        </is>
      </c>
      <c r="D385" s="1" t="n">
        <v>44441</v>
      </c>
      <c r="E385" s="1" t="n">
        <v>46258</v>
      </c>
      <c r="F385" t="inlineStr">
        <is>
          <t>NORRBOTTENS LÄN</t>
        </is>
      </c>
      <c r="G385" t="inlineStr">
        <is>
          <t>ÖVERTORNEÅ</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35220-2022</t>
        </is>
      </c>
      <c r="B386" t="inlineStr">
        <is>
          <t>avverkningsanmälan</t>
        </is>
      </c>
      <c r="C386" t="inlineStr">
        <is>
          <t>Föryngringsavverkning</t>
        </is>
      </c>
      <c r="D386" s="1" t="n">
        <v>44797</v>
      </c>
      <c r="E386" s="1" t="n">
        <v>46258</v>
      </c>
      <c r="F386" t="inlineStr">
        <is>
          <t>NORRBOTTENS LÄN</t>
        </is>
      </c>
      <c r="G386" t="inlineStr">
        <is>
          <t>ÖVERTORNEÅ</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20645-2026</t>
        </is>
      </c>
      <c r="B387" t="inlineStr">
        <is>
          <t>avverkningsanmälan</t>
        </is>
      </c>
      <c r="C387" t="inlineStr">
        <is>
          <t>Föryngringsavverkning</t>
        </is>
      </c>
      <c r="D387" s="1" t="n">
        <v>46141</v>
      </c>
      <c r="E387" s="1" t="n">
        <v>46258</v>
      </c>
      <c r="F387" t="inlineStr">
        <is>
          <t>NORRBOTTENS LÄN</t>
        </is>
      </c>
      <c r="G387" t="inlineStr">
        <is>
          <t>ÖVERTORNEÅ</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15201-2023</t>
        </is>
      </c>
      <c r="B388" t="inlineStr">
        <is>
          <t>avverkningsanmälan</t>
        </is>
      </c>
      <c r="C388" t="inlineStr">
        <is>
          <t>Föryngringsavverkning</t>
        </is>
      </c>
      <c r="D388" s="1" t="n">
        <v>45017</v>
      </c>
      <c r="E388" s="1" t="n">
        <v>46258</v>
      </c>
      <c r="F388" t="inlineStr">
        <is>
          <t>NORRBOTTENS LÄN</t>
        </is>
      </c>
      <c r="G388" t="inlineStr">
        <is>
          <t>ÖVERTORNEÅ</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4280-2025</t>
        </is>
      </c>
      <c r="B389" t="inlineStr">
        <is>
          <t>avverkningsanmälan</t>
        </is>
      </c>
      <c r="C389" t="inlineStr">
        <is>
          <t>Föryngringsavverkning</t>
        </is>
      </c>
      <c r="D389" s="1" t="n">
        <v>45685</v>
      </c>
      <c r="E389" s="1" t="n">
        <v>46258</v>
      </c>
      <c r="F389" t="inlineStr">
        <is>
          <t>NORRBOTTENS LÄN</t>
        </is>
      </c>
      <c r="G389" t="inlineStr">
        <is>
          <t>ÖVERTORNEÅ</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20537-2026</t>
        </is>
      </c>
      <c r="B390" t="inlineStr">
        <is>
          <t>avverkningsanmälan</t>
        </is>
      </c>
      <c r="C390" t="inlineStr">
        <is>
          <t>Föryngringsavverkning</t>
        </is>
      </c>
      <c r="D390" s="1" t="n">
        <v>46140</v>
      </c>
      <c r="E390" s="1" t="n">
        <v>46258</v>
      </c>
      <c r="F390" t="inlineStr">
        <is>
          <t>NORRBOTTENS LÄN</t>
        </is>
      </c>
      <c r="G390" t="inlineStr">
        <is>
          <t>ÖVERTORNEÅ</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11831-2022</t>
        </is>
      </c>
      <c r="B391" t="inlineStr">
        <is>
          <t>avverkningsanmälan</t>
        </is>
      </c>
      <c r="C391" t="inlineStr">
        <is>
          <t>Föryngringsavverkning</t>
        </is>
      </c>
      <c r="D391" s="1" t="n">
        <v>44634</v>
      </c>
      <c r="E391" s="1" t="n">
        <v>46258</v>
      </c>
      <c r="F391" t="inlineStr">
        <is>
          <t>NORRBOTTENS LÄN</t>
        </is>
      </c>
      <c r="G391" t="inlineStr">
        <is>
          <t>ÖVERTORNEÅ</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1476-2023</t>
        </is>
      </c>
      <c r="B392" t="inlineStr">
        <is>
          <t>avverkningsanmälan</t>
        </is>
      </c>
      <c r="C392" t="inlineStr">
        <is>
          <t>Föryngringsavverkning</t>
        </is>
      </c>
      <c r="D392" s="1" t="n">
        <v>44937</v>
      </c>
      <c r="E392" s="1" t="n">
        <v>46258</v>
      </c>
      <c r="F392" t="inlineStr">
        <is>
          <t>NORRBOTTENS LÄN</t>
        </is>
      </c>
      <c r="G392" t="inlineStr">
        <is>
          <t>ÖVERTORNEÅ</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63465-2025</t>
        </is>
      </c>
      <c r="B393" t="inlineStr">
        <is>
          <t>avverkningsanmälan</t>
        </is>
      </c>
      <c r="C393" t="inlineStr">
        <is>
          <t>Föryngringsavverkning</t>
        </is>
      </c>
      <c r="D393" s="1" t="n">
        <v>46013</v>
      </c>
      <c r="E393" s="1" t="n">
        <v>46258</v>
      </c>
      <c r="F393" t="inlineStr">
        <is>
          <t>NORRBOTTENS LÄN</t>
        </is>
      </c>
      <c r="G393" t="inlineStr">
        <is>
          <t>ÖVERTORNEÅ</t>
        </is>
      </c>
      <c r="I393" t="n">
        <v>12.7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6935-2026</t>
        </is>
      </c>
      <c r="B394" t="inlineStr">
        <is>
          <t>avverkningsanmälan</t>
        </is>
      </c>
      <c r="C394" t="inlineStr">
        <is>
          <t>Föryngringsavverkning</t>
        </is>
      </c>
      <c r="D394" s="1" t="n">
        <v>46057</v>
      </c>
      <c r="E394" s="1" t="n">
        <v>46258</v>
      </c>
      <c r="F394" t="inlineStr">
        <is>
          <t>NORRBOTTENS LÄN</t>
        </is>
      </c>
      <c r="G394" t="inlineStr">
        <is>
          <t>ÖVERTORNEÅ</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32681-2024</t>
        </is>
      </c>
      <c r="B395" t="inlineStr">
        <is>
          <t>avverkningsanmälan</t>
        </is>
      </c>
      <c r="C395" t="inlineStr">
        <is>
          <t>Föryngringsavverkning</t>
        </is>
      </c>
      <c r="D395" s="1" t="n">
        <v>45515</v>
      </c>
      <c r="E395" s="1" t="n">
        <v>46258</v>
      </c>
      <c r="F395" t="inlineStr">
        <is>
          <t>NORRBOTTENS LÄN</t>
        </is>
      </c>
      <c r="G395" t="inlineStr">
        <is>
          <t>ÖVERTORNEÅ</t>
        </is>
      </c>
      <c r="I395" t="n">
        <v>8.4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17807-2024</t>
        </is>
      </c>
      <c r="B396" t="inlineStr">
        <is>
          <t>avverkningsanmälan</t>
        </is>
      </c>
      <c r="C396" t="inlineStr">
        <is>
          <t>Föryngringsavverkning</t>
        </is>
      </c>
      <c r="D396" s="1" t="n">
        <v>45418</v>
      </c>
      <c r="E396" s="1" t="n">
        <v>46258</v>
      </c>
      <c r="F396" t="inlineStr">
        <is>
          <t>NORRBOTTENS LÄN</t>
        </is>
      </c>
      <c r="G396" t="inlineStr">
        <is>
          <t>ÖVERTORNEÅ</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1575-2026</t>
        </is>
      </c>
      <c r="B397" t="inlineStr">
        <is>
          <t>avverkningsanmälan</t>
        </is>
      </c>
      <c r="C397" t="inlineStr">
        <is>
          <t>Föryngringsavverkning</t>
        </is>
      </c>
      <c r="D397" s="1" t="n">
        <v>46034</v>
      </c>
      <c r="E397" s="1" t="n">
        <v>46258</v>
      </c>
      <c r="F397" t="inlineStr">
        <is>
          <t>NORRBOTTENS LÄN</t>
        </is>
      </c>
      <c r="G397" t="inlineStr">
        <is>
          <t>ÖVERTORNEÅ</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11972-2024</t>
        </is>
      </c>
      <c r="B398" t="inlineStr">
        <is>
          <t>avverkningsanmälan</t>
        </is>
      </c>
      <c r="C398" t="inlineStr">
        <is>
          <t>Föryngringsavverkning</t>
        </is>
      </c>
      <c r="D398" s="1" t="n">
        <v>45376</v>
      </c>
      <c r="E398" s="1" t="n">
        <v>46258</v>
      </c>
      <c r="F398" t="inlineStr">
        <is>
          <t>NORRBOTTENS LÄN</t>
        </is>
      </c>
      <c r="G398" t="inlineStr">
        <is>
          <t>ÖVERTORNEÅ</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8125-2025</t>
        </is>
      </c>
      <c r="B399" t="inlineStr">
        <is>
          <t>avverkningsanmälan</t>
        </is>
      </c>
      <c r="C399" t="inlineStr">
        <is>
          <t>Föryngringsavverkning</t>
        </is>
      </c>
      <c r="D399" s="1" t="n">
        <v>45707</v>
      </c>
      <c r="E399" s="1" t="n">
        <v>46258</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21316-2026</t>
        </is>
      </c>
      <c r="B400" t="inlineStr">
        <is>
          <t>avverkningsanmälan</t>
        </is>
      </c>
      <c r="C400" t="inlineStr">
        <is>
          <t>Föryngringsavverkning</t>
        </is>
      </c>
      <c r="D400" s="1" t="n">
        <v>46142</v>
      </c>
      <c r="E400" s="1" t="n">
        <v>46258</v>
      </c>
      <c r="F400" t="inlineStr">
        <is>
          <t>NORRBOTTENS LÄN</t>
        </is>
      </c>
      <c r="G400" t="inlineStr">
        <is>
          <t>ÖVERTORNEÅ</t>
        </is>
      </c>
      <c r="I400" t="n">
        <v>10.7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11617-2025</t>
        </is>
      </c>
      <c r="B401" t="inlineStr">
        <is>
          <t>avverkningsanmälan</t>
        </is>
      </c>
      <c r="C401" t="inlineStr">
        <is>
          <t>Föryngringsavverkning</t>
        </is>
      </c>
      <c r="D401" s="1" t="n">
        <v>45727</v>
      </c>
      <c r="E401" s="1" t="n">
        <v>46258</v>
      </c>
      <c r="F401" t="inlineStr">
        <is>
          <t>NORRBOTTENS LÄN</t>
        </is>
      </c>
      <c r="G401" t="inlineStr">
        <is>
          <t>ÖVERTORNEÅ</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12532-2024</t>
        </is>
      </c>
      <c r="B402" t="inlineStr">
        <is>
          <t>avverkningsanmälan</t>
        </is>
      </c>
      <c r="C402" t="inlineStr">
        <is>
          <t>Föryngringsavverkning</t>
        </is>
      </c>
      <c r="D402" s="1" t="n">
        <v>45379</v>
      </c>
      <c r="E402" s="1" t="n">
        <v>46258</v>
      </c>
      <c r="F402" t="inlineStr">
        <is>
          <t>NORRBOTTENS LÄN</t>
        </is>
      </c>
      <c r="G402" t="inlineStr">
        <is>
          <t>ÖVERTORNEÅ</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16566-2022</t>
        </is>
      </c>
      <c r="B403" t="inlineStr">
        <is>
          <t>avverkningsanmälan</t>
        </is>
      </c>
      <c r="C403" t="inlineStr">
        <is>
          <t>Avverkning för annat ändamål</t>
        </is>
      </c>
      <c r="D403" s="1" t="n">
        <v>44672</v>
      </c>
      <c r="E403" s="1" t="n">
        <v>46258</v>
      </c>
      <c r="F403" t="inlineStr">
        <is>
          <t>NORRBOTTENS LÄN</t>
        </is>
      </c>
      <c r="G403" t="inlineStr">
        <is>
          <t>ÖVERTORNEÅ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57849-2021</t>
        </is>
      </c>
      <c r="B404" t="inlineStr">
        <is>
          <t>avverkningsanmälan</t>
        </is>
      </c>
      <c r="C404" t="inlineStr">
        <is>
          <t>Föryngringsavverkning</t>
        </is>
      </c>
      <c r="D404" s="1" t="n">
        <v>44484</v>
      </c>
      <c r="E404" s="1" t="n">
        <v>46258</v>
      </c>
      <c r="F404" t="inlineStr">
        <is>
          <t>NORRBOTTENS LÄN</t>
        </is>
      </c>
      <c r="G404" t="inlineStr">
        <is>
          <t>ÖVERTORNEÅ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855-2024</t>
        </is>
      </c>
      <c r="B405" t="inlineStr">
        <is>
          <t>avverkningsanmälan</t>
        </is>
      </c>
      <c r="C405" t="inlineStr">
        <is>
          <t>Föryngringsavverkning</t>
        </is>
      </c>
      <c r="D405" s="1" t="n">
        <v>45300</v>
      </c>
      <c r="E405" s="1" t="n">
        <v>46258</v>
      </c>
      <c r="F405" t="inlineStr">
        <is>
          <t>NORRBOTTENS LÄN</t>
        </is>
      </c>
      <c r="G405" t="inlineStr">
        <is>
          <t>ÖVERTORNEÅ</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57111-2024</t>
        </is>
      </c>
      <c r="B406" t="inlineStr">
        <is>
          <t>avverkningsanmälan</t>
        </is>
      </c>
      <c r="C406" t="inlineStr">
        <is>
          <t>Föryngringsavverkning</t>
        </is>
      </c>
      <c r="D406" s="1" t="n">
        <v>45629</v>
      </c>
      <c r="E406" s="1" t="n">
        <v>46258</v>
      </c>
      <c r="F406" t="inlineStr">
        <is>
          <t>NORRBOTTENS LÄN</t>
        </is>
      </c>
      <c r="G406" t="inlineStr">
        <is>
          <t>ÖVERTORNEÅ</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22600-2026</t>
        </is>
      </c>
      <c r="B407" t="inlineStr">
        <is>
          <t>avverkningsanmälan</t>
        </is>
      </c>
      <c r="C407" t="inlineStr">
        <is>
          <t>Föryngringsavverkning</t>
        </is>
      </c>
      <c r="D407" s="1" t="n">
        <v>46155</v>
      </c>
      <c r="E407" s="1" t="n">
        <v>46258</v>
      </c>
      <c r="F407" t="inlineStr">
        <is>
          <t>NORRBOTTENS LÄN</t>
        </is>
      </c>
      <c r="G407" t="inlineStr">
        <is>
          <t>ÖVERTORNEÅ</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33600-2024</t>
        </is>
      </c>
      <c r="B408" t="inlineStr">
        <is>
          <t>avverkningsanmälan</t>
        </is>
      </c>
      <c r="C408" t="inlineStr">
        <is>
          <t>Föryngringsavverkning</t>
        </is>
      </c>
      <c r="D408" s="1" t="n">
        <v>45520</v>
      </c>
      <c r="E408" s="1" t="n">
        <v>46258</v>
      </c>
      <c r="F408" t="inlineStr">
        <is>
          <t>NORRBOTTENS LÄN</t>
        </is>
      </c>
      <c r="G408" t="inlineStr">
        <is>
          <t>ÖVERTORNEÅ</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26181-2024</t>
        </is>
      </c>
      <c r="B409" t="inlineStr">
        <is>
          <t>avverkningsanmälan</t>
        </is>
      </c>
      <c r="C409" t="inlineStr">
        <is>
          <t>Föryngringsavverkning</t>
        </is>
      </c>
      <c r="D409" s="1" t="n">
        <v>45467</v>
      </c>
      <c r="E409" s="1" t="n">
        <v>46258</v>
      </c>
      <c r="F409" t="inlineStr">
        <is>
          <t>NORRBOTTENS LÄN</t>
        </is>
      </c>
      <c r="G409" t="inlineStr">
        <is>
          <t>ÖVERTORNEÅ</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22908-2026</t>
        </is>
      </c>
      <c r="B410" t="inlineStr">
        <is>
          <t>avverkningsanmälan</t>
        </is>
      </c>
      <c r="C410" t="inlineStr">
        <is>
          <t>Föryngringsavverkning</t>
        </is>
      </c>
      <c r="D410" s="1" t="n">
        <v>46160</v>
      </c>
      <c r="E410" s="1" t="n">
        <v>46258</v>
      </c>
      <c r="F410" t="inlineStr">
        <is>
          <t>NORRBOTTENS LÄN</t>
        </is>
      </c>
      <c r="G410" t="inlineStr">
        <is>
          <t>ÖVERTORNEÅ</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22910-2026</t>
        </is>
      </c>
      <c r="B411" t="inlineStr">
        <is>
          <t>avverkningsanmälan</t>
        </is>
      </c>
      <c r="C411" t="inlineStr">
        <is>
          <t>Föryngringsavverkning</t>
        </is>
      </c>
      <c r="D411" s="1" t="n">
        <v>46160</v>
      </c>
      <c r="E411" s="1" t="n">
        <v>46258</v>
      </c>
      <c r="F411" t="inlineStr">
        <is>
          <t>NORRBOTTENS LÄN</t>
        </is>
      </c>
      <c r="G411" t="inlineStr">
        <is>
          <t>ÖVERTORNEÅ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10753-2024</t>
        </is>
      </c>
      <c r="B412" t="inlineStr">
        <is>
          <t>avverkningsanmälan</t>
        </is>
      </c>
      <c r="C412" t="inlineStr">
        <is>
          <t>Föryngringsavverkning</t>
        </is>
      </c>
      <c r="D412" s="1" t="n">
        <v>45369</v>
      </c>
      <c r="E412" s="1" t="n">
        <v>46258</v>
      </c>
      <c r="F412" t="inlineStr">
        <is>
          <t>NORRBOTTENS LÄN</t>
        </is>
      </c>
      <c r="G412" t="inlineStr">
        <is>
          <t>ÖVERTORNEÅ</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7505-2025</t>
        </is>
      </c>
      <c r="B413" t="inlineStr">
        <is>
          <t>avverkningsanmälan</t>
        </is>
      </c>
      <c r="C413" t="inlineStr">
        <is>
          <t>Föryngringsavverkning</t>
        </is>
      </c>
      <c r="D413" s="1" t="n">
        <v>45705</v>
      </c>
      <c r="E413" s="1" t="n">
        <v>46258</v>
      </c>
      <c r="F413" t="inlineStr">
        <is>
          <t>NORRBOTTENS LÄN</t>
        </is>
      </c>
      <c r="G413" t="inlineStr">
        <is>
          <t>ÖVERTORNEÅ</t>
        </is>
      </c>
      <c r="I413" t="n">
        <v>8.6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51272-2024</t>
        </is>
      </c>
      <c r="B414" t="inlineStr">
        <is>
          <t>avverkningsanmälan</t>
        </is>
      </c>
      <c r="C414" t="inlineStr">
        <is>
          <t>Föryngringsavverkning</t>
        </is>
      </c>
      <c r="D414" s="1" t="n">
        <v>45602</v>
      </c>
      <c r="E414" s="1" t="n">
        <v>46258</v>
      </c>
      <c r="F414" t="inlineStr">
        <is>
          <t>NORRBOTTENS LÄN</t>
        </is>
      </c>
      <c r="G414" t="inlineStr">
        <is>
          <t>ÖVERTORNEÅ</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34702-2024</t>
        </is>
      </c>
      <c r="B415" t="inlineStr">
        <is>
          <t>avverkningsanmälan</t>
        </is>
      </c>
      <c r="C415" t="inlineStr">
        <is>
          <t>Föryngringsavverkning</t>
        </is>
      </c>
      <c r="D415" s="1" t="n">
        <v>45526</v>
      </c>
      <c r="E415" s="1" t="n">
        <v>46258</v>
      </c>
      <c r="F415" t="inlineStr">
        <is>
          <t>NORRBOTTENS LÄN</t>
        </is>
      </c>
      <c r="G415" t="inlineStr">
        <is>
          <t>ÖVERTORNEÅ</t>
        </is>
      </c>
      <c r="I415" t="n">
        <v>5.6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14264-2024</t>
        </is>
      </c>
      <c r="B416" t="inlineStr">
        <is>
          <t>avverkningsanmälan</t>
        </is>
      </c>
      <c r="C416" t="inlineStr">
        <is>
          <t>Avverkning för annat ändamål</t>
        </is>
      </c>
      <c r="D416" s="1" t="n">
        <v>45393</v>
      </c>
      <c r="E416" s="1" t="n">
        <v>46258</v>
      </c>
      <c r="F416" t="inlineStr">
        <is>
          <t>NORRBOTTENS LÄN</t>
        </is>
      </c>
      <c r="G416" t="inlineStr">
        <is>
          <t>ÖVERTORNEÅ</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46037-2021</t>
        </is>
      </c>
      <c r="B417" t="inlineStr">
        <is>
          <t>avverkningsanmälan</t>
        </is>
      </c>
      <c r="C417" t="inlineStr">
        <is>
          <t>Föryngringsavverkning</t>
        </is>
      </c>
      <c r="D417" s="1" t="n">
        <v>44441</v>
      </c>
      <c r="E417" s="1" t="n">
        <v>46258</v>
      </c>
      <c r="F417" t="inlineStr">
        <is>
          <t>NORRBOTTENS LÄN</t>
        </is>
      </c>
      <c r="G417" t="inlineStr">
        <is>
          <t>ÖVERTORNEÅ</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23613-2025</t>
        </is>
      </c>
      <c r="B418" t="inlineStr">
        <is>
          <t>avverkningsanmälan</t>
        </is>
      </c>
      <c r="C418" t="inlineStr">
        <is>
          <t>Föryngringsavverkning</t>
        </is>
      </c>
      <c r="D418" s="1" t="n">
        <v>45792</v>
      </c>
      <c r="E418" s="1" t="n">
        <v>46258</v>
      </c>
      <c r="F418" t="inlineStr">
        <is>
          <t>NORRBOTTENS LÄN</t>
        </is>
      </c>
      <c r="G418" t="inlineStr">
        <is>
          <t>ÖVERTORNEÅ</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23538-2026</t>
        </is>
      </c>
      <c r="B419" t="inlineStr">
        <is>
          <t>avverkningsanmälan</t>
        </is>
      </c>
      <c r="C419" t="inlineStr">
        <is>
          <t>Föryngringsavverkning</t>
        </is>
      </c>
      <c r="D419" s="1" t="n">
        <v>46163</v>
      </c>
      <c r="E419" s="1" t="n">
        <v>46258</v>
      </c>
      <c r="F419" t="inlineStr">
        <is>
          <t>NORRBOTTENS LÄN</t>
        </is>
      </c>
      <c r="G419" t="inlineStr">
        <is>
          <t>ÖVERTORNEÅ</t>
        </is>
      </c>
      <c r="I419" t="n">
        <v>11.5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34154-2023</t>
        </is>
      </c>
      <c r="B420" t="inlineStr">
        <is>
          <t>avverkningsanmälan</t>
        </is>
      </c>
      <c r="C420" t="inlineStr">
        <is>
          <t>Föryngringsavverkning</t>
        </is>
      </c>
      <c r="D420" s="1" t="n">
        <v>45137</v>
      </c>
      <c r="E420" s="1" t="n">
        <v>46258</v>
      </c>
      <c r="F420" t="inlineStr">
        <is>
          <t>NORRBOTTENS LÄN</t>
        </is>
      </c>
      <c r="G420" t="inlineStr">
        <is>
          <t>ÖVERTORNEÅ</t>
        </is>
      </c>
      <c r="I420" t="n">
        <v>37.1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51682-2023</t>
        </is>
      </c>
      <c r="B421" t="inlineStr">
        <is>
          <t>avverkningsanmälan</t>
        </is>
      </c>
      <c r="C421" t="inlineStr">
        <is>
          <t>Föryngringsavverkning</t>
        </is>
      </c>
      <c r="D421" s="1" t="n">
        <v>45222</v>
      </c>
      <c r="E421" s="1" t="n">
        <v>46258</v>
      </c>
      <c r="F421" t="inlineStr">
        <is>
          <t>NORRBOTTENS LÄN</t>
        </is>
      </c>
      <c r="G421" t="inlineStr">
        <is>
          <t>ÖVERTORNEÅ</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1410-2025</t>
        </is>
      </c>
      <c r="B422" t="inlineStr">
        <is>
          <t>samrådsanmälan</t>
        </is>
      </c>
      <c r="C422" t="inlineStr">
        <is>
          <t>Skogsgödsling</t>
        </is>
      </c>
      <c r="D422" s="1" t="n">
        <v>45782</v>
      </c>
      <c r="E422" s="1" t="n">
        <v>46258</v>
      </c>
      <c r="F422" t="inlineStr">
        <is>
          <t>NORRBOTTENS LÄN</t>
        </is>
      </c>
      <c r="G422" t="inlineStr">
        <is>
          <t>ÖVERTORNEÅ</t>
        </is>
      </c>
      <c r="H422" t="inlineStr">
        <is>
          <t>Sveaskog</t>
        </is>
      </c>
      <c r="I422" t="n">
        <v>457.8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2377-2025</t>
        </is>
      </c>
      <c r="B423" t="inlineStr">
        <is>
          <t>samrådsanmälan</t>
        </is>
      </c>
      <c r="C423" t="inlineStr">
        <is>
          <t>Annan skogsbruksåtgärd</t>
        </is>
      </c>
      <c r="D423" s="1" t="n">
        <v>45891</v>
      </c>
      <c r="E423" s="1" t="n">
        <v>46258</v>
      </c>
      <c r="F423" t="inlineStr">
        <is>
          <t>NORRBOTTENS LÄN</t>
        </is>
      </c>
      <c r="G423" t="inlineStr">
        <is>
          <t>ÖVERTORNEÅ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2543-2025</t>
        </is>
      </c>
      <c r="B424" t="inlineStr">
        <is>
          <t>samrådsanmälan</t>
        </is>
      </c>
      <c r="C424" t="inlineStr">
        <is>
          <t>Annan skogsbruksåtgärd</t>
        </is>
      </c>
      <c r="D424" s="1" t="n">
        <v>45910</v>
      </c>
      <c r="E424" s="1" t="n">
        <v>46258</v>
      </c>
      <c r="F424" t="inlineStr">
        <is>
          <t>NORRBOTTENS LÄN</t>
        </is>
      </c>
      <c r="G424" t="inlineStr">
        <is>
          <t>ÖVERTORNEÅ</t>
        </is>
      </c>
      <c r="I424" t="n">
        <v>3.1</v>
      </c>
      <c r="J424" t="n">
        <v>0</v>
      </c>
      <c r="K424" t="n">
        <v>0</v>
      </c>
      <c r="L424" t="n">
        <v>0</v>
      </c>
      <c r="M424" t="n">
        <v>0</v>
      </c>
      <c r="N424" t="n">
        <v>0</v>
      </c>
      <c r="O424" t="n">
        <v>0</v>
      </c>
      <c r="P424" t="n">
        <v>0</v>
      </c>
      <c r="Q424" t="n">
        <v>0</v>
      </c>
      <c r="R424" t="n">
        <v>0</v>
      </c>
      <c r="S424" t="n">
        <v>0</v>
      </c>
      <c r="T424" t="n">
        <v>0</v>
      </c>
      <c r="U424" t="n">
        <v>0</v>
      </c>
      <c r="V424" s="2" t="inlineStr"/>
    </row>
    <row r="425">
      <c r="A425" t="inlineStr">
        <is>
          <t>S 345-2026</t>
        </is>
      </c>
      <c r="B425" t="inlineStr">
        <is>
          <t>samrådsanmälan</t>
        </is>
      </c>
      <c r="C425" t="inlineStr">
        <is>
          <t>Annan skogsbruksåtgärd</t>
        </is>
      </c>
      <c r="D425" s="1" t="n">
        <v>46062</v>
      </c>
      <c r="E425" s="1" t="n">
        <v>46258</v>
      </c>
      <c r="F425" t="inlineStr">
        <is>
          <t>NORRBOTTENS LÄN</t>
        </is>
      </c>
      <c r="G425" t="inlineStr">
        <is>
          <t>ÖVERTORNEÅ</t>
        </is>
      </c>
      <c r="I425" t="n">
        <v>3.5</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2026-08-24T01:54:10Z</dcterms:created>
  <dcterms:modified xmlns:dcterms="http://purl.org/dc/terms/" xmlns:xsi="http://www.w3.org/2001/XMLSchema-instance" xsi:type="dcterms:W3CDTF">2026-08-24T01:54:10Z</dcterms:modified>
</cp:coreProperties>
</file>
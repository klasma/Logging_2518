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27566-2025</t>
        </is>
      </c>
      <c r="B2" t="inlineStr">
        <is>
          <t>avverkningsanmälan</t>
        </is>
      </c>
      <c r="C2" t="inlineStr">
        <is>
          <t>Föryngringsavverkning</t>
        </is>
      </c>
      <c r="D2" s="1" t="n">
        <v>45813</v>
      </c>
      <c r="E2" s="1" t="n">
        <v>46219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HYPERLINK("https://klasma.github.io/Logging_2518/knärot/A 27566-2025 karta knärot.png", "A 27566-2025")</f>
        <v/>
      </c>
      <c r="Y2">
        <f>HYPERLINK("https://klasma.github.io/Logging_2518/klagomål/A 27566-2025 FSC-klagomål.docx", "A 27566-2025")</f>
        <v/>
      </c>
      <c r="Z2">
        <f>HYPERLINK("https://klasma.github.io/Logging_2518/klagomålsmail/A 27566-2025 FSC-klagomål mail.docx", "A 27566-2025")</f>
        <v/>
      </c>
      <c r="AA2">
        <f>HYPERLINK("https://klasma.github.io/Logging_2518/tillsyn/A 27566-2025 tillsynsbegäran.docx", "A 27566-2025")</f>
        <v/>
      </c>
      <c r="AB2">
        <f>HYPERLINK("https://klasma.github.io/Logging_2518/tillsynsmail/A 27566-2025 tillsynsbegäran mail.docx", "A 27566-2025")</f>
        <v/>
      </c>
      <c r="AC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46219</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HYPERLINK("https://klasma.github.io/Logging_2518/knärot/A 15638-2024 karta knärot.png", "A 15638-2024")</f>
        <v/>
      </c>
      <c r="Y3">
        <f>HYPERLINK("https://klasma.github.io/Logging_2518/klagomål/A 15638-2024 FSC-klagomål.docx", "A 15638-2024")</f>
        <v/>
      </c>
      <c r="Z3">
        <f>HYPERLINK("https://klasma.github.io/Logging_2518/klagomålsmail/A 15638-2024 FSC-klagomål mail.docx", "A 15638-2024")</f>
        <v/>
      </c>
      <c r="AA3">
        <f>HYPERLINK("https://klasma.github.io/Logging_2518/tillsyn/A 15638-2024 tillsynsbegäran.docx", "A 15638-2024")</f>
        <v/>
      </c>
      <c r="AB3">
        <f>HYPERLINK("https://klasma.github.io/Logging_2518/tillsynsmail/A 15638-2024 tillsynsbegäran mail.docx", "A 15638-2024")</f>
        <v/>
      </c>
      <c r="AC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46219</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HYPERLINK("https://klasma.github.io/Logging_2518/knärot/A 7524-2025 karta knärot.png", "A 7524-2025")</f>
        <v/>
      </c>
      <c r="Y4">
        <f>HYPERLINK("https://klasma.github.io/Logging_2518/klagomål/A 7524-2025 FSC-klagomål.docx", "A 7524-2025")</f>
        <v/>
      </c>
      <c r="Z4">
        <f>HYPERLINK("https://klasma.github.io/Logging_2518/klagomålsmail/A 7524-2025 FSC-klagomål mail.docx", "A 7524-2025")</f>
        <v/>
      </c>
      <c r="AA4">
        <f>HYPERLINK("https://klasma.github.io/Logging_2518/tillsyn/A 7524-2025 tillsynsbegäran.docx", "A 7524-2025")</f>
        <v/>
      </c>
      <c r="AB4">
        <f>HYPERLINK("https://klasma.github.io/Logging_2518/tillsynsmail/A 7524-2025 tillsynsbegäran mail.docx", "A 7524-2025")</f>
        <v/>
      </c>
      <c r="AC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46219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HYPERLINK("https://klasma.github.io/Logging_2518/knärot/A 7434-2025 karta knärot.png", "A 7434-2025")</f>
        <v/>
      </c>
      <c r="Y5">
        <f>HYPERLINK("https://klasma.github.io/Logging_2518/klagomål/A 7434-2025 FSC-klagomål.docx", "A 7434-2025")</f>
        <v/>
      </c>
      <c r="Z5">
        <f>HYPERLINK("https://klasma.github.io/Logging_2518/klagomålsmail/A 7434-2025 FSC-klagomål mail.docx", "A 7434-2025")</f>
        <v/>
      </c>
      <c r="AA5">
        <f>HYPERLINK("https://klasma.github.io/Logging_2518/tillsyn/A 7434-2025 tillsynsbegäran.docx", "A 7434-2025")</f>
        <v/>
      </c>
      <c r="AB5">
        <f>HYPERLINK("https://klasma.github.io/Logging_2518/tillsynsmail/A 7434-2025 tillsynsbegäran mail.docx", "A 7434-2025")</f>
        <v/>
      </c>
      <c r="AC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46219</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s="2" t="inlineStr">
        <is>
          <t>Garnlav
Gräddticka
Knärot
Gammelgransskål
Lunglav
Tretåig hackspett
Lappranunkel
Spindelblomster
Stuplav
Järpe
Spillkråka
Svartvit flugsnappare</t>
        </is>
      </c>
      <c r="V6">
        <f>HYPERLINK("https://klasma.github.io/Logging_2518/artfynd/A 21993-2025 artfynd.xlsx", "A 21993-2025")</f>
        <v/>
      </c>
      <c r="W6">
        <f>HYPERLINK("https://klasma.github.io/Logging_2518/kartor/A 21993-2025 karta.png", "A 21993-2025")</f>
        <v/>
      </c>
      <c r="X6">
        <f>HYPERLINK("https://klasma.github.io/Logging_2518/knärot/A 21993-2025 karta knärot.png", "A 21993-2025")</f>
        <v/>
      </c>
      <c r="Y6">
        <f>HYPERLINK("https://klasma.github.io/Logging_2518/klagomål/A 21993-2025 FSC-klagomål.docx", "A 21993-2025")</f>
        <v/>
      </c>
      <c r="Z6">
        <f>HYPERLINK("https://klasma.github.io/Logging_2518/klagomålsmail/A 21993-2025 FSC-klagomål mail.docx", "A 21993-2025")</f>
        <v/>
      </c>
      <c r="AA6">
        <f>HYPERLINK("https://klasma.github.io/Logging_2518/tillsyn/A 21993-2025 tillsynsbegäran.docx", "A 21993-2025")</f>
        <v/>
      </c>
      <c r="AB6">
        <f>HYPERLINK("https://klasma.github.io/Logging_2518/tillsynsmail/A 21993-2025 tillsynsbegäran mail.docx", "A 21993-2025")</f>
        <v/>
      </c>
      <c r="AC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46219</v>
      </c>
      <c r="F7" t="inlineStr">
        <is>
          <t>NORRBOTTENS LÄN</t>
        </is>
      </c>
      <c r="G7" t="inlineStr">
        <is>
          <t>ÖVERTORNEÅ</t>
        </is>
      </c>
      <c r="I7" t="n">
        <v>7.8</v>
      </c>
      <c r="J7" t="n">
        <v>3</v>
      </c>
      <c r="K7" t="n">
        <v>4</v>
      </c>
      <c r="L7" t="n">
        <v>5</v>
      </c>
      <c r="M7" t="n">
        <v>2</v>
      </c>
      <c r="N7" t="n">
        <v>0</v>
      </c>
      <c r="O7" t="n">
        <v>0</v>
      </c>
      <c r="P7" t="n">
        <v>0</v>
      </c>
      <c r="Q7" t="n">
        <v>7</v>
      </c>
      <c r="R7" t="n">
        <v>2</v>
      </c>
      <c r="S7" t="n">
        <v>12</v>
      </c>
      <c r="T7" t="n">
        <v>37</v>
      </c>
      <c r="U7" s="2" t="inlineStr">
        <is>
          <t>Garnlav
Knärot
Lunglav
Rosenticka
Tretåig hackspett
Ullticka
Violmussling
Stor aspticka
Stuplav
Trådticka
Vedticka
Spillkråka</t>
        </is>
      </c>
      <c r="V7">
        <f>HYPERLINK("https://klasma.github.io/Logging_2518/artfynd/A 47048-2024 artfynd.xlsx", "A 47048-2024")</f>
        <v/>
      </c>
      <c r="W7">
        <f>HYPERLINK("https://klasma.github.io/Logging_2518/kartor/A 47048-2024 karta.png", "A 47048-2024")</f>
        <v/>
      </c>
      <c r="X7">
        <f>HYPERLINK("https://klasma.github.io/Logging_2518/knärot/A 47048-2024 karta knärot.png", "A 47048-2024")</f>
        <v/>
      </c>
      <c r="Y7">
        <f>HYPERLINK("https://klasma.github.io/Logging_2518/klagomål/A 47048-2024 FSC-klagomål.docx", "A 47048-2024")</f>
        <v/>
      </c>
      <c r="Z7">
        <f>HYPERLINK("https://klasma.github.io/Logging_2518/klagomålsmail/A 47048-2024 FSC-klagomål mail.docx", "A 47048-2024")</f>
        <v/>
      </c>
      <c r="AA7">
        <f>HYPERLINK("https://klasma.github.io/Logging_2518/tillsyn/A 47048-2024 tillsynsbegäran.docx", "A 47048-2024")</f>
        <v/>
      </c>
      <c r="AB7">
        <f>HYPERLINK("https://klasma.github.io/Logging_2518/tillsynsmail/A 47048-2024 tillsynsbegäran mail.docx", "A 47048-2024")</f>
        <v/>
      </c>
      <c r="AC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46219</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HYPERLINK("https://klasma.github.io/Logging_2518/knärot/A 12004-2022 karta knärot.png", "A 12004-2022")</f>
        <v/>
      </c>
      <c r="Y8">
        <f>HYPERLINK("https://klasma.github.io/Logging_2518/klagomål/A 12004-2022 FSC-klagomål.docx", "A 12004-2022")</f>
        <v/>
      </c>
      <c r="Z8">
        <f>HYPERLINK("https://klasma.github.io/Logging_2518/klagomålsmail/A 12004-2022 FSC-klagomål mail.docx", "A 12004-2022")</f>
        <v/>
      </c>
      <c r="AA8">
        <f>HYPERLINK("https://klasma.github.io/Logging_2518/tillsyn/A 12004-2022 tillsynsbegäran.docx", "A 12004-2022")</f>
        <v/>
      </c>
      <c r="AB8">
        <f>HYPERLINK("https://klasma.github.io/Logging_2518/tillsynsmail/A 12004-2022 tillsynsbegäran mail.docx", "A 12004-2022")</f>
        <v/>
      </c>
      <c r="AC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46219</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HYPERLINK("https://klasma.github.io/Logging_2518/knärot/A 41915-2024 karta knärot.png", "A 41915-2024")</f>
        <v/>
      </c>
      <c r="Y9">
        <f>HYPERLINK("https://klasma.github.io/Logging_2518/klagomål/A 41915-2024 FSC-klagomål.docx", "A 41915-2024")</f>
        <v/>
      </c>
      <c r="Z9">
        <f>HYPERLINK("https://klasma.github.io/Logging_2518/klagomålsmail/A 41915-2024 FSC-klagomål mail.docx", "A 41915-2024")</f>
        <v/>
      </c>
      <c r="AA9">
        <f>HYPERLINK("https://klasma.github.io/Logging_2518/tillsyn/A 41915-2024 tillsynsbegäran.docx", "A 41915-2024")</f>
        <v/>
      </c>
      <c r="AB9">
        <f>HYPERLINK("https://klasma.github.io/Logging_2518/tillsynsmail/A 41915-2024 tillsynsbegäran mail.docx", "A 41915-2024")</f>
        <v/>
      </c>
      <c r="AC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46219</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s="2" t="inlineStr">
        <is>
          <t>Garnlav
Knärot
Gammelgransskål
Ullticka
Norrlandslav
Skinnlav
Stuplav
Vedticka
Spillkråka</t>
        </is>
      </c>
      <c r="V10">
        <f>HYPERLINK("https://klasma.github.io/Logging_2518/artfynd/A 34146-2023 artfynd.xlsx", "A 34146-2023")</f>
        <v/>
      </c>
      <c r="W10">
        <f>HYPERLINK("https://klasma.github.io/Logging_2518/kartor/A 34146-2023 karta.png", "A 34146-2023")</f>
        <v/>
      </c>
      <c r="X10">
        <f>HYPERLINK("https://klasma.github.io/Logging_2518/knärot/A 34146-2023 karta knärot.png", "A 34146-2023")</f>
        <v/>
      </c>
      <c r="Y10">
        <f>HYPERLINK("https://klasma.github.io/Logging_2518/klagomål/A 34146-2023 FSC-klagomål.docx", "A 34146-2023")</f>
        <v/>
      </c>
      <c r="Z10">
        <f>HYPERLINK("https://klasma.github.io/Logging_2518/klagomålsmail/A 34146-2023 FSC-klagomål mail.docx", "A 34146-2023")</f>
        <v/>
      </c>
      <c r="AA10">
        <f>HYPERLINK("https://klasma.github.io/Logging_2518/tillsyn/A 34146-2023 tillsynsbegäran.docx", "A 34146-2023")</f>
        <v/>
      </c>
      <c r="AB10">
        <f>HYPERLINK("https://klasma.github.io/Logging_2518/tillsynsmail/A 34146-2023 tillsynsbegäran mail.docx", "A 34146-2023")</f>
        <v/>
      </c>
      <c r="AC10">
        <f>HYPERLINK("https://klasma.github.io/Logging_2518/fåglar/A 34146-2023 prioriterade fågelarter.docx", "A 34146-2023")</f>
        <v/>
      </c>
    </row>
    <row r="11" ht="15" customHeight="1">
      <c r="A11" t="inlineStr">
        <is>
          <t>A 65184-2023</t>
        </is>
      </c>
      <c r="B11" t="inlineStr">
        <is>
          <t>avverkningsanmälan</t>
        </is>
      </c>
      <c r="C11" t="inlineStr">
        <is>
          <t>Föryngringsavverkning</t>
        </is>
      </c>
      <c r="D11" s="1" t="n">
        <v>45288</v>
      </c>
      <c r="E11" s="1" t="n">
        <v>46219</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s="2" t="inlineStr">
        <is>
          <t>Garnlav
Gräddporing
Knärot
Dropptaggsvamp
Kolflarnlav
Mörk kolflarnlav
Orange taggsvamp
Äggvaxskivling
Spillkråka</t>
        </is>
      </c>
      <c r="V11">
        <f>HYPERLINK("https://klasma.github.io/Logging_2518/artfynd/A 65184-2023 artfynd.xlsx", "A 65184-2023")</f>
        <v/>
      </c>
      <c r="W11">
        <f>HYPERLINK("https://klasma.github.io/Logging_2518/kartor/A 65184-2023 karta.png", "A 65184-2023")</f>
        <v/>
      </c>
      <c r="X11">
        <f>HYPERLINK("https://klasma.github.io/Logging_2518/knärot/A 65184-2023 karta knärot.png", "A 65184-2023")</f>
        <v/>
      </c>
      <c r="Y11">
        <f>HYPERLINK("https://klasma.github.io/Logging_2518/klagomål/A 65184-2023 FSC-klagomål.docx", "A 65184-2023")</f>
        <v/>
      </c>
      <c r="Z11">
        <f>HYPERLINK("https://klasma.github.io/Logging_2518/klagomålsmail/A 65184-2023 FSC-klagomål mail.docx", "A 65184-2023")</f>
        <v/>
      </c>
      <c r="AA11">
        <f>HYPERLINK("https://klasma.github.io/Logging_2518/tillsyn/A 65184-2023 tillsynsbegäran.docx", "A 65184-2023")</f>
        <v/>
      </c>
      <c r="AB11">
        <f>HYPERLINK("https://klasma.github.io/Logging_2518/tillsynsmail/A 65184-2023 tillsynsbegäran mail.docx", "A 65184-2023")</f>
        <v/>
      </c>
      <c r="AC11">
        <f>HYPERLINK("https://klasma.github.io/Logging_2518/fåglar/A 65184-2023 prioriterade fågelarter.docx", "A 65184-2023")</f>
        <v/>
      </c>
    </row>
    <row r="12" ht="15" customHeight="1">
      <c r="A12" t="inlineStr">
        <is>
          <t>A 9923-2025</t>
        </is>
      </c>
      <c r="B12" t="inlineStr">
        <is>
          <t>avverkningsanmälan</t>
        </is>
      </c>
      <c r="C12" t="inlineStr">
        <is>
          <t>Föryngringsavverkning</t>
        </is>
      </c>
      <c r="D12" s="1" t="n">
        <v>45717</v>
      </c>
      <c r="E12" s="1" t="n">
        <v>46219</v>
      </c>
      <c r="F12" t="inlineStr">
        <is>
          <t>NORRBOTTENS LÄN</t>
        </is>
      </c>
      <c r="G12" t="inlineStr">
        <is>
          <t>ÖVERTORNEÅ</t>
        </is>
      </c>
      <c r="I12" t="n">
        <v>18.6</v>
      </c>
      <c r="J12" t="n">
        <v>2</v>
      </c>
      <c r="K12" t="n">
        <v>3</v>
      </c>
      <c r="L12" t="n">
        <v>4</v>
      </c>
      <c r="M12" t="n">
        <v>1</v>
      </c>
      <c r="N12" t="n">
        <v>0</v>
      </c>
      <c r="O12" t="n">
        <v>0</v>
      </c>
      <c r="P12" t="n">
        <v>0</v>
      </c>
      <c r="Q12" t="n">
        <v>5</v>
      </c>
      <c r="R12" t="n">
        <v>1</v>
      </c>
      <c r="S12" t="n">
        <v>9</v>
      </c>
      <c r="T12" t="n">
        <v>48</v>
      </c>
      <c r="U12" s="2" t="inlineStr">
        <is>
          <t>Garnlav
Kolflarnlav
Tallticka
Tretåig hackspett
Älg
Skinnlav
Stor aspticka
Stuplav
Spillkråka</t>
        </is>
      </c>
      <c r="V12">
        <f>HYPERLINK("https://klasma.github.io/Logging_2518/artfynd/A 9923-2025 artfynd.xlsx", "A 9923-2025")</f>
        <v/>
      </c>
      <c r="W12">
        <f>HYPERLINK("https://klasma.github.io/Logging_2518/kartor/A 9923-2025 karta.png", "A 9923-2025")</f>
        <v/>
      </c>
      <c r="Y12">
        <f>HYPERLINK("https://klasma.github.io/Logging_2518/klagomål/A 9923-2025 FSC-klagomål.docx", "A 9923-2025")</f>
        <v/>
      </c>
      <c r="Z12">
        <f>HYPERLINK("https://klasma.github.io/Logging_2518/klagomålsmail/A 9923-2025 FSC-klagomål mail.docx", "A 9923-2025")</f>
        <v/>
      </c>
      <c r="AA12">
        <f>HYPERLINK("https://klasma.github.io/Logging_2518/tillsyn/A 9923-2025 tillsynsbegäran.docx", "A 9923-2025")</f>
        <v/>
      </c>
      <c r="AB12">
        <f>HYPERLINK("https://klasma.github.io/Logging_2518/tillsynsmail/A 9923-2025 tillsynsbegäran mail.docx", "A 9923-2025")</f>
        <v/>
      </c>
      <c r="AC12">
        <f>HYPERLINK("https://klasma.github.io/Logging_2518/fåglar/A 9923-2025 prioriterade fågelarter.docx", "A 9923-2025")</f>
        <v/>
      </c>
    </row>
    <row r="13" ht="15" customHeight="1">
      <c r="A13" t="inlineStr">
        <is>
          <t>A 39304-2025</t>
        </is>
      </c>
      <c r="B13" t="inlineStr">
        <is>
          <t>avverkningsanmälan</t>
        </is>
      </c>
      <c r="C13" t="inlineStr">
        <is>
          <t>Föryngringsavverkning</t>
        </is>
      </c>
      <c r="D13" s="1" t="n">
        <v>45889</v>
      </c>
      <c r="E13" s="1" t="n">
        <v>46219</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Y13">
        <f>HYPERLINK("https://klasma.github.io/Logging_2518/klagomål/A 39304-2025 FSC-klagomål.docx", "A 39304-2025")</f>
        <v/>
      </c>
      <c r="Z13">
        <f>HYPERLINK("https://klasma.github.io/Logging_2518/klagomålsmail/A 39304-2025 FSC-klagomål mail.docx", "A 39304-2025")</f>
        <v/>
      </c>
      <c r="AA13">
        <f>HYPERLINK("https://klasma.github.io/Logging_2518/tillsyn/A 39304-2025 tillsynsbegäran.docx", "A 39304-2025")</f>
        <v/>
      </c>
      <c r="AB13">
        <f>HYPERLINK("https://klasma.github.io/Logging_2518/tillsynsmail/A 39304-2025 tillsynsbegäran mail.docx", "A 39304-2025")</f>
        <v/>
      </c>
      <c r="AC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46219</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HYPERLINK("https://klasma.github.io/Logging_2518/knärot/A 47047-2024 karta knärot.png", "A 47047-2024")</f>
        <v/>
      </c>
      <c r="Y14">
        <f>HYPERLINK("https://klasma.github.io/Logging_2518/klagomål/A 47047-2024 FSC-klagomål.docx", "A 47047-2024")</f>
        <v/>
      </c>
      <c r="Z14">
        <f>HYPERLINK("https://klasma.github.io/Logging_2518/klagomålsmail/A 47047-2024 FSC-klagomål mail.docx", "A 47047-2024")</f>
        <v/>
      </c>
      <c r="AA14">
        <f>HYPERLINK("https://klasma.github.io/Logging_2518/tillsyn/A 47047-2024 tillsynsbegäran.docx", "A 47047-2024")</f>
        <v/>
      </c>
      <c r="AB14">
        <f>HYPERLINK("https://klasma.github.io/Logging_2518/tillsynsmail/A 47047-2024 tillsynsbegäran mail.docx", "A 47047-2024")</f>
        <v/>
      </c>
      <c r="AC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46219</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s="2" t="inlineStr">
        <is>
          <t>Vitplätt
Norrlandslav
Plattlummer
Skinnlav
Stor aspticka
Vedticka
Spillkråka</t>
        </is>
      </c>
      <c r="V15">
        <f>HYPERLINK("https://klasma.github.io/Logging_2518/artfynd/A 33324-2023 artfynd.xlsx", "A 33324-2023")</f>
        <v/>
      </c>
      <c r="W15">
        <f>HYPERLINK("https://klasma.github.io/Logging_2518/kartor/A 33324-2023 karta.png", "A 33324-2023")</f>
        <v/>
      </c>
      <c r="Y15">
        <f>HYPERLINK("https://klasma.github.io/Logging_2518/klagomål/A 33324-2023 FSC-klagomål.docx", "A 33324-2023")</f>
        <v/>
      </c>
      <c r="Z15">
        <f>HYPERLINK("https://klasma.github.io/Logging_2518/klagomålsmail/A 33324-2023 FSC-klagomål mail.docx", "A 33324-2023")</f>
        <v/>
      </c>
      <c r="AA15">
        <f>HYPERLINK("https://klasma.github.io/Logging_2518/tillsyn/A 33324-2023 tillsynsbegäran.docx", "A 33324-2023")</f>
        <v/>
      </c>
      <c r="AB15">
        <f>HYPERLINK("https://klasma.github.io/Logging_2518/tillsynsmail/A 33324-2023 tillsynsbegäran mail.docx", "A 33324-2023")</f>
        <v/>
      </c>
      <c r="AC15">
        <f>HYPERLINK("https://klasma.github.io/Logging_2518/fåglar/A 33324-2023 prioriterade fågelarter.docx", "A 33324-2023")</f>
        <v/>
      </c>
    </row>
    <row r="16" ht="15" customHeight="1">
      <c r="A16" t="inlineStr">
        <is>
          <t>A 27058-2023</t>
        </is>
      </c>
      <c r="B16" t="inlineStr">
        <is>
          <t>avverkningsanmälan</t>
        </is>
      </c>
      <c r="C16" t="inlineStr">
        <is>
          <t>Föryngringsavverkning</t>
        </is>
      </c>
      <c r="D16" s="1" t="n">
        <v>45096</v>
      </c>
      <c r="E16" s="1" t="n">
        <v>46219</v>
      </c>
      <c r="F16" t="inlineStr">
        <is>
          <t>NORRBOTTENS LÄN</t>
        </is>
      </c>
      <c r="G16" t="inlineStr">
        <is>
          <t>ÖVERTORNEÅ</t>
        </is>
      </c>
      <c r="I16" t="n">
        <v>5.3</v>
      </c>
      <c r="J16" t="n">
        <v>0</v>
      </c>
      <c r="K16" t="n">
        <v>2</v>
      </c>
      <c r="L16" t="n">
        <v>4</v>
      </c>
      <c r="M16" t="n">
        <v>1</v>
      </c>
      <c r="N16" t="n">
        <v>0</v>
      </c>
      <c r="O16" t="n">
        <v>0</v>
      </c>
      <c r="P16" t="n">
        <v>0</v>
      </c>
      <c r="Q16" t="n">
        <v>5</v>
      </c>
      <c r="R16" t="n">
        <v>1</v>
      </c>
      <c r="S16" t="n">
        <v>7</v>
      </c>
      <c r="T16" t="n">
        <v>11</v>
      </c>
      <c r="U16" s="2" t="inlineStr">
        <is>
          <t>Garnlav
Doftskinn
Gammelgransskål
Ullticka
Violmussling
Stor aspticka
Stuplav</t>
        </is>
      </c>
      <c r="V16">
        <f>HYPERLINK("https://klasma.github.io/Logging_2518/artfynd/A 27058-2023 artfynd.xlsx", "A 27058-2023")</f>
        <v/>
      </c>
      <c r="W16">
        <f>HYPERLINK("https://klasma.github.io/Logging_2518/kartor/A 27058-2023 karta.png", "A 27058-2023")</f>
        <v/>
      </c>
      <c r="Y16">
        <f>HYPERLINK("https://klasma.github.io/Logging_2518/klagomål/A 27058-2023 FSC-klagomål.docx", "A 27058-2023")</f>
        <v/>
      </c>
      <c r="Z16">
        <f>HYPERLINK("https://klasma.github.io/Logging_2518/klagomålsmail/A 27058-2023 FSC-klagomål mail.docx", "A 27058-2023")</f>
        <v/>
      </c>
      <c r="AA16">
        <f>HYPERLINK("https://klasma.github.io/Logging_2518/tillsyn/A 27058-2023 tillsynsbegäran.docx", "A 27058-2023")</f>
        <v/>
      </c>
      <c r="AB16">
        <f>HYPERLINK("https://klasma.github.io/Logging_2518/tillsynsmail/A 27058-2023 tillsynsbegäran mail.docx", "A 27058-2023")</f>
        <v/>
      </c>
    </row>
    <row r="17" ht="15" customHeight="1">
      <c r="A17" t="inlineStr">
        <is>
          <t>A 31074-2026</t>
        </is>
      </c>
      <c r="B17" t="inlineStr">
        <is>
          <t>avverkningsanmälan</t>
        </is>
      </c>
      <c r="C17" t="inlineStr">
        <is>
          <t>Föryngringsavverkning</t>
        </is>
      </c>
      <c r="D17" s="1" t="n">
        <v>46216</v>
      </c>
      <c r="E17" s="1" t="n">
        <v>46219</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s="2" t="inlineStr">
        <is>
          <t>Garnlav
Gammelgransskål
Knottrig blåslav
Lappranunkel
Stuplav
Huggorm
Fläcknycklar</t>
        </is>
      </c>
      <c r="V17">
        <f>HYPERLINK("https://klasma.github.io/Logging_2518/artfynd/A 31074-2026 artfynd.xlsx", "A 31074-2026")</f>
        <v/>
      </c>
      <c r="W17">
        <f>HYPERLINK("https://klasma.github.io/Logging_2518/kartor/A 31074-2026 karta.png", "A 31074-2026")</f>
        <v/>
      </c>
      <c r="Y17">
        <f>HYPERLINK("https://klasma.github.io/Logging_2518/klagomål/A 31074-2026 FSC-klagomål.docx", "A 31074-2026")</f>
        <v/>
      </c>
      <c r="Z17">
        <f>HYPERLINK("https://klasma.github.io/Logging_2518/klagomålsmail/A 31074-2026 FSC-klagomål mail.docx", "A 31074-2026")</f>
        <v/>
      </c>
      <c r="AA17">
        <f>HYPERLINK("https://klasma.github.io/Logging_2518/tillsyn/A 31074-2026 tillsynsbegäran.docx", "A 31074-2026")</f>
        <v/>
      </c>
      <c r="AB17">
        <f>HYPERLINK("https://klasma.github.io/Logging_2518/tillsynsmail/A 31074-2026 tillsynsbegäran mail.docx", "A 31074-2026")</f>
        <v/>
      </c>
    </row>
    <row r="18" ht="15" customHeight="1">
      <c r="A18" t="inlineStr">
        <is>
          <t>A 49764-2025</t>
        </is>
      </c>
      <c r="B18" t="inlineStr">
        <is>
          <t>avverkningsanmälan</t>
        </is>
      </c>
      <c r="C18" t="inlineStr">
        <is>
          <t>Föryngringsavverkning</t>
        </is>
      </c>
      <c r="D18" s="1" t="n">
        <v>45940</v>
      </c>
      <c r="E18" s="1" t="n">
        <v>46219</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s="2" t="inlineStr">
        <is>
          <t>Garnlav
Gammelgransskål
Skogshare
Talltita
Järpe
Spillkråka
Utter</t>
        </is>
      </c>
      <c r="V18">
        <f>HYPERLINK("https://klasma.github.io/Logging_2518/artfynd/A 49764-2025 artfynd.xlsx", "A 49764-2025")</f>
        <v/>
      </c>
      <c r="W18">
        <f>HYPERLINK("https://klasma.github.io/Logging_2518/kartor/A 49764-2025 karta.png", "A 49764-2025")</f>
        <v/>
      </c>
      <c r="Y18">
        <f>HYPERLINK("https://klasma.github.io/Logging_2518/klagomål/A 49764-2025 FSC-klagomål.docx", "A 49764-2025")</f>
        <v/>
      </c>
      <c r="Z18">
        <f>HYPERLINK("https://klasma.github.io/Logging_2518/klagomålsmail/A 49764-2025 FSC-klagomål mail.docx", "A 49764-2025")</f>
        <v/>
      </c>
      <c r="AA18">
        <f>HYPERLINK("https://klasma.github.io/Logging_2518/tillsyn/A 49764-2025 tillsynsbegäran.docx", "A 49764-2025")</f>
        <v/>
      </c>
      <c r="AB18">
        <f>HYPERLINK("https://klasma.github.io/Logging_2518/tillsynsmail/A 49764-2025 tillsynsbegäran mail.docx", "A 49764-2025")</f>
        <v/>
      </c>
      <c r="AC18">
        <f>HYPERLINK("https://klasma.github.io/Logging_2518/fåglar/A 49764-2025 prioriterade fågelarter.docx", "A 49764-2025")</f>
        <v/>
      </c>
    </row>
    <row r="19" ht="15" customHeight="1">
      <c r="A19" t="inlineStr">
        <is>
          <t>A 54504-2022</t>
        </is>
      </c>
      <c r="B19" t="inlineStr">
        <is>
          <t>avverkningsanmälan</t>
        </is>
      </c>
      <c r="C19" t="inlineStr">
        <is>
          <t>Avverkning för att bevara och utveckla /försöksver</t>
        </is>
      </c>
      <c r="D19" s="1" t="n">
        <v>44880</v>
      </c>
      <c r="E19" s="1" t="n">
        <v>46219</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s="2" t="inlineStr">
        <is>
          <t>Garnlav
Kandelabersvamp
Barkticka
Norrlandslav
Spillkråka
Revlummer</t>
        </is>
      </c>
      <c r="V19">
        <f>HYPERLINK("https://klasma.github.io/Logging_2518/artfynd/A 54504-2022 artfynd.xlsx", "A 54504-2022")</f>
        <v/>
      </c>
      <c r="W19">
        <f>HYPERLINK("https://klasma.github.io/Logging_2518/kartor/A 54504-2022 karta.png", "A 54504-2022")</f>
        <v/>
      </c>
      <c r="Y19">
        <f>HYPERLINK("https://klasma.github.io/Logging_2518/klagomål/A 54504-2022 FSC-klagomål.docx", "A 54504-2022")</f>
        <v/>
      </c>
      <c r="Z19">
        <f>HYPERLINK("https://klasma.github.io/Logging_2518/klagomålsmail/A 54504-2022 FSC-klagomål mail.docx", "A 54504-2022")</f>
        <v/>
      </c>
      <c r="AA19">
        <f>HYPERLINK("https://klasma.github.io/Logging_2518/tillsyn/A 54504-2022 tillsynsbegäran.docx", "A 54504-2022")</f>
        <v/>
      </c>
      <c r="AB19">
        <f>HYPERLINK("https://klasma.github.io/Logging_2518/tillsynsmail/A 54504-2022 tillsynsbegäran mail.docx", "A 54504-2022")</f>
        <v/>
      </c>
      <c r="AC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46219</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s="2" t="inlineStr">
        <is>
          <t>Garnlav
Luddfingersvamp
Tretåig hackspett
Ullticka
Skinnlav
Spillkråka</t>
        </is>
      </c>
      <c r="V20">
        <f>HYPERLINK("https://klasma.github.io/Logging_2518/artfynd/A 13244-2026 artfynd.xlsx", "A 13244-2026")</f>
        <v/>
      </c>
      <c r="W20">
        <f>HYPERLINK("https://klasma.github.io/Logging_2518/kartor/A 13244-2026 karta.png", "A 13244-2026")</f>
        <v/>
      </c>
      <c r="Y20">
        <f>HYPERLINK("https://klasma.github.io/Logging_2518/klagomål/A 13244-2026 FSC-klagomål.docx", "A 13244-2026")</f>
        <v/>
      </c>
      <c r="Z20">
        <f>HYPERLINK("https://klasma.github.io/Logging_2518/klagomålsmail/A 13244-2026 FSC-klagomål mail.docx", "A 13244-2026")</f>
        <v/>
      </c>
      <c r="AA20">
        <f>HYPERLINK("https://klasma.github.io/Logging_2518/tillsyn/A 13244-2026 tillsynsbegäran.docx", "A 13244-2026")</f>
        <v/>
      </c>
      <c r="AB20">
        <f>HYPERLINK("https://klasma.github.io/Logging_2518/tillsynsmail/A 13244-2026 tillsynsbegäran mail.docx", "A 13244-2026")</f>
        <v/>
      </c>
      <c r="AC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46219</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s="2" t="inlineStr">
        <is>
          <t>Garnlav
Tretåig hackspett
Violmussling
Vedticka
Spillkråka</t>
        </is>
      </c>
      <c r="V21">
        <f>HYPERLINK("https://klasma.github.io/Logging_2518/artfynd/A 22380-2024 artfynd.xlsx", "A 22380-2024")</f>
        <v/>
      </c>
      <c r="W21">
        <f>HYPERLINK("https://klasma.github.io/Logging_2518/kartor/A 22380-2024 karta.png", "A 22380-2024")</f>
        <v/>
      </c>
      <c r="Y21">
        <f>HYPERLINK("https://klasma.github.io/Logging_2518/klagomål/A 22380-2024 FSC-klagomål.docx", "A 22380-2024")</f>
        <v/>
      </c>
      <c r="Z21">
        <f>HYPERLINK("https://klasma.github.io/Logging_2518/klagomålsmail/A 22380-2024 FSC-klagomål mail.docx", "A 22380-2024")</f>
        <v/>
      </c>
      <c r="AA21">
        <f>HYPERLINK("https://klasma.github.io/Logging_2518/tillsyn/A 22380-2024 tillsynsbegäran.docx", "A 22380-2024")</f>
        <v/>
      </c>
      <c r="AB21">
        <f>HYPERLINK("https://klasma.github.io/Logging_2518/tillsynsmail/A 22380-2024 tillsynsbegäran mail.docx", "A 22380-2024")</f>
        <v/>
      </c>
      <c r="AC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46219</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s="2" t="inlineStr">
        <is>
          <t>Garnlav
Lunglav
Tallticka
Spillkråka</t>
        </is>
      </c>
      <c r="V22">
        <f>HYPERLINK("https://klasma.github.io/Logging_2518/artfynd/A 15202-2023 artfynd.xlsx", "A 15202-2023")</f>
        <v/>
      </c>
      <c r="W22">
        <f>HYPERLINK("https://klasma.github.io/Logging_2518/kartor/A 15202-2023 karta.png", "A 15202-2023")</f>
        <v/>
      </c>
      <c r="Y22">
        <f>HYPERLINK("https://klasma.github.io/Logging_2518/klagomål/A 15202-2023 FSC-klagomål.docx", "A 15202-2023")</f>
        <v/>
      </c>
      <c r="Z22">
        <f>HYPERLINK("https://klasma.github.io/Logging_2518/klagomålsmail/A 15202-2023 FSC-klagomål mail.docx", "A 15202-2023")</f>
        <v/>
      </c>
      <c r="AA22">
        <f>HYPERLINK("https://klasma.github.io/Logging_2518/tillsyn/A 15202-2023 tillsynsbegäran.docx", "A 15202-2023")</f>
        <v/>
      </c>
      <c r="AB22">
        <f>HYPERLINK("https://klasma.github.io/Logging_2518/tillsynsmail/A 15202-2023 tillsynsbegäran mail.docx", "A 15202-2023")</f>
        <v/>
      </c>
      <c r="AC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46219</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s="2" t="inlineStr">
        <is>
          <t>Garnlav
Koralltaggsvamp
Lunglav
Fläcknycklar</t>
        </is>
      </c>
      <c r="V23">
        <f>HYPERLINK("https://klasma.github.io/Logging_2518/artfynd/A 31280-2025 artfynd.xlsx", "A 31280-2025")</f>
        <v/>
      </c>
      <c r="W23">
        <f>HYPERLINK("https://klasma.github.io/Logging_2518/kartor/A 31280-2025 karta.png", "A 31280-2025")</f>
        <v/>
      </c>
      <c r="Y23">
        <f>HYPERLINK("https://klasma.github.io/Logging_2518/klagomål/A 31280-2025 FSC-klagomål.docx", "A 31280-2025")</f>
        <v/>
      </c>
      <c r="Z23">
        <f>HYPERLINK("https://klasma.github.io/Logging_2518/klagomålsmail/A 31280-2025 FSC-klagomål mail.docx", "A 31280-2025")</f>
        <v/>
      </c>
      <c r="AA23">
        <f>HYPERLINK("https://klasma.github.io/Logging_2518/tillsyn/A 31280-2025 tillsynsbegäran.docx", "A 31280-2025")</f>
        <v/>
      </c>
      <c r="AB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46219</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s="2" t="inlineStr">
        <is>
          <t>Garnlav
Koralltaggsvamp
Lunglav
Fläcknycklar</t>
        </is>
      </c>
      <c r="V24">
        <f>HYPERLINK("https://klasma.github.io/Logging_2518/artfynd/S 1991-2025 artfynd.xlsx", "S 1991-2025")</f>
        <v/>
      </c>
      <c r="W24">
        <f>HYPERLINK("https://klasma.github.io/Logging_2518/kartor/S 1991-2025 karta.png", "S 1991-2025")</f>
        <v/>
      </c>
      <c r="Y24">
        <f>HYPERLINK("https://klasma.github.io/Logging_2518/klagomål/S 1991-2025 FSC-klagomål.docx", "S 1991-2025")</f>
        <v/>
      </c>
      <c r="Z24">
        <f>HYPERLINK("https://klasma.github.io/Logging_2518/klagomålsmail/S 1991-2025 FSC-klagomål mail.docx", "S 1991-2025")</f>
        <v/>
      </c>
      <c r="AA24">
        <f>HYPERLINK("https://klasma.github.io/Logging_2518/tillsyn/S 1991-2025 tillsynsbegäran.docx", "S 1991-2025")</f>
        <v/>
      </c>
      <c r="AB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46219</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s="2" t="inlineStr">
        <is>
          <t>Knärot
Doftskinn
Gulnål</t>
        </is>
      </c>
      <c r="V25">
        <f>HYPERLINK("https://klasma.github.io/Logging_2518/artfynd/A 46019-2021 artfynd.xlsx", "A 46019-2021")</f>
        <v/>
      </c>
      <c r="W25">
        <f>HYPERLINK("https://klasma.github.io/Logging_2518/kartor/A 46019-2021 karta.png", "A 46019-2021")</f>
        <v/>
      </c>
      <c r="X25">
        <f>HYPERLINK("https://klasma.github.io/Logging_2518/knärot/A 46019-2021 karta knärot.png", "A 46019-2021")</f>
        <v/>
      </c>
      <c r="Y25">
        <f>HYPERLINK("https://klasma.github.io/Logging_2518/klagomål/A 46019-2021 FSC-klagomål.docx", "A 46019-2021")</f>
        <v/>
      </c>
      <c r="Z25">
        <f>HYPERLINK("https://klasma.github.io/Logging_2518/klagomålsmail/A 46019-2021 FSC-klagomål mail.docx", "A 46019-2021")</f>
        <v/>
      </c>
      <c r="AA25">
        <f>HYPERLINK("https://klasma.github.io/Logging_2518/tillsyn/A 46019-2021 tillsynsbegäran.docx", "A 46019-2021")</f>
        <v/>
      </c>
      <c r="AB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46219</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s="2" t="inlineStr">
        <is>
          <t>Garnlav
Lavskrika
Revlummer</t>
        </is>
      </c>
      <c r="V26">
        <f>HYPERLINK("https://klasma.github.io/Logging_2518/artfynd/A 48789-2021 artfynd.xlsx", "A 48789-2021")</f>
        <v/>
      </c>
      <c r="W26">
        <f>HYPERLINK("https://klasma.github.io/Logging_2518/kartor/A 48789-2021 karta.png", "A 48789-2021")</f>
        <v/>
      </c>
      <c r="Y26">
        <f>HYPERLINK("https://klasma.github.io/Logging_2518/klagomål/A 48789-2021 FSC-klagomål.docx", "A 48789-2021")</f>
        <v/>
      </c>
      <c r="Z26">
        <f>HYPERLINK("https://klasma.github.io/Logging_2518/klagomålsmail/A 48789-2021 FSC-klagomål mail.docx", "A 48789-2021")</f>
        <v/>
      </c>
      <c r="AA26">
        <f>HYPERLINK("https://klasma.github.io/Logging_2518/tillsyn/A 48789-2021 tillsynsbegäran.docx", "A 48789-2021")</f>
        <v/>
      </c>
      <c r="AB26">
        <f>HYPERLINK("https://klasma.github.io/Logging_2518/tillsynsmail/A 48789-2021 tillsynsbegäran mail.docx", "A 48789-2021")</f>
        <v/>
      </c>
      <c r="AC26">
        <f>HYPERLINK("https://klasma.github.io/Logging_2518/fåglar/A 48789-2021 prioriterade fågelarter.docx", "A 48789-2021")</f>
        <v/>
      </c>
    </row>
    <row r="27" ht="15" customHeight="1">
      <c r="A27" t="inlineStr">
        <is>
          <t>A 30049-2026</t>
        </is>
      </c>
      <c r="B27" t="inlineStr">
        <is>
          <t>avverkningsanmälan</t>
        </is>
      </c>
      <c r="C27" t="inlineStr">
        <is>
          <t>Föryngringsavverkning</t>
        </is>
      </c>
      <c r="D27" s="1" t="n">
        <v>46206</v>
      </c>
      <c r="E27" s="1" t="n">
        <v>46219</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s="2" t="inlineStr">
        <is>
          <t>Lunglav
Rosenticka
Ullticka</t>
        </is>
      </c>
      <c r="V27">
        <f>HYPERLINK("https://klasma.github.io/Logging_2518/artfynd/A 30049-2026 artfynd.xlsx", "A 30049-2026")</f>
        <v/>
      </c>
      <c r="W27">
        <f>HYPERLINK("https://klasma.github.io/Logging_2518/kartor/A 30049-2026 karta.png", "A 30049-2026")</f>
        <v/>
      </c>
      <c r="Y27">
        <f>HYPERLINK("https://klasma.github.io/Logging_2518/klagomål/A 30049-2026 FSC-klagomål.docx", "A 30049-2026")</f>
        <v/>
      </c>
      <c r="Z27">
        <f>HYPERLINK("https://klasma.github.io/Logging_2518/klagomålsmail/A 30049-2026 FSC-klagomål mail.docx", "A 30049-2026")</f>
        <v/>
      </c>
      <c r="AA27">
        <f>HYPERLINK("https://klasma.github.io/Logging_2518/tillsyn/A 30049-2026 tillsynsbegäran.docx", "A 30049-2026")</f>
        <v/>
      </c>
      <c r="AB27">
        <f>HYPERLINK("https://klasma.github.io/Logging_2518/tillsynsmail/A 30049-2026 tillsynsbegäran mail.docx", "A 30049-2026")</f>
        <v/>
      </c>
    </row>
    <row r="28" ht="15" customHeight="1">
      <c r="A28" t="inlineStr">
        <is>
          <t>A 58447-2025</t>
        </is>
      </c>
      <c r="B28" t="inlineStr">
        <is>
          <t>avverkningsanmälan</t>
        </is>
      </c>
      <c r="C28" t="inlineStr">
        <is>
          <t>Föryngringsavverkning</t>
        </is>
      </c>
      <c r="D28" s="1" t="n">
        <v>45985</v>
      </c>
      <c r="E28" s="1" t="n">
        <v>46219</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s="2" t="inlineStr">
        <is>
          <t>Garnlav
Spindelblomster
Spillkråka</t>
        </is>
      </c>
      <c r="V28">
        <f>HYPERLINK("https://klasma.github.io/Logging_2518/artfynd/A 58447-2025 artfynd.xlsx", "A 58447-2025")</f>
        <v/>
      </c>
      <c r="W28">
        <f>HYPERLINK("https://klasma.github.io/Logging_2518/kartor/A 58447-2025 karta.png", "A 58447-2025")</f>
        <v/>
      </c>
      <c r="Y28">
        <f>HYPERLINK("https://klasma.github.io/Logging_2518/klagomål/A 58447-2025 FSC-klagomål.docx", "A 58447-2025")</f>
        <v/>
      </c>
      <c r="Z28">
        <f>HYPERLINK("https://klasma.github.io/Logging_2518/klagomålsmail/A 58447-2025 FSC-klagomål mail.docx", "A 58447-2025")</f>
        <v/>
      </c>
      <c r="AA28">
        <f>HYPERLINK("https://klasma.github.io/Logging_2518/tillsyn/A 58447-2025 tillsynsbegäran.docx", "A 58447-2025")</f>
        <v/>
      </c>
      <c r="AB28">
        <f>HYPERLINK("https://klasma.github.io/Logging_2518/tillsynsmail/A 58447-2025 tillsynsbegäran mail.docx", "A 58447-2025")</f>
        <v/>
      </c>
      <c r="AC28">
        <f>HYPERLINK("https://klasma.github.io/Logging_2518/fåglar/A 58447-2025 prioriterade fågelarter.docx", "A 58447-2025")</f>
        <v/>
      </c>
    </row>
    <row r="29" ht="15" customHeight="1">
      <c r="A29" t="inlineStr">
        <is>
          <t>A 19133-2023</t>
        </is>
      </c>
      <c r="B29" t="inlineStr">
        <is>
          <t>avverkningsanmälan</t>
        </is>
      </c>
      <c r="C29" t="inlineStr">
        <is>
          <t>Föryngringsavverkning</t>
        </is>
      </c>
      <c r="D29" s="1" t="n">
        <v>45044</v>
      </c>
      <c r="E29" s="1" t="n">
        <v>46219</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s="2" t="inlineStr">
        <is>
          <t>Garnlav
Järpe
Spillkråka</t>
        </is>
      </c>
      <c r="V29">
        <f>HYPERLINK("https://klasma.github.io/Logging_2518/artfynd/A 19133-2023 artfynd.xlsx", "A 19133-2023")</f>
        <v/>
      </c>
      <c r="W29">
        <f>HYPERLINK("https://klasma.github.io/Logging_2518/kartor/A 19133-2023 karta.png", "A 19133-2023")</f>
        <v/>
      </c>
      <c r="Y29">
        <f>HYPERLINK("https://klasma.github.io/Logging_2518/klagomål/A 19133-2023 FSC-klagomål.docx", "A 19133-2023")</f>
        <v/>
      </c>
      <c r="Z29">
        <f>HYPERLINK("https://klasma.github.io/Logging_2518/klagomålsmail/A 19133-2023 FSC-klagomål mail.docx", "A 19133-2023")</f>
        <v/>
      </c>
      <c r="AA29">
        <f>HYPERLINK("https://klasma.github.io/Logging_2518/tillsyn/A 19133-2023 tillsynsbegäran.docx", "A 19133-2023")</f>
        <v/>
      </c>
      <c r="AB29">
        <f>HYPERLINK("https://klasma.github.io/Logging_2518/tillsynsmail/A 19133-2023 tillsynsbegäran mail.docx", "A 19133-2023")</f>
        <v/>
      </c>
      <c r="AC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46219</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s="2" t="inlineStr">
        <is>
          <t>Garnlav
Gammelgransskål</t>
        </is>
      </c>
      <c r="V30">
        <f>HYPERLINK("https://klasma.github.io/Logging_2518/artfynd/A 43057-2022 artfynd.xlsx", "A 43057-2022")</f>
        <v/>
      </c>
      <c r="W30">
        <f>HYPERLINK("https://klasma.github.io/Logging_2518/kartor/A 43057-2022 karta.png", "A 43057-2022")</f>
        <v/>
      </c>
      <c r="Y30">
        <f>HYPERLINK("https://klasma.github.io/Logging_2518/klagomål/A 43057-2022 FSC-klagomål.docx", "A 43057-2022")</f>
        <v/>
      </c>
      <c r="Z30">
        <f>HYPERLINK("https://klasma.github.io/Logging_2518/klagomålsmail/A 43057-2022 FSC-klagomål mail.docx", "A 43057-2022")</f>
        <v/>
      </c>
      <c r="AA30">
        <f>HYPERLINK("https://klasma.github.io/Logging_2518/tillsyn/A 43057-2022 tillsynsbegäran.docx", "A 43057-2022")</f>
        <v/>
      </c>
      <c r="AB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46219</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s="2" t="inlineStr">
        <is>
          <t>Garnlav
Större flatbagge</t>
        </is>
      </c>
      <c r="V31">
        <f>HYPERLINK("https://klasma.github.io/Logging_2518/artfynd/A 25309-2024 artfynd.xlsx", "A 25309-2024")</f>
        <v/>
      </c>
      <c r="W31">
        <f>HYPERLINK("https://klasma.github.io/Logging_2518/kartor/A 25309-2024 karta.png", "A 25309-2024")</f>
        <v/>
      </c>
      <c r="Y31">
        <f>HYPERLINK("https://klasma.github.io/Logging_2518/klagomål/A 25309-2024 FSC-klagomål.docx", "A 25309-2024")</f>
        <v/>
      </c>
      <c r="Z31">
        <f>HYPERLINK("https://klasma.github.io/Logging_2518/klagomålsmail/A 25309-2024 FSC-klagomål mail.docx", "A 25309-2024")</f>
        <v/>
      </c>
      <c r="AA31">
        <f>HYPERLINK("https://klasma.github.io/Logging_2518/tillsyn/A 25309-2024 tillsynsbegäran.docx", "A 25309-2024")</f>
        <v/>
      </c>
      <c r="AB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46219</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s="2" t="inlineStr">
        <is>
          <t>Fläcknycklar</t>
        </is>
      </c>
      <c r="V32">
        <f>HYPERLINK("https://klasma.github.io/Logging_2518/artfynd/A 43055-2022 artfynd.xlsx", "A 43055-2022")</f>
        <v/>
      </c>
      <c r="W32">
        <f>HYPERLINK("https://klasma.github.io/Logging_2518/kartor/A 43055-2022 karta.png", "A 43055-2022")</f>
        <v/>
      </c>
      <c r="Y32">
        <f>HYPERLINK("https://klasma.github.io/Logging_2518/klagomål/A 43055-2022 FSC-klagomål.docx", "A 43055-2022")</f>
        <v/>
      </c>
      <c r="Z32">
        <f>HYPERLINK("https://klasma.github.io/Logging_2518/klagomålsmail/A 43055-2022 FSC-klagomål mail.docx", "A 43055-2022")</f>
        <v/>
      </c>
      <c r="AA32">
        <f>HYPERLINK("https://klasma.github.io/Logging_2518/tillsyn/A 43055-2022 tillsynsbegäran.docx", "A 43055-2022")</f>
        <v/>
      </c>
      <c r="AB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46219</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s="2" t="inlineStr">
        <is>
          <t>Grönpyrola</t>
        </is>
      </c>
      <c r="V33">
        <f>HYPERLINK("https://klasma.github.io/Logging_2518/artfynd/A 1090-2022 artfynd.xlsx", "A 1090-2022")</f>
        <v/>
      </c>
      <c r="W33">
        <f>HYPERLINK("https://klasma.github.io/Logging_2518/kartor/A 1090-2022 karta.png", "A 1090-2022")</f>
        <v/>
      </c>
      <c r="Y33">
        <f>HYPERLINK("https://klasma.github.io/Logging_2518/klagomål/A 1090-2022 FSC-klagomål.docx", "A 1090-2022")</f>
        <v/>
      </c>
      <c r="Z33">
        <f>HYPERLINK("https://klasma.github.io/Logging_2518/klagomålsmail/A 1090-2022 FSC-klagomål mail.docx", "A 1090-2022")</f>
        <v/>
      </c>
      <c r="AA33">
        <f>HYPERLINK("https://klasma.github.io/Logging_2518/tillsyn/A 1090-2022 tillsynsbegäran.docx", "A 1090-2022")</f>
        <v/>
      </c>
      <c r="AB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46219</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s="2" t="inlineStr">
        <is>
          <t>Stor aspticka</t>
        </is>
      </c>
      <c r="V34">
        <f>HYPERLINK("https://klasma.github.io/Logging_2518/artfynd/A 34186-2022 artfynd.xlsx", "A 34186-2022")</f>
        <v/>
      </c>
      <c r="W34">
        <f>HYPERLINK("https://klasma.github.io/Logging_2518/kartor/A 34186-2022 karta.png", "A 34186-2022")</f>
        <v/>
      </c>
      <c r="Y34">
        <f>HYPERLINK("https://klasma.github.io/Logging_2518/klagomål/A 34186-2022 FSC-klagomål.docx", "A 34186-2022")</f>
        <v/>
      </c>
      <c r="Z34">
        <f>HYPERLINK("https://klasma.github.io/Logging_2518/klagomålsmail/A 34186-2022 FSC-klagomål mail.docx", "A 34186-2022")</f>
        <v/>
      </c>
      <c r="AA34">
        <f>HYPERLINK("https://klasma.github.io/Logging_2518/tillsyn/A 34186-2022 tillsynsbegäran.docx", "A 34186-2022")</f>
        <v/>
      </c>
      <c r="AB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46219</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s="2" t="inlineStr">
        <is>
          <t>Garnlav</t>
        </is>
      </c>
      <c r="V35">
        <f>HYPERLINK("https://klasma.github.io/Logging_2518/artfynd/A 18489-2024 artfynd.xlsx", "A 18489-2024")</f>
        <v/>
      </c>
      <c r="W35">
        <f>HYPERLINK("https://klasma.github.io/Logging_2518/kartor/A 18489-2024 karta.png", "A 18489-2024")</f>
        <v/>
      </c>
      <c r="Y35">
        <f>HYPERLINK("https://klasma.github.io/Logging_2518/klagomål/A 18489-2024 FSC-klagomål.docx", "A 18489-2024")</f>
        <v/>
      </c>
      <c r="Z35">
        <f>HYPERLINK("https://klasma.github.io/Logging_2518/klagomålsmail/A 18489-2024 FSC-klagomål mail.docx", "A 18489-2024")</f>
        <v/>
      </c>
      <c r="AA35">
        <f>HYPERLINK("https://klasma.github.io/Logging_2518/tillsyn/A 18489-2024 tillsynsbegäran.docx", "A 18489-2024")</f>
        <v/>
      </c>
      <c r="AB35">
        <f>HYPERLINK("https://klasma.github.io/Logging_2518/tillsynsmail/A 18489-2024 tillsynsbegäran mail.docx", "A 18489-2024")</f>
        <v/>
      </c>
    </row>
    <row r="36" ht="15" customHeight="1">
      <c r="A36" t="inlineStr">
        <is>
          <t>A 24802-2026</t>
        </is>
      </c>
      <c r="B36" t="inlineStr">
        <is>
          <t>avverkningsanmälan</t>
        </is>
      </c>
      <c r="C36" t="inlineStr">
        <is>
          <t>Föryngringsavverkning</t>
        </is>
      </c>
      <c r="D36" s="1" t="n">
        <v>46171</v>
      </c>
      <c r="E36" s="1" t="n">
        <v>46219</v>
      </c>
      <c r="F36" t="inlineStr">
        <is>
          <t>NORRBOTTENS LÄN</t>
        </is>
      </c>
      <c r="G36" t="inlineStr">
        <is>
          <t>ÖVERTORNEÅ</t>
        </is>
      </c>
      <c r="H36" t="inlineStr">
        <is>
          <t>Sveaskog</t>
        </is>
      </c>
      <c r="I36" t="n">
        <v>32.6</v>
      </c>
      <c r="J36" t="n">
        <v>0</v>
      </c>
      <c r="K36" t="n">
        <v>0</v>
      </c>
      <c r="L36" t="n">
        <v>1</v>
      </c>
      <c r="M36" t="n">
        <v>0</v>
      </c>
      <c r="N36" t="n">
        <v>0</v>
      </c>
      <c r="O36" t="n">
        <v>0</v>
      </c>
      <c r="P36" t="n">
        <v>0</v>
      </c>
      <c r="Q36" t="n">
        <v>1</v>
      </c>
      <c r="R36" t="n">
        <v>0</v>
      </c>
      <c r="S36" t="n">
        <v>1</v>
      </c>
      <c r="T36" t="n">
        <v>1</v>
      </c>
      <c r="U36" s="2" t="inlineStr">
        <is>
          <t>Doftskinn</t>
        </is>
      </c>
      <c r="V36">
        <f>HYPERLINK("https://klasma.github.io/Logging_2518/artfynd/A 24802-2026 artfynd.xlsx", "A 24802-2026")</f>
        <v/>
      </c>
      <c r="W36">
        <f>HYPERLINK("https://klasma.github.io/Logging_2518/kartor/A 24802-2026 karta.png", "A 24802-2026")</f>
        <v/>
      </c>
      <c r="Y36">
        <f>HYPERLINK("https://klasma.github.io/Logging_2518/klagomål/A 24802-2026 FSC-klagomål.docx", "A 24802-2026")</f>
        <v/>
      </c>
      <c r="Z36">
        <f>HYPERLINK("https://klasma.github.io/Logging_2518/klagomålsmail/A 24802-2026 FSC-klagomål mail.docx", "A 24802-2026")</f>
        <v/>
      </c>
      <c r="AA36">
        <f>HYPERLINK("https://klasma.github.io/Logging_2518/tillsyn/A 24802-2026 tillsynsbegäran.docx", "A 24802-2026")</f>
        <v/>
      </c>
      <c r="AB36">
        <f>HYPERLINK("https://klasma.github.io/Logging_2518/tillsynsmail/A 24802-2026 tillsynsbegäran mail.docx", "A 24802-2026")</f>
        <v/>
      </c>
    </row>
    <row r="37" ht="15" customHeight="1">
      <c r="A37" t="inlineStr">
        <is>
          <t>A 4012-2022</t>
        </is>
      </c>
      <c r="B37" t="inlineStr">
        <is>
          <t>avverkningsanmälan</t>
        </is>
      </c>
      <c r="C37" t="inlineStr">
        <is>
          <t>Avverkning för annat ändamål</t>
        </is>
      </c>
      <c r="D37" s="1" t="n">
        <v>44587</v>
      </c>
      <c r="E37" s="1" t="n">
        <v>46219</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s="2" t="inlineStr">
        <is>
          <t>Busksångare</t>
        </is>
      </c>
      <c r="V37">
        <f>HYPERLINK("https://klasma.github.io/Logging_2518/artfynd/A 4012-2022 artfynd.xlsx", "A 4012-2022")</f>
        <v/>
      </c>
      <c r="W37">
        <f>HYPERLINK("https://klasma.github.io/Logging_2518/kartor/A 4012-2022 karta.png", "A 4012-2022")</f>
        <v/>
      </c>
      <c r="Y37">
        <f>HYPERLINK("https://klasma.github.io/Logging_2518/klagomål/A 4012-2022 FSC-klagomål.docx", "A 4012-2022")</f>
        <v/>
      </c>
      <c r="Z37">
        <f>HYPERLINK("https://klasma.github.io/Logging_2518/klagomålsmail/A 4012-2022 FSC-klagomål mail.docx", "A 4012-2022")</f>
        <v/>
      </c>
      <c r="AA37">
        <f>HYPERLINK("https://klasma.github.io/Logging_2518/tillsyn/A 4012-2022 tillsynsbegäran.docx", "A 4012-2022")</f>
        <v/>
      </c>
      <c r="AB37">
        <f>HYPERLINK("https://klasma.github.io/Logging_2518/tillsynsmail/A 4012-2022 tillsynsbegäran mail.docx", "A 4012-2022")</f>
        <v/>
      </c>
    </row>
    <row r="38" ht="15" customHeight="1">
      <c r="A38" t="inlineStr">
        <is>
          <t>A 46378-2023</t>
        </is>
      </c>
      <c r="B38" t="inlineStr">
        <is>
          <t>avverkningsanmälan</t>
        </is>
      </c>
      <c r="C38" t="inlineStr">
        <is>
          <t>Föryngringsavverkning</t>
        </is>
      </c>
      <c r="D38" s="1" t="n">
        <v>45197</v>
      </c>
      <c r="E38" s="1" t="n">
        <v>46219</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s="2" t="inlineStr">
        <is>
          <t>Kungsörn</t>
        </is>
      </c>
      <c r="V38">
        <f>HYPERLINK("https://klasma.github.io/Logging_2518/artfynd/A 46378-2023 artfynd.xlsx", "A 46378-2023")</f>
        <v/>
      </c>
      <c r="W38">
        <f>HYPERLINK("https://klasma.github.io/Logging_2518/kartor/A 46378-2023 karta.png", "A 46378-2023")</f>
        <v/>
      </c>
      <c r="Y38">
        <f>HYPERLINK("https://klasma.github.io/Logging_2518/klagomål/A 46378-2023 FSC-klagomål.docx", "A 46378-2023")</f>
        <v/>
      </c>
      <c r="Z38">
        <f>HYPERLINK("https://klasma.github.io/Logging_2518/klagomålsmail/A 46378-2023 FSC-klagomål mail.docx", "A 46378-2023")</f>
        <v/>
      </c>
      <c r="AA38">
        <f>HYPERLINK("https://klasma.github.io/Logging_2518/tillsyn/A 46378-2023 tillsynsbegäran.docx", "A 46378-2023")</f>
        <v/>
      </c>
      <c r="AB38">
        <f>HYPERLINK("https://klasma.github.io/Logging_2518/tillsynsmail/A 46378-2023 tillsynsbegäran mail.docx", "A 46378-2023")</f>
        <v/>
      </c>
      <c r="AC38">
        <f>HYPERLINK("https://klasma.github.io/Logging_2518/fåglar/A 46378-2023 prioriterade fågelarter.docx", "A 46378-2023")</f>
        <v/>
      </c>
    </row>
    <row r="39" ht="15" customHeight="1">
      <c r="A39" t="inlineStr">
        <is>
          <t>A 4767-2026</t>
        </is>
      </c>
      <c r="B39" t="inlineStr">
        <is>
          <t>avverkningsanmälan</t>
        </is>
      </c>
      <c r="C39" t="inlineStr">
        <is>
          <t>Föryngringsavverkning</t>
        </is>
      </c>
      <c r="D39" s="1" t="n">
        <v>46048</v>
      </c>
      <c r="E39" s="1" t="n">
        <v>46219</v>
      </c>
      <c r="F39" t="inlineStr">
        <is>
          <t>NORRBOTTENS LÄN</t>
        </is>
      </c>
      <c r="G39" t="inlineStr">
        <is>
          <t>ÖVERTORNEÅ</t>
        </is>
      </c>
      <c r="I39" t="n">
        <v>0.8</v>
      </c>
      <c r="J39" t="n">
        <v>0</v>
      </c>
      <c r="K39" t="n">
        <v>0</v>
      </c>
      <c r="L39" t="n">
        <v>0</v>
      </c>
      <c r="M39" t="n">
        <v>1</v>
      </c>
      <c r="N39" t="n">
        <v>0</v>
      </c>
      <c r="O39" t="n">
        <v>0</v>
      </c>
      <c r="P39" t="n">
        <v>0</v>
      </c>
      <c r="Q39" t="n">
        <v>1</v>
      </c>
      <c r="R39" t="n">
        <v>1</v>
      </c>
      <c r="S39" t="n">
        <v>1</v>
      </c>
      <c r="T39" t="n">
        <v>1</v>
      </c>
      <c r="U39" s="2" t="inlineStr">
        <is>
          <t>Silverblåvinge</t>
        </is>
      </c>
      <c r="V39">
        <f>HYPERLINK("https://klasma.github.io/Logging_2518/artfynd/A 4767-2026 artfynd.xlsx", "A 4767-2026")</f>
        <v/>
      </c>
      <c r="W39">
        <f>HYPERLINK("https://klasma.github.io/Logging_2518/kartor/A 4767-2026 karta.png", "A 4767-2026")</f>
        <v/>
      </c>
      <c r="Y39">
        <f>HYPERLINK("https://klasma.github.io/Logging_2518/klagomål/A 4767-2026 FSC-klagomål.docx", "A 4767-2026")</f>
        <v/>
      </c>
      <c r="Z39">
        <f>HYPERLINK("https://klasma.github.io/Logging_2518/klagomålsmail/A 4767-2026 FSC-klagomål mail.docx", "A 4767-2026")</f>
        <v/>
      </c>
      <c r="AA39">
        <f>HYPERLINK("https://klasma.github.io/Logging_2518/tillsyn/A 4767-2026 tillsynsbegäran.docx", "A 4767-2026")</f>
        <v/>
      </c>
      <c r="AB39">
        <f>HYPERLINK("https://klasma.github.io/Logging_2518/tillsynsmail/A 4767-2026 tillsynsbegäran mail.docx", "A 4767-2026")</f>
        <v/>
      </c>
    </row>
    <row r="40" ht="15" customHeight="1">
      <c r="A40" t="inlineStr">
        <is>
          <t>A 26502-2025</t>
        </is>
      </c>
      <c r="B40" t="inlineStr">
        <is>
          <t>avverkningsanmälan</t>
        </is>
      </c>
      <c r="C40" t="inlineStr">
        <is>
          <t>Föryngringsavverkning</t>
        </is>
      </c>
      <c r="D40" s="1" t="n">
        <v>45807</v>
      </c>
      <c r="E40" s="1" t="n">
        <v>46219</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s="2" t="inlineStr">
        <is>
          <t>Gammelgransskål</t>
        </is>
      </c>
      <c r="V40">
        <f>HYPERLINK("https://klasma.github.io/Logging_2518/artfynd/A 26502-2025 artfynd.xlsx", "A 26502-2025")</f>
        <v/>
      </c>
      <c r="W40">
        <f>HYPERLINK("https://klasma.github.io/Logging_2518/kartor/A 26502-2025 karta.png", "A 26502-2025")</f>
        <v/>
      </c>
      <c r="Y40">
        <f>HYPERLINK("https://klasma.github.io/Logging_2518/klagomål/A 26502-2025 FSC-klagomål.docx", "A 26502-2025")</f>
        <v/>
      </c>
      <c r="Z40">
        <f>HYPERLINK("https://klasma.github.io/Logging_2518/klagomålsmail/A 26502-2025 FSC-klagomål mail.docx", "A 26502-2025")</f>
        <v/>
      </c>
      <c r="AA40">
        <f>HYPERLINK("https://klasma.github.io/Logging_2518/tillsyn/A 26502-2025 tillsynsbegäran.docx", "A 26502-2025")</f>
        <v/>
      </c>
      <c r="AB40">
        <f>HYPERLINK("https://klasma.github.io/Logging_2518/tillsynsmail/A 26502-2025 tillsynsbegäran mail.docx", "A 26502-2025")</f>
        <v/>
      </c>
    </row>
    <row r="41" ht="15" customHeight="1">
      <c r="A41" t="inlineStr">
        <is>
          <t>A 30651-2023</t>
        </is>
      </c>
      <c r="B41" t="inlineStr">
        <is>
          <t>avverkningsanmälan</t>
        </is>
      </c>
      <c r="C41" t="inlineStr">
        <is>
          <t>Föryngringsavverkning</t>
        </is>
      </c>
      <c r="D41" s="1" t="n">
        <v>45112</v>
      </c>
      <c r="E41" s="1" t="n">
        <v>46219</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s="2" t="inlineStr">
        <is>
          <t>Klotstarr</t>
        </is>
      </c>
      <c r="V41">
        <f>HYPERLINK("https://klasma.github.io/Logging_2518/artfynd/A 30651-2023 artfynd.xlsx", "A 30651-2023")</f>
        <v/>
      </c>
      <c r="W41">
        <f>HYPERLINK("https://klasma.github.io/Logging_2518/kartor/A 30651-2023 karta.png", "A 30651-2023")</f>
        <v/>
      </c>
      <c r="Y41">
        <f>HYPERLINK("https://klasma.github.io/Logging_2518/klagomål/A 30651-2023 FSC-klagomål.docx", "A 30651-2023")</f>
        <v/>
      </c>
      <c r="Z41">
        <f>HYPERLINK("https://klasma.github.io/Logging_2518/klagomålsmail/A 30651-2023 FSC-klagomål mail.docx", "A 30651-2023")</f>
        <v/>
      </c>
      <c r="AA41">
        <f>HYPERLINK("https://klasma.github.io/Logging_2518/tillsyn/A 30651-2023 tillsynsbegäran.docx", "A 30651-2023")</f>
        <v/>
      </c>
      <c r="AB41">
        <f>HYPERLINK("https://klasma.github.io/Logging_2518/tillsynsmail/A 30651-2023 tillsynsbegäran mail.docx", "A 30651-2023")</f>
        <v/>
      </c>
    </row>
    <row r="42" ht="15" customHeight="1">
      <c r="A42" t="inlineStr">
        <is>
          <t>A 30784-2025</t>
        </is>
      </c>
      <c r="B42" t="inlineStr">
        <is>
          <t>avverkningsanmälan</t>
        </is>
      </c>
      <c r="C42" t="inlineStr">
        <is>
          <t>Föryngringsavverkning</t>
        </is>
      </c>
      <c r="D42" s="1" t="n">
        <v>45831</v>
      </c>
      <c r="E42" s="1" t="n">
        <v>46219</v>
      </c>
      <c r="F42" t="inlineStr">
        <is>
          <t>NORRBOTTENS LÄN</t>
        </is>
      </c>
      <c r="G42" t="inlineStr">
        <is>
          <t>ÖVERTORNEÅ</t>
        </is>
      </c>
      <c r="H42" t="inlineStr">
        <is>
          <t>Sveaskog</t>
        </is>
      </c>
      <c r="I42" t="n">
        <v>12.4</v>
      </c>
      <c r="J42" t="n">
        <v>1</v>
      </c>
      <c r="K42" t="n">
        <v>0</v>
      </c>
      <c r="L42" t="n">
        <v>0</v>
      </c>
      <c r="M42" t="n">
        <v>0</v>
      </c>
      <c r="N42" t="n">
        <v>0</v>
      </c>
      <c r="O42" t="n">
        <v>0</v>
      </c>
      <c r="P42" t="n">
        <v>0</v>
      </c>
      <c r="Q42" t="n">
        <v>0</v>
      </c>
      <c r="R42" t="n">
        <v>0</v>
      </c>
      <c r="S42" t="n">
        <v>1</v>
      </c>
      <c r="T42" t="n">
        <v>2</v>
      </c>
      <c r="U42" s="2" t="inlineStr">
        <is>
          <t>Fläcknycklar</t>
        </is>
      </c>
      <c r="V42">
        <f>HYPERLINK("https://klasma.github.io/Logging_2518/artfynd/A 30784-2025 artfynd.xlsx", "A 30784-2025")</f>
        <v/>
      </c>
      <c r="W42">
        <f>HYPERLINK("https://klasma.github.io/Logging_2518/kartor/A 30784-2025 karta.png", "A 30784-2025")</f>
        <v/>
      </c>
      <c r="Y42">
        <f>HYPERLINK("https://klasma.github.io/Logging_2518/klagomål/A 30784-2025 FSC-klagomål.docx", "A 30784-2025")</f>
        <v/>
      </c>
      <c r="Z42">
        <f>HYPERLINK("https://klasma.github.io/Logging_2518/klagomålsmail/A 30784-2025 FSC-klagomål mail.docx", "A 30784-2025")</f>
        <v/>
      </c>
      <c r="AA42">
        <f>HYPERLINK("https://klasma.github.io/Logging_2518/tillsyn/A 30784-2025 tillsynsbegäran.docx", "A 30784-2025")</f>
        <v/>
      </c>
      <c r="AB42">
        <f>HYPERLINK("https://klasma.github.io/Logging_2518/tillsynsmail/A 30784-2025 tillsynsbegäran mail.docx", "A 30784-2025")</f>
        <v/>
      </c>
    </row>
    <row r="43" ht="15" customHeight="1">
      <c r="A43" t="inlineStr">
        <is>
          <t>A 34325-2025</t>
        </is>
      </c>
      <c r="B43" t="inlineStr">
        <is>
          <t>avverkningsanmälan</t>
        </is>
      </c>
      <c r="C43" t="inlineStr">
        <is>
          <t>Föryngringsavverkning</t>
        </is>
      </c>
      <c r="D43" s="1" t="n">
        <v>45846</v>
      </c>
      <c r="E43" s="1" t="n">
        <v>46219</v>
      </c>
      <c r="F43" t="inlineStr">
        <is>
          <t>NORRBOTTENS LÄN</t>
        </is>
      </c>
      <c r="G43" t="inlineStr">
        <is>
          <t>ÖVERTORNEÅ</t>
        </is>
      </c>
      <c r="H43" t="inlineStr">
        <is>
          <t>Sveaskog</t>
        </is>
      </c>
      <c r="I43" t="n">
        <v>3.8</v>
      </c>
      <c r="J43" t="n">
        <v>1</v>
      </c>
      <c r="K43" t="n">
        <v>0</v>
      </c>
      <c r="L43" t="n">
        <v>0</v>
      </c>
      <c r="M43" t="n">
        <v>0</v>
      </c>
      <c r="N43" t="n">
        <v>0</v>
      </c>
      <c r="O43" t="n">
        <v>0</v>
      </c>
      <c r="P43" t="n">
        <v>0</v>
      </c>
      <c r="Q43" t="n">
        <v>0</v>
      </c>
      <c r="R43" t="n">
        <v>0</v>
      </c>
      <c r="S43" t="n">
        <v>1</v>
      </c>
      <c r="T43" t="n">
        <v>1</v>
      </c>
      <c r="U43" s="2" t="inlineStr">
        <is>
          <t>Fläcknycklar</t>
        </is>
      </c>
      <c r="V43">
        <f>HYPERLINK("https://klasma.github.io/Logging_2518/artfynd/A 34325-2025 artfynd.xlsx", "A 34325-2025")</f>
        <v/>
      </c>
      <c r="W43">
        <f>HYPERLINK("https://klasma.github.io/Logging_2518/kartor/A 34325-2025 karta.png", "A 34325-2025")</f>
        <v/>
      </c>
      <c r="Y43">
        <f>HYPERLINK("https://klasma.github.io/Logging_2518/klagomål/A 34325-2025 FSC-klagomål.docx", "A 34325-2025")</f>
        <v/>
      </c>
      <c r="Z43">
        <f>HYPERLINK("https://klasma.github.io/Logging_2518/klagomålsmail/A 34325-2025 FSC-klagomål mail.docx", "A 34325-2025")</f>
        <v/>
      </c>
      <c r="AA43">
        <f>HYPERLINK("https://klasma.github.io/Logging_2518/tillsyn/A 34325-2025 tillsynsbegäran.docx", "A 34325-2025")</f>
        <v/>
      </c>
      <c r="AB43">
        <f>HYPERLINK("https://klasma.github.io/Logging_2518/tillsynsmail/A 34325-2025 tillsynsbegäran mail.docx", "A 34325-2025")</f>
        <v/>
      </c>
    </row>
    <row r="44" ht="15" customHeight="1">
      <c r="A44" t="inlineStr">
        <is>
          <t>A 3389-2022</t>
        </is>
      </c>
      <c r="B44" t="inlineStr">
        <is>
          <t>avverkningsanmälan</t>
        </is>
      </c>
      <c r="C44" t="inlineStr">
        <is>
          <t>Föryngringsavverkning</t>
        </is>
      </c>
      <c r="D44" s="1" t="n">
        <v>44585</v>
      </c>
      <c r="E44" s="1" t="n">
        <v>46219</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s="2" t="inlineStr"/>
    </row>
    <row r="45" ht="15" customHeight="1">
      <c r="A45" t="inlineStr">
        <is>
          <t>A 43294-2022</t>
        </is>
      </c>
      <c r="B45" t="inlineStr">
        <is>
          <t>avverkningsanmälan</t>
        </is>
      </c>
      <c r="C45" t="inlineStr">
        <is>
          <t>Föryngringsavverkning</t>
        </is>
      </c>
      <c r="D45" s="1" t="n">
        <v>44833</v>
      </c>
      <c r="E45" s="1" t="n">
        <v>46219</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s="2" t="inlineStr"/>
    </row>
    <row r="46" ht="15" customHeight="1">
      <c r="A46" t="inlineStr">
        <is>
          <t>A 62856-2021</t>
        </is>
      </c>
      <c r="B46" t="inlineStr">
        <is>
          <t>avverkningsanmälan</t>
        </is>
      </c>
      <c r="C46" t="inlineStr">
        <is>
          <t>Föryngringsavverkning</t>
        </is>
      </c>
      <c r="D46" s="1" t="n">
        <v>44504</v>
      </c>
      <c r="E46" s="1" t="n">
        <v>46219</v>
      </c>
      <c r="F46" t="inlineStr">
        <is>
          <t>NORRBOTTENS LÄN</t>
        </is>
      </c>
      <c r="G46" t="inlineStr">
        <is>
          <t>ÖVERTORNEÅ</t>
        </is>
      </c>
      <c r="I46" t="n">
        <v>1.8</v>
      </c>
      <c r="J46" t="n">
        <v>0</v>
      </c>
      <c r="K46" t="n">
        <v>0</v>
      </c>
      <c r="L46" t="n">
        <v>0</v>
      </c>
      <c r="M46" t="n">
        <v>0</v>
      </c>
      <c r="N46" t="n">
        <v>0</v>
      </c>
      <c r="O46" t="n">
        <v>0</v>
      </c>
      <c r="P46" t="n">
        <v>0</v>
      </c>
      <c r="Q46" t="n">
        <v>0</v>
      </c>
      <c r="R46" t="n">
        <v>0</v>
      </c>
      <c r="S46" t="n">
        <v>0</v>
      </c>
      <c r="T46" t="n">
        <v>0</v>
      </c>
      <c r="U46" s="2" t="inlineStr"/>
    </row>
    <row r="47" ht="15" customHeight="1">
      <c r="A47" t="inlineStr">
        <is>
          <t>A 60133-2021</t>
        </is>
      </c>
      <c r="B47" t="inlineStr">
        <is>
          <t>avverkningsanmälan</t>
        </is>
      </c>
      <c r="C47" t="inlineStr">
        <is>
          <t>Föryngringsavverkning</t>
        </is>
      </c>
      <c r="D47" s="1" t="n">
        <v>44494</v>
      </c>
      <c r="E47" s="1" t="n">
        <v>46219</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s="2" t="inlineStr"/>
    </row>
    <row r="48" ht="15" customHeight="1">
      <c r="A48" t="inlineStr">
        <is>
          <t>A 70415-2021</t>
        </is>
      </c>
      <c r="B48" t="inlineStr">
        <is>
          <t>avverkningsanmälan</t>
        </is>
      </c>
      <c r="C48" t="inlineStr">
        <is>
          <t>Föryngringsavverkning</t>
        </is>
      </c>
      <c r="D48" s="1" t="n">
        <v>44536</v>
      </c>
      <c r="E48" s="1" t="n">
        <v>46219</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s="2" t="inlineStr"/>
    </row>
    <row r="49" ht="15" customHeight="1">
      <c r="A49" t="inlineStr">
        <is>
          <t>A 49886-2022</t>
        </is>
      </c>
      <c r="B49" t="inlineStr">
        <is>
          <t>avverkningsanmälan</t>
        </is>
      </c>
      <c r="C49" t="inlineStr">
        <is>
          <t>Föryngringsavverkning</t>
        </is>
      </c>
      <c r="D49" s="1" t="n">
        <v>44864</v>
      </c>
      <c r="E49" s="1" t="n">
        <v>46219</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s="2" t="inlineStr"/>
    </row>
    <row r="50" ht="15" customHeight="1">
      <c r="A50" t="inlineStr">
        <is>
          <t>A 70413-2021</t>
        </is>
      </c>
      <c r="B50" t="inlineStr">
        <is>
          <t>avverkningsanmälan</t>
        </is>
      </c>
      <c r="C50" t="inlineStr">
        <is>
          <t>Avverkning för annat ändamål</t>
        </is>
      </c>
      <c r="D50" s="1" t="n">
        <v>44536</v>
      </c>
      <c r="E50" s="1" t="n">
        <v>46219</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s="2" t="inlineStr"/>
    </row>
    <row r="51" ht="15" customHeight="1">
      <c r="A51" t="inlineStr">
        <is>
          <t>A 74231-2021</t>
        </is>
      </c>
      <c r="B51" t="inlineStr">
        <is>
          <t>avverkningsanmälan</t>
        </is>
      </c>
      <c r="C51" t="inlineStr">
        <is>
          <t>Föryngringsavverkning</t>
        </is>
      </c>
      <c r="D51" s="1" t="n">
        <v>44553</v>
      </c>
      <c r="E51" s="1" t="n">
        <v>46219</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s="2" t="inlineStr"/>
    </row>
    <row r="52" ht="15" customHeight="1">
      <c r="A52" t="inlineStr">
        <is>
          <t>A 74232-2021</t>
        </is>
      </c>
      <c r="B52" t="inlineStr">
        <is>
          <t>avverkningsanmälan</t>
        </is>
      </c>
      <c r="C52" t="inlineStr">
        <is>
          <t>Föryngringsavverkning</t>
        </is>
      </c>
      <c r="D52" s="1" t="n">
        <v>44553</v>
      </c>
      <c r="E52" s="1" t="n">
        <v>46219</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s="2" t="inlineStr"/>
    </row>
    <row r="53" ht="15" customHeight="1">
      <c r="A53" t="inlineStr">
        <is>
          <t>A 38696-2021</t>
        </is>
      </c>
      <c r="B53" t="inlineStr">
        <is>
          <t>avverkningsanmälan</t>
        </is>
      </c>
      <c r="C53" t="inlineStr">
        <is>
          <t>Föryngringsavverkning</t>
        </is>
      </c>
      <c r="D53" s="1" t="n">
        <v>44406</v>
      </c>
      <c r="E53" s="1" t="n">
        <v>46219</v>
      </c>
      <c r="F53" t="inlineStr">
        <is>
          <t>NORRBOTTENS LÄN</t>
        </is>
      </c>
      <c r="G53" t="inlineStr">
        <is>
          <t>ÖVERTORNEÅ</t>
        </is>
      </c>
      <c r="I53" t="n">
        <v>6</v>
      </c>
      <c r="J53" t="n">
        <v>0</v>
      </c>
      <c r="K53" t="n">
        <v>0</v>
      </c>
      <c r="L53" t="n">
        <v>0</v>
      </c>
      <c r="M53" t="n">
        <v>0</v>
      </c>
      <c r="N53" t="n">
        <v>0</v>
      </c>
      <c r="O53" t="n">
        <v>0</v>
      </c>
      <c r="P53" t="n">
        <v>0</v>
      </c>
      <c r="Q53" t="n">
        <v>0</v>
      </c>
      <c r="R53" t="n">
        <v>0</v>
      </c>
      <c r="S53" t="n">
        <v>0</v>
      </c>
      <c r="T53" t="n">
        <v>0</v>
      </c>
      <c r="U53" s="2" t="inlineStr"/>
    </row>
    <row r="54" ht="15" customHeight="1">
      <c r="A54" t="inlineStr">
        <is>
          <t>A 1091-2022</t>
        </is>
      </c>
      <c r="B54" t="inlineStr">
        <is>
          <t>avverkningsanmälan</t>
        </is>
      </c>
      <c r="C54" t="inlineStr">
        <is>
          <t>Föryngringsavverkning</t>
        </is>
      </c>
      <c r="D54" s="1" t="n">
        <v>44571</v>
      </c>
      <c r="E54" s="1" t="n">
        <v>46219</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s="2" t="inlineStr"/>
    </row>
    <row r="55" ht="15" customHeight="1">
      <c r="A55" t="inlineStr">
        <is>
          <t>A 38156-2021</t>
        </is>
      </c>
      <c r="B55" t="inlineStr">
        <is>
          <t>avverkningsanmälan</t>
        </is>
      </c>
      <c r="C55" t="inlineStr">
        <is>
          <t>Föryngringsavverkning</t>
        </is>
      </c>
      <c r="D55" s="1" t="n">
        <v>44405</v>
      </c>
      <c r="E55" s="1" t="n">
        <v>46219</v>
      </c>
      <c r="F55" t="inlineStr">
        <is>
          <t>NORRBOTTENS LÄN</t>
        </is>
      </c>
      <c r="G55" t="inlineStr">
        <is>
          <t>ÖVERTORNEÅ</t>
        </is>
      </c>
      <c r="I55" t="n">
        <v>1.6</v>
      </c>
      <c r="J55" t="n">
        <v>0</v>
      </c>
      <c r="K55" t="n">
        <v>0</v>
      </c>
      <c r="L55" t="n">
        <v>0</v>
      </c>
      <c r="M55" t="n">
        <v>0</v>
      </c>
      <c r="N55" t="n">
        <v>0</v>
      </c>
      <c r="O55" t="n">
        <v>0</v>
      </c>
      <c r="P55" t="n">
        <v>0</v>
      </c>
      <c r="Q55" t="n">
        <v>0</v>
      </c>
      <c r="R55" t="n">
        <v>0</v>
      </c>
      <c r="S55" t="n">
        <v>0</v>
      </c>
      <c r="T55" t="n">
        <v>0</v>
      </c>
      <c r="U55" s="2" t="inlineStr"/>
    </row>
    <row r="56" ht="15" customHeight="1">
      <c r="A56" t="inlineStr">
        <is>
          <t>A 46973-2021</t>
        </is>
      </c>
      <c r="B56" t="inlineStr">
        <is>
          <t>avverkningsanmälan</t>
        </is>
      </c>
      <c r="C56" t="inlineStr">
        <is>
          <t>Föryngringsavverkning</t>
        </is>
      </c>
      <c r="D56" s="1" t="n">
        <v>44446</v>
      </c>
      <c r="E56" s="1" t="n">
        <v>46219</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s="2" t="inlineStr"/>
    </row>
    <row r="57" ht="15" customHeight="1">
      <c r="A57" t="inlineStr">
        <is>
          <t>A 37837-2022</t>
        </is>
      </c>
      <c r="B57" t="inlineStr">
        <is>
          <t>avverkningsanmälan</t>
        </is>
      </c>
      <c r="C57" t="inlineStr">
        <is>
          <t>Föryngringsavverkning</t>
        </is>
      </c>
      <c r="D57" s="1" t="n">
        <v>44810</v>
      </c>
      <c r="E57" s="1" t="n">
        <v>46219</v>
      </c>
      <c r="F57" t="inlineStr">
        <is>
          <t>NORRBOTTENS LÄN</t>
        </is>
      </c>
      <c r="G57" t="inlineStr">
        <is>
          <t>ÖVERTORNEÅ</t>
        </is>
      </c>
      <c r="H57" t="inlineStr">
        <is>
          <t>Sveaskog</t>
        </is>
      </c>
      <c r="I57" t="n">
        <v>8.5</v>
      </c>
      <c r="J57" t="n">
        <v>0</v>
      </c>
      <c r="K57" t="n">
        <v>0</v>
      </c>
      <c r="L57" t="n">
        <v>0</v>
      </c>
      <c r="M57" t="n">
        <v>0</v>
      </c>
      <c r="N57" t="n">
        <v>0</v>
      </c>
      <c r="O57" t="n">
        <v>0</v>
      </c>
      <c r="P57" t="n">
        <v>0</v>
      </c>
      <c r="Q57" t="n">
        <v>0</v>
      </c>
      <c r="R57" t="n">
        <v>0</v>
      </c>
      <c r="S57" t="n">
        <v>0</v>
      </c>
      <c r="T57" t="n">
        <v>0</v>
      </c>
      <c r="U57" s="2" t="inlineStr"/>
    </row>
    <row r="58" ht="15" customHeight="1">
      <c r="A58" t="inlineStr">
        <is>
          <t>A 48746-2021</t>
        </is>
      </c>
      <c r="B58" t="inlineStr">
        <is>
          <t>avverkningsanmälan</t>
        </is>
      </c>
      <c r="C58" t="inlineStr">
        <is>
          <t>Föryngringsavverkning</t>
        </is>
      </c>
      <c r="D58" s="1" t="n">
        <v>44452</v>
      </c>
      <c r="E58" s="1" t="n">
        <v>46219</v>
      </c>
      <c r="F58" t="inlineStr">
        <is>
          <t>NORRBOTTENS LÄN</t>
        </is>
      </c>
      <c r="G58" t="inlineStr">
        <is>
          <t>ÖVERTORNEÅ</t>
        </is>
      </c>
      <c r="I58" t="n">
        <v>6.4</v>
      </c>
      <c r="J58" t="n">
        <v>0</v>
      </c>
      <c r="K58" t="n">
        <v>0</v>
      </c>
      <c r="L58" t="n">
        <v>0</v>
      </c>
      <c r="M58" t="n">
        <v>0</v>
      </c>
      <c r="N58" t="n">
        <v>0</v>
      </c>
      <c r="O58" t="n">
        <v>0</v>
      </c>
      <c r="P58" t="n">
        <v>0</v>
      </c>
      <c r="Q58" t="n">
        <v>0</v>
      </c>
      <c r="R58" t="n">
        <v>0</v>
      </c>
      <c r="S58" t="n">
        <v>0</v>
      </c>
      <c r="T58" t="n">
        <v>0</v>
      </c>
      <c r="U58" s="2" t="inlineStr"/>
    </row>
    <row r="59" ht="15" customHeight="1">
      <c r="A59" t="inlineStr">
        <is>
          <t>A 60948-2021</t>
        </is>
      </c>
      <c r="B59" t="inlineStr">
        <is>
          <t>avverkningsanmälan</t>
        </is>
      </c>
      <c r="C59" t="inlineStr">
        <is>
          <t>Föryngringsavverkning</t>
        </is>
      </c>
      <c r="D59" s="1" t="n">
        <v>44497</v>
      </c>
      <c r="E59" s="1" t="n">
        <v>46219</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s="2" t="inlineStr"/>
    </row>
    <row r="60" ht="15" customHeight="1">
      <c r="A60" t="inlineStr">
        <is>
          <t>A 25695-2022</t>
        </is>
      </c>
      <c r="B60" t="inlineStr">
        <is>
          <t>avverkningsanmälan</t>
        </is>
      </c>
      <c r="C60" t="inlineStr">
        <is>
          <t>Föryngringsavverkning</t>
        </is>
      </c>
      <c r="D60" s="1" t="n">
        <v>44733</v>
      </c>
      <c r="E60" s="1" t="n">
        <v>46219</v>
      </c>
      <c r="F60" t="inlineStr">
        <is>
          <t>NORRBOTTENS LÄN</t>
        </is>
      </c>
      <c r="G60" t="inlineStr">
        <is>
          <t>ÖVERTORNEÅ</t>
        </is>
      </c>
      <c r="H60" t="inlineStr">
        <is>
          <t>Sveaskog</t>
        </is>
      </c>
      <c r="I60" t="n">
        <v>1.4</v>
      </c>
      <c r="J60" t="n">
        <v>0</v>
      </c>
      <c r="K60" t="n">
        <v>0</v>
      </c>
      <c r="L60" t="n">
        <v>0</v>
      </c>
      <c r="M60" t="n">
        <v>0</v>
      </c>
      <c r="N60" t="n">
        <v>0</v>
      </c>
      <c r="O60" t="n">
        <v>0</v>
      </c>
      <c r="P60" t="n">
        <v>0</v>
      </c>
      <c r="Q60" t="n">
        <v>0</v>
      </c>
      <c r="R60" t="n">
        <v>0</v>
      </c>
      <c r="S60" t="n">
        <v>0</v>
      </c>
      <c r="T60" t="n">
        <v>0</v>
      </c>
      <c r="U60" s="2" t="inlineStr"/>
    </row>
    <row r="61" ht="15" customHeight="1">
      <c r="A61" t="inlineStr">
        <is>
          <t>A 3010-2022</t>
        </is>
      </c>
      <c r="B61" t="inlineStr">
        <is>
          <t>avverkningsanmälan</t>
        </is>
      </c>
      <c r="C61" t="inlineStr">
        <is>
          <t>Föryngringsavverkning</t>
        </is>
      </c>
      <c r="D61" s="1" t="n">
        <v>44581</v>
      </c>
      <c r="E61" s="1" t="n">
        <v>46219</v>
      </c>
      <c r="F61" t="inlineStr">
        <is>
          <t>NORRBOTTENS LÄN</t>
        </is>
      </c>
      <c r="G61" t="inlineStr">
        <is>
          <t>ÖVERTORNEÅ</t>
        </is>
      </c>
      <c r="I61" t="n">
        <v>2.6</v>
      </c>
      <c r="J61" t="n">
        <v>0</v>
      </c>
      <c r="K61" t="n">
        <v>0</v>
      </c>
      <c r="L61" t="n">
        <v>0</v>
      </c>
      <c r="M61" t="n">
        <v>0</v>
      </c>
      <c r="N61" t="n">
        <v>0</v>
      </c>
      <c r="O61" t="n">
        <v>0</v>
      </c>
      <c r="P61" t="n">
        <v>0</v>
      </c>
      <c r="Q61" t="n">
        <v>0</v>
      </c>
      <c r="R61" t="n">
        <v>0</v>
      </c>
      <c r="S61" t="n">
        <v>0</v>
      </c>
      <c r="T61" t="n">
        <v>0</v>
      </c>
      <c r="U61" s="2" t="inlineStr"/>
    </row>
    <row r="62" ht="15" customHeight="1">
      <c r="A62" t="inlineStr">
        <is>
          <t>A 74235-2021</t>
        </is>
      </c>
      <c r="B62" t="inlineStr">
        <is>
          <t>avverkningsanmälan</t>
        </is>
      </c>
      <c r="C62" t="inlineStr">
        <is>
          <t>Föryngringsavverkning</t>
        </is>
      </c>
      <c r="D62" s="1" t="n">
        <v>44553</v>
      </c>
      <c r="E62" s="1" t="n">
        <v>46219</v>
      </c>
      <c r="F62" t="inlineStr">
        <is>
          <t>NORRBOTTENS LÄN</t>
        </is>
      </c>
      <c r="G62" t="inlineStr">
        <is>
          <t>ÖVERTORNEÅ</t>
        </is>
      </c>
      <c r="I62" t="n">
        <v>6.7</v>
      </c>
      <c r="J62" t="n">
        <v>0</v>
      </c>
      <c r="K62" t="n">
        <v>0</v>
      </c>
      <c r="L62" t="n">
        <v>0</v>
      </c>
      <c r="M62" t="n">
        <v>0</v>
      </c>
      <c r="N62" t="n">
        <v>0</v>
      </c>
      <c r="O62" t="n">
        <v>0</v>
      </c>
      <c r="P62" t="n">
        <v>0</v>
      </c>
      <c r="Q62" t="n">
        <v>0</v>
      </c>
      <c r="R62" t="n">
        <v>0</v>
      </c>
      <c r="S62" t="n">
        <v>0</v>
      </c>
      <c r="T62" t="n">
        <v>0</v>
      </c>
      <c r="U62" s="2" t="inlineStr"/>
    </row>
    <row r="63" ht="15" customHeight="1">
      <c r="A63" t="inlineStr">
        <is>
          <t>A 74163-2021</t>
        </is>
      </c>
      <c r="B63" t="inlineStr">
        <is>
          <t>avverkningsanmälan</t>
        </is>
      </c>
      <c r="C63" t="inlineStr">
        <is>
          <t>Avverkning för annat ändamål</t>
        </is>
      </c>
      <c r="D63" s="1" t="n">
        <v>44557</v>
      </c>
      <c r="E63" s="1" t="n">
        <v>46219</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s="2" t="inlineStr"/>
    </row>
    <row r="64" ht="15" customHeight="1">
      <c r="A64" t="inlineStr">
        <is>
          <t>A 65110-2021</t>
        </is>
      </c>
      <c r="B64" t="inlineStr">
        <is>
          <t>avverkningsanmälan</t>
        </is>
      </c>
      <c r="C64" t="inlineStr">
        <is>
          <t>Föryngringsavverkning</t>
        </is>
      </c>
      <c r="D64" s="1" t="n">
        <v>44515</v>
      </c>
      <c r="E64" s="1" t="n">
        <v>46219</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s="2" t="inlineStr"/>
    </row>
    <row r="65" ht="15" customHeight="1">
      <c r="A65" t="inlineStr">
        <is>
          <t>A 30114-2022</t>
        </is>
      </c>
      <c r="B65" t="inlineStr">
        <is>
          <t>avverkningsanmälan</t>
        </is>
      </c>
      <c r="C65" t="inlineStr">
        <is>
          <t>Avverkning för annat ändamål</t>
        </is>
      </c>
      <c r="D65" s="1" t="n">
        <v>44757</v>
      </c>
      <c r="E65" s="1" t="n">
        <v>46219</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s="2" t="inlineStr"/>
    </row>
    <row r="66" ht="15" customHeight="1">
      <c r="A66" t="inlineStr">
        <is>
          <t>A 71381-2021</t>
        </is>
      </c>
      <c r="B66" t="inlineStr">
        <is>
          <t>avverkningsanmälan</t>
        </is>
      </c>
      <c r="C66" t="inlineStr">
        <is>
          <t>Föryngringsavverkning</t>
        </is>
      </c>
      <c r="D66" s="1" t="n">
        <v>44538</v>
      </c>
      <c r="E66" s="1" t="n">
        <v>46219</v>
      </c>
      <c r="F66" t="inlineStr">
        <is>
          <t>NORRBOTTENS LÄN</t>
        </is>
      </c>
      <c r="G66" t="inlineStr">
        <is>
          <t>ÖVERTORNEÅ</t>
        </is>
      </c>
      <c r="I66" t="n">
        <v>6.2</v>
      </c>
      <c r="J66" t="n">
        <v>0</v>
      </c>
      <c r="K66" t="n">
        <v>0</v>
      </c>
      <c r="L66" t="n">
        <v>0</v>
      </c>
      <c r="M66" t="n">
        <v>0</v>
      </c>
      <c r="N66" t="n">
        <v>0</v>
      </c>
      <c r="O66" t="n">
        <v>0</v>
      </c>
      <c r="P66" t="n">
        <v>0</v>
      </c>
      <c r="Q66" t="n">
        <v>0</v>
      </c>
      <c r="R66" t="n">
        <v>0</v>
      </c>
      <c r="S66" t="n">
        <v>0</v>
      </c>
      <c r="T66" t="n">
        <v>0</v>
      </c>
      <c r="U66" s="2" t="inlineStr"/>
    </row>
    <row r="67" ht="15" customHeight="1">
      <c r="A67" t="inlineStr">
        <is>
          <t>A 43282-2022</t>
        </is>
      </c>
      <c r="B67" t="inlineStr">
        <is>
          <t>avverkningsanmälan</t>
        </is>
      </c>
      <c r="C67" t="inlineStr">
        <is>
          <t>Föryngringsavverkning</t>
        </is>
      </c>
      <c r="D67" s="1" t="n">
        <v>44833</v>
      </c>
      <c r="E67" s="1" t="n">
        <v>46219</v>
      </c>
      <c r="F67" t="inlineStr">
        <is>
          <t>NORRBOTTENS LÄN</t>
        </is>
      </c>
      <c r="G67" t="inlineStr">
        <is>
          <t>ÖVERTORNEÅ</t>
        </is>
      </c>
      <c r="I67" t="n">
        <v>1.3</v>
      </c>
      <c r="J67" t="n">
        <v>0</v>
      </c>
      <c r="K67" t="n">
        <v>0</v>
      </c>
      <c r="L67" t="n">
        <v>0</v>
      </c>
      <c r="M67" t="n">
        <v>0</v>
      </c>
      <c r="N67" t="n">
        <v>0</v>
      </c>
      <c r="O67" t="n">
        <v>0</v>
      </c>
      <c r="P67" t="n">
        <v>0</v>
      </c>
      <c r="Q67" t="n">
        <v>0</v>
      </c>
      <c r="R67" t="n">
        <v>0</v>
      </c>
      <c r="S67" t="n">
        <v>0</v>
      </c>
      <c r="T67" t="n">
        <v>0</v>
      </c>
      <c r="U67" s="2" t="inlineStr"/>
    </row>
    <row r="68" ht="15" customHeight="1">
      <c r="A68" t="inlineStr">
        <is>
          <t>A 18698-2022</t>
        </is>
      </c>
      <c r="B68" t="inlineStr">
        <is>
          <t>avverkningsanmälan</t>
        </is>
      </c>
      <c r="C68" t="inlineStr">
        <is>
          <t>Föryngringsavverkning</t>
        </is>
      </c>
      <c r="D68" s="1" t="n">
        <v>44687</v>
      </c>
      <c r="E68" s="1" t="n">
        <v>46219</v>
      </c>
      <c r="F68" t="inlineStr">
        <is>
          <t>NORRBOTTENS LÄN</t>
        </is>
      </c>
      <c r="G68" t="inlineStr">
        <is>
          <t>ÖVERTORNEÅ</t>
        </is>
      </c>
      <c r="I68" t="n">
        <v>2.4</v>
      </c>
      <c r="J68" t="n">
        <v>0</v>
      </c>
      <c r="K68" t="n">
        <v>0</v>
      </c>
      <c r="L68" t="n">
        <v>0</v>
      </c>
      <c r="M68" t="n">
        <v>0</v>
      </c>
      <c r="N68" t="n">
        <v>0</v>
      </c>
      <c r="O68" t="n">
        <v>0</v>
      </c>
      <c r="P68" t="n">
        <v>0</v>
      </c>
      <c r="Q68" t="n">
        <v>0</v>
      </c>
      <c r="R68" t="n">
        <v>0</v>
      </c>
      <c r="S68" t="n">
        <v>0</v>
      </c>
      <c r="T68" t="n">
        <v>0</v>
      </c>
      <c r="U68" s="2" t="inlineStr"/>
    </row>
    <row r="69" ht="15" customHeight="1">
      <c r="A69" t="inlineStr">
        <is>
          <t>A 74158-2021</t>
        </is>
      </c>
      <c r="B69" t="inlineStr">
        <is>
          <t>avverkningsanmälan</t>
        </is>
      </c>
      <c r="C69" t="inlineStr">
        <is>
          <t>Avverkning för annat ändamål</t>
        </is>
      </c>
      <c r="D69" s="1" t="n">
        <v>44557</v>
      </c>
      <c r="E69" s="1" t="n">
        <v>46219</v>
      </c>
      <c r="F69" t="inlineStr">
        <is>
          <t>NORRBOTTENS LÄN</t>
        </is>
      </c>
      <c r="G69" t="inlineStr">
        <is>
          <t>ÖVERTORNEÅ</t>
        </is>
      </c>
      <c r="I69" t="n">
        <v>2.2</v>
      </c>
      <c r="J69" t="n">
        <v>0</v>
      </c>
      <c r="K69" t="n">
        <v>0</v>
      </c>
      <c r="L69" t="n">
        <v>0</v>
      </c>
      <c r="M69" t="n">
        <v>0</v>
      </c>
      <c r="N69" t="n">
        <v>0</v>
      </c>
      <c r="O69" t="n">
        <v>0</v>
      </c>
      <c r="P69" t="n">
        <v>0</v>
      </c>
      <c r="Q69" t="n">
        <v>0</v>
      </c>
      <c r="R69" t="n">
        <v>0</v>
      </c>
      <c r="S69" t="n">
        <v>0</v>
      </c>
      <c r="T69" t="n">
        <v>0</v>
      </c>
      <c r="U69" s="2" t="inlineStr"/>
    </row>
    <row r="70" ht="15" customHeight="1">
      <c r="A70" t="inlineStr">
        <is>
          <t>A 73605-2021</t>
        </is>
      </c>
      <c r="B70" t="inlineStr">
        <is>
          <t>avverkningsanmälan</t>
        </is>
      </c>
      <c r="C70" t="inlineStr">
        <is>
          <t>Föryngringsavverkning</t>
        </is>
      </c>
      <c r="D70" s="1" t="n">
        <v>44551</v>
      </c>
      <c r="E70" s="1" t="n">
        <v>46219</v>
      </c>
      <c r="F70" t="inlineStr">
        <is>
          <t>NORRBOTTENS LÄN</t>
        </is>
      </c>
      <c r="G70" t="inlineStr">
        <is>
          <t>ÖVERTORNEÅ</t>
        </is>
      </c>
      <c r="I70" t="n">
        <v>0.9</v>
      </c>
      <c r="J70" t="n">
        <v>0</v>
      </c>
      <c r="K70" t="n">
        <v>0</v>
      </c>
      <c r="L70" t="n">
        <v>0</v>
      </c>
      <c r="M70" t="n">
        <v>0</v>
      </c>
      <c r="N70" t="n">
        <v>0</v>
      </c>
      <c r="O70" t="n">
        <v>0</v>
      </c>
      <c r="P70" t="n">
        <v>0</v>
      </c>
      <c r="Q70" t="n">
        <v>0</v>
      </c>
      <c r="R70" t="n">
        <v>0</v>
      </c>
      <c r="S70" t="n">
        <v>0</v>
      </c>
      <c r="T70" t="n">
        <v>0</v>
      </c>
      <c r="U70" s="2" t="inlineStr"/>
    </row>
    <row r="71" ht="15" customHeight="1">
      <c r="A71" t="inlineStr">
        <is>
          <t>A 34875-2022</t>
        </is>
      </c>
      <c r="B71" t="inlineStr">
        <is>
          <t>avverkningsanmälan</t>
        </is>
      </c>
      <c r="C71" t="inlineStr">
        <is>
          <t>Avverkning för annat ändamål</t>
        </is>
      </c>
      <c r="D71" s="1" t="n">
        <v>44796</v>
      </c>
      <c r="E71" s="1" t="n">
        <v>46219</v>
      </c>
      <c r="F71" t="inlineStr">
        <is>
          <t>NORRBOTTENS LÄN</t>
        </is>
      </c>
      <c r="G71" t="inlineStr">
        <is>
          <t>ÖVERTORNEÅ</t>
        </is>
      </c>
      <c r="I71" t="n">
        <v>1.4</v>
      </c>
      <c r="J71" t="n">
        <v>0</v>
      </c>
      <c r="K71" t="n">
        <v>0</v>
      </c>
      <c r="L71" t="n">
        <v>0</v>
      </c>
      <c r="M71" t="n">
        <v>0</v>
      </c>
      <c r="N71" t="n">
        <v>0</v>
      </c>
      <c r="O71" t="n">
        <v>0</v>
      </c>
      <c r="P71" t="n">
        <v>0</v>
      </c>
      <c r="Q71" t="n">
        <v>0</v>
      </c>
      <c r="R71" t="n">
        <v>0</v>
      </c>
      <c r="S71" t="n">
        <v>0</v>
      </c>
      <c r="T71" t="n">
        <v>0</v>
      </c>
      <c r="U71" s="2" t="inlineStr"/>
    </row>
    <row r="72" ht="15" customHeight="1">
      <c r="A72" t="inlineStr">
        <is>
          <t>A 19247-2022</t>
        </is>
      </c>
      <c r="B72" t="inlineStr">
        <is>
          <t>avverkningsanmälan</t>
        </is>
      </c>
      <c r="C72" t="inlineStr">
        <is>
          <t>Föryngringsavverkning</t>
        </is>
      </c>
      <c r="D72" s="1" t="n">
        <v>44692</v>
      </c>
      <c r="E72" s="1" t="n">
        <v>46219</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s="2" t="inlineStr"/>
    </row>
    <row r="73" ht="15" customHeight="1">
      <c r="A73" t="inlineStr">
        <is>
          <t>A 34143-2023</t>
        </is>
      </c>
      <c r="B73" t="inlineStr">
        <is>
          <t>avverkningsanmälan</t>
        </is>
      </c>
      <c r="C73" t="inlineStr">
        <is>
          <t>Avverkning för annat ändamål</t>
        </is>
      </c>
      <c r="D73" s="1" t="n">
        <v>45136</v>
      </c>
      <c r="E73" s="1" t="n">
        <v>46219</v>
      </c>
      <c r="F73" t="inlineStr">
        <is>
          <t>NORRBOTTENS LÄN</t>
        </is>
      </c>
      <c r="G73" t="inlineStr">
        <is>
          <t>ÖVERTORNEÅ</t>
        </is>
      </c>
      <c r="I73" t="n">
        <v>4.4</v>
      </c>
      <c r="J73" t="n">
        <v>0</v>
      </c>
      <c r="K73" t="n">
        <v>0</v>
      </c>
      <c r="L73" t="n">
        <v>0</v>
      </c>
      <c r="M73" t="n">
        <v>0</v>
      </c>
      <c r="N73" t="n">
        <v>0</v>
      </c>
      <c r="O73" t="n">
        <v>0</v>
      </c>
      <c r="P73" t="n">
        <v>0</v>
      </c>
      <c r="Q73" t="n">
        <v>0</v>
      </c>
      <c r="R73" t="n">
        <v>0</v>
      </c>
      <c r="S73" t="n">
        <v>0</v>
      </c>
      <c r="T73" t="n">
        <v>0</v>
      </c>
      <c r="U73" s="2" t="inlineStr"/>
    </row>
    <row r="74" ht="15" customHeight="1">
      <c r="A74" t="inlineStr">
        <is>
          <t>A 34144-2023</t>
        </is>
      </c>
      <c r="B74" t="inlineStr">
        <is>
          <t>avverkningsanmälan</t>
        </is>
      </c>
      <c r="C74" t="inlineStr">
        <is>
          <t>Föryngringsavverkning</t>
        </is>
      </c>
      <c r="D74" s="1" t="n">
        <v>45136</v>
      </c>
      <c r="E74" s="1" t="n">
        <v>46219</v>
      </c>
      <c r="F74" t="inlineStr">
        <is>
          <t>NORRBOTTENS LÄN</t>
        </is>
      </c>
      <c r="G74" t="inlineStr">
        <is>
          <t>ÖVERTORNEÅ</t>
        </is>
      </c>
      <c r="I74" t="n">
        <v>2.9</v>
      </c>
      <c r="J74" t="n">
        <v>0</v>
      </c>
      <c r="K74" t="n">
        <v>0</v>
      </c>
      <c r="L74" t="n">
        <v>0</v>
      </c>
      <c r="M74" t="n">
        <v>0</v>
      </c>
      <c r="N74" t="n">
        <v>0</v>
      </c>
      <c r="O74" t="n">
        <v>0</v>
      </c>
      <c r="P74" t="n">
        <v>0</v>
      </c>
      <c r="Q74" t="n">
        <v>0</v>
      </c>
      <c r="R74" t="n">
        <v>0</v>
      </c>
      <c r="S74" t="n">
        <v>0</v>
      </c>
      <c r="T74" t="n">
        <v>0</v>
      </c>
      <c r="U74" s="2" t="inlineStr"/>
    </row>
    <row r="75" ht="15" customHeight="1">
      <c r="A75" t="inlineStr">
        <is>
          <t>A 3416-2022</t>
        </is>
      </c>
      <c r="B75" t="inlineStr">
        <is>
          <t>avverkningsanmälan</t>
        </is>
      </c>
      <c r="C75" t="inlineStr">
        <is>
          <t>Avverkning för annat ändamål</t>
        </is>
      </c>
      <c r="D75" s="1" t="n">
        <v>44585</v>
      </c>
      <c r="E75" s="1" t="n">
        <v>46219</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s="2" t="inlineStr"/>
    </row>
    <row r="76" ht="15" customHeight="1">
      <c r="A76" t="inlineStr">
        <is>
          <t>A 47019-2024</t>
        </is>
      </c>
      <c r="B76" t="inlineStr">
        <is>
          <t>avverkningsanmälan</t>
        </is>
      </c>
      <c r="C76" t="inlineStr">
        <is>
          <t>Föryngringsavverkning</t>
        </is>
      </c>
      <c r="D76" s="1" t="n">
        <v>45586</v>
      </c>
      <c r="E76" s="1" t="n">
        <v>46219</v>
      </c>
      <c r="F76" t="inlineStr">
        <is>
          <t>NORRBOTTENS LÄN</t>
        </is>
      </c>
      <c r="G76" t="inlineStr">
        <is>
          <t>ÖVERTORNEÅ</t>
        </is>
      </c>
      <c r="I76" t="n">
        <v>2.4</v>
      </c>
      <c r="J76" t="n">
        <v>0</v>
      </c>
      <c r="K76" t="n">
        <v>0</v>
      </c>
      <c r="L76" t="n">
        <v>0</v>
      </c>
      <c r="M76" t="n">
        <v>0</v>
      </c>
      <c r="N76" t="n">
        <v>0</v>
      </c>
      <c r="O76" t="n">
        <v>0</v>
      </c>
      <c r="P76" t="n">
        <v>0</v>
      </c>
      <c r="Q76" t="n">
        <v>0</v>
      </c>
      <c r="R76" t="n">
        <v>0</v>
      </c>
      <c r="S76" t="n">
        <v>0</v>
      </c>
      <c r="T76" t="n">
        <v>0</v>
      </c>
      <c r="U76" s="2" t="inlineStr"/>
    </row>
    <row r="77" ht="15" customHeight="1">
      <c r="A77" t="inlineStr">
        <is>
          <t>A 15500-2022</t>
        </is>
      </c>
      <c r="B77" t="inlineStr">
        <is>
          <t>avverkningsanmälan</t>
        </is>
      </c>
      <c r="C77" t="inlineStr">
        <is>
          <t>Föryngringsavverkning</t>
        </is>
      </c>
      <c r="D77" s="1" t="n">
        <v>44662</v>
      </c>
      <c r="E77" s="1" t="n">
        <v>46219</v>
      </c>
      <c r="F77" t="inlineStr">
        <is>
          <t>NORRBOTTENS LÄN</t>
        </is>
      </c>
      <c r="G77" t="inlineStr">
        <is>
          <t>ÖVERTORNEÅ</t>
        </is>
      </c>
      <c r="I77" t="n">
        <v>3</v>
      </c>
      <c r="J77" t="n">
        <v>0</v>
      </c>
      <c r="K77" t="n">
        <v>0</v>
      </c>
      <c r="L77" t="n">
        <v>0</v>
      </c>
      <c r="M77" t="n">
        <v>0</v>
      </c>
      <c r="N77" t="n">
        <v>0</v>
      </c>
      <c r="O77" t="n">
        <v>0</v>
      </c>
      <c r="P77" t="n">
        <v>0</v>
      </c>
      <c r="Q77" t="n">
        <v>0</v>
      </c>
      <c r="R77" t="n">
        <v>0</v>
      </c>
      <c r="S77" t="n">
        <v>0</v>
      </c>
      <c r="T77" t="n">
        <v>0</v>
      </c>
      <c r="U77" s="2" t="inlineStr"/>
    </row>
    <row r="78" ht="15" customHeight="1">
      <c r="A78" t="inlineStr">
        <is>
          <t>A 58386-2024</t>
        </is>
      </c>
      <c r="B78" t="inlineStr">
        <is>
          <t>avverkningsanmälan</t>
        </is>
      </c>
      <c r="C78" t="inlineStr">
        <is>
          <t>Föryngringsavverkning</t>
        </is>
      </c>
      <c r="D78" s="1" t="n">
        <v>45633</v>
      </c>
      <c r="E78" s="1" t="n">
        <v>46219</v>
      </c>
      <c r="F78" t="inlineStr">
        <is>
          <t>NORRBOTTENS LÄN</t>
        </is>
      </c>
      <c r="G78" t="inlineStr">
        <is>
          <t>ÖVERTORNEÅ</t>
        </is>
      </c>
      <c r="I78" t="n">
        <v>2.4</v>
      </c>
      <c r="J78" t="n">
        <v>0</v>
      </c>
      <c r="K78" t="n">
        <v>0</v>
      </c>
      <c r="L78" t="n">
        <v>0</v>
      </c>
      <c r="M78" t="n">
        <v>0</v>
      </c>
      <c r="N78" t="n">
        <v>0</v>
      </c>
      <c r="O78" t="n">
        <v>0</v>
      </c>
      <c r="P78" t="n">
        <v>0</v>
      </c>
      <c r="Q78" t="n">
        <v>0</v>
      </c>
      <c r="R78" t="n">
        <v>0</v>
      </c>
      <c r="S78" t="n">
        <v>0</v>
      </c>
      <c r="T78" t="n">
        <v>0</v>
      </c>
      <c r="U78" s="2" t="inlineStr"/>
    </row>
    <row r="79" ht="15" customHeight="1">
      <c r="A79" t="inlineStr">
        <is>
          <t>A 1092-2022</t>
        </is>
      </c>
      <c r="B79" t="inlineStr">
        <is>
          <t>avverkningsanmälan</t>
        </is>
      </c>
      <c r="C79" t="inlineStr">
        <is>
          <t>Föryngringsavverkning</t>
        </is>
      </c>
      <c r="D79" s="1" t="n">
        <v>44571</v>
      </c>
      <c r="E79" s="1" t="n">
        <v>46219</v>
      </c>
      <c r="F79" t="inlineStr">
        <is>
          <t>NORRBOTTENS LÄN</t>
        </is>
      </c>
      <c r="G79" t="inlineStr">
        <is>
          <t>ÖVERTORNEÅ</t>
        </is>
      </c>
      <c r="I79" t="n">
        <v>23.5</v>
      </c>
      <c r="J79" t="n">
        <v>0</v>
      </c>
      <c r="K79" t="n">
        <v>0</v>
      </c>
      <c r="L79" t="n">
        <v>0</v>
      </c>
      <c r="M79" t="n">
        <v>0</v>
      </c>
      <c r="N79" t="n">
        <v>0</v>
      </c>
      <c r="O79" t="n">
        <v>0</v>
      </c>
      <c r="P79" t="n">
        <v>0</v>
      </c>
      <c r="Q79" t="n">
        <v>0</v>
      </c>
      <c r="R79" t="n">
        <v>0</v>
      </c>
      <c r="S79" t="n">
        <v>0</v>
      </c>
      <c r="T79" t="n">
        <v>0</v>
      </c>
      <c r="U79" s="2" t="inlineStr"/>
    </row>
    <row r="80" ht="15" customHeight="1">
      <c r="A80" t="inlineStr">
        <is>
          <t>A 33323-2023</t>
        </is>
      </c>
      <c r="B80" t="inlineStr">
        <is>
          <t>avverkningsanmälan</t>
        </is>
      </c>
      <c r="C80" t="inlineStr">
        <is>
          <t>Föryngringsavverkning</t>
        </is>
      </c>
      <c r="D80" s="1" t="n">
        <v>45127</v>
      </c>
      <c r="E80" s="1" t="n">
        <v>46219</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s="2" t="inlineStr"/>
    </row>
    <row r="81" ht="15" customHeight="1">
      <c r="A81" t="inlineStr">
        <is>
          <t>A 40274-2024</t>
        </is>
      </c>
      <c r="B81" t="inlineStr">
        <is>
          <t>avverkningsanmälan</t>
        </is>
      </c>
      <c r="C81" t="inlineStr">
        <is>
          <t>Föryngringsavverkning</t>
        </is>
      </c>
      <c r="D81" s="1" t="n">
        <v>45554</v>
      </c>
      <c r="E81" s="1" t="n">
        <v>46219</v>
      </c>
      <c r="F81" t="inlineStr">
        <is>
          <t>NORRBOTTENS LÄN</t>
        </is>
      </c>
      <c r="G81" t="inlineStr">
        <is>
          <t>ÖVERTORNEÅ</t>
        </is>
      </c>
      <c r="I81" t="n">
        <v>5.4</v>
      </c>
      <c r="J81" t="n">
        <v>0</v>
      </c>
      <c r="K81" t="n">
        <v>0</v>
      </c>
      <c r="L81" t="n">
        <v>0</v>
      </c>
      <c r="M81" t="n">
        <v>0</v>
      </c>
      <c r="N81" t="n">
        <v>0</v>
      </c>
      <c r="O81" t="n">
        <v>0</v>
      </c>
      <c r="P81" t="n">
        <v>0</v>
      </c>
      <c r="Q81" t="n">
        <v>0</v>
      </c>
      <c r="R81" t="n">
        <v>0</v>
      </c>
      <c r="S81" t="n">
        <v>0</v>
      </c>
      <c r="T81" t="n">
        <v>0</v>
      </c>
      <c r="U81" s="2" t="inlineStr"/>
    </row>
    <row r="82" ht="15" customHeight="1">
      <c r="A82" t="inlineStr">
        <is>
          <t>A 38980-2022</t>
        </is>
      </c>
      <c r="B82" t="inlineStr">
        <is>
          <t>avverkningsanmälan</t>
        </is>
      </c>
      <c r="C82" t="inlineStr">
        <is>
          <t>Avverkning för annat ändamål</t>
        </is>
      </c>
      <c r="D82" s="1" t="n">
        <v>44816</v>
      </c>
      <c r="E82" s="1" t="n">
        <v>46219</v>
      </c>
      <c r="F82" t="inlineStr">
        <is>
          <t>NORRBOTTENS LÄN</t>
        </is>
      </c>
      <c r="G82" t="inlineStr">
        <is>
          <t>ÖVERTORNEÅ</t>
        </is>
      </c>
      <c r="H82" t="inlineStr">
        <is>
          <t>Sveaskog</t>
        </is>
      </c>
      <c r="I82" t="n">
        <v>5</v>
      </c>
      <c r="J82" t="n">
        <v>0</v>
      </c>
      <c r="K82" t="n">
        <v>0</v>
      </c>
      <c r="L82" t="n">
        <v>0</v>
      </c>
      <c r="M82" t="n">
        <v>0</v>
      </c>
      <c r="N82" t="n">
        <v>0</v>
      </c>
      <c r="O82" t="n">
        <v>0</v>
      </c>
      <c r="P82" t="n">
        <v>0</v>
      </c>
      <c r="Q82" t="n">
        <v>0</v>
      </c>
      <c r="R82" t="n">
        <v>0</v>
      </c>
      <c r="S82" t="n">
        <v>0</v>
      </c>
      <c r="T82" t="n">
        <v>0</v>
      </c>
      <c r="U82" s="2" t="inlineStr"/>
    </row>
    <row r="83" ht="15" customHeight="1">
      <c r="A83" t="inlineStr">
        <is>
          <t>A 43487-2021</t>
        </is>
      </c>
      <c r="B83" t="inlineStr">
        <is>
          <t>avverkningsanmälan</t>
        </is>
      </c>
      <c r="C83" t="inlineStr">
        <is>
          <t>Föryngringsavverkning</t>
        </is>
      </c>
      <c r="D83" s="1" t="n">
        <v>44432</v>
      </c>
      <c r="E83" s="1" t="n">
        <v>46219</v>
      </c>
      <c r="F83" t="inlineStr">
        <is>
          <t>NORRBOTTENS LÄN</t>
        </is>
      </c>
      <c r="G83" t="inlineStr">
        <is>
          <t>ÖVERTORNEÅ</t>
        </is>
      </c>
      <c r="I83" t="n">
        <v>22.5</v>
      </c>
      <c r="J83" t="n">
        <v>0</v>
      </c>
      <c r="K83" t="n">
        <v>0</v>
      </c>
      <c r="L83" t="n">
        <v>0</v>
      </c>
      <c r="M83" t="n">
        <v>0</v>
      </c>
      <c r="N83" t="n">
        <v>0</v>
      </c>
      <c r="O83" t="n">
        <v>0</v>
      </c>
      <c r="P83" t="n">
        <v>0</v>
      </c>
      <c r="Q83" t="n">
        <v>0</v>
      </c>
      <c r="R83" t="n">
        <v>0</v>
      </c>
      <c r="S83" t="n">
        <v>0</v>
      </c>
      <c r="T83" t="n">
        <v>0</v>
      </c>
      <c r="U83" s="2" t="inlineStr"/>
    </row>
    <row r="84" ht="15" customHeight="1">
      <c r="A84" t="inlineStr">
        <is>
          <t>A 34992-2023</t>
        </is>
      </c>
      <c r="B84" t="inlineStr">
        <is>
          <t>avverkningsanmälan</t>
        </is>
      </c>
      <c r="C84" t="inlineStr">
        <is>
          <t>Föryngringsavverkning</t>
        </is>
      </c>
      <c r="D84" s="1" t="n">
        <v>45142</v>
      </c>
      <c r="E84" s="1" t="n">
        <v>46219</v>
      </c>
      <c r="F84" t="inlineStr">
        <is>
          <t>NORRBOTTENS LÄN</t>
        </is>
      </c>
      <c r="G84" t="inlineStr">
        <is>
          <t>ÖVERTORNEÅ</t>
        </is>
      </c>
      <c r="I84" t="n">
        <v>1.5</v>
      </c>
      <c r="J84" t="n">
        <v>0</v>
      </c>
      <c r="K84" t="n">
        <v>0</v>
      </c>
      <c r="L84" t="n">
        <v>0</v>
      </c>
      <c r="M84" t="n">
        <v>0</v>
      </c>
      <c r="N84" t="n">
        <v>0</v>
      </c>
      <c r="O84" t="n">
        <v>0</v>
      </c>
      <c r="P84" t="n">
        <v>0</v>
      </c>
      <c r="Q84" t="n">
        <v>0</v>
      </c>
      <c r="R84" t="n">
        <v>0</v>
      </c>
      <c r="S84" t="n">
        <v>0</v>
      </c>
      <c r="T84" t="n">
        <v>0</v>
      </c>
      <c r="U84" s="2" t="inlineStr"/>
    </row>
    <row r="85" ht="15" customHeight="1">
      <c r="A85" t="inlineStr">
        <is>
          <t>A 44540-2024</t>
        </is>
      </c>
      <c r="B85" t="inlineStr">
        <is>
          <t>avverkningsanmälan</t>
        </is>
      </c>
      <c r="C85" t="inlineStr">
        <is>
          <t>Föryngringsavverkning</t>
        </is>
      </c>
      <c r="D85" s="1" t="n">
        <v>45574</v>
      </c>
      <c r="E85" s="1" t="n">
        <v>46219</v>
      </c>
      <c r="F85" t="inlineStr">
        <is>
          <t>NORRBOTTENS LÄN</t>
        </is>
      </c>
      <c r="G85" t="inlineStr">
        <is>
          <t>ÖVERTORNEÅ</t>
        </is>
      </c>
      <c r="I85" t="n">
        <v>4.3</v>
      </c>
      <c r="J85" t="n">
        <v>0</v>
      </c>
      <c r="K85" t="n">
        <v>0</v>
      </c>
      <c r="L85" t="n">
        <v>0</v>
      </c>
      <c r="M85" t="n">
        <v>0</v>
      </c>
      <c r="N85" t="n">
        <v>0</v>
      </c>
      <c r="O85" t="n">
        <v>0</v>
      </c>
      <c r="P85" t="n">
        <v>0</v>
      </c>
      <c r="Q85" t="n">
        <v>0</v>
      </c>
      <c r="R85" t="n">
        <v>0</v>
      </c>
      <c r="S85" t="n">
        <v>0</v>
      </c>
      <c r="T85" t="n">
        <v>0</v>
      </c>
      <c r="U85" s="2" t="inlineStr"/>
    </row>
    <row r="86" ht="15" customHeight="1">
      <c r="A86" t="inlineStr">
        <is>
          <t>A 24656-2024</t>
        </is>
      </c>
      <c r="B86" t="inlineStr">
        <is>
          <t>avverkningsanmälan</t>
        </is>
      </c>
      <c r="C86" t="inlineStr">
        <is>
          <t>Föryngringsavverkning</t>
        </is>
      </c>
      <c r="D86" s="1" t="n">
        <v>45460</v>
      </c>
      <c r="E86" s="1" t="n">
        <v>46219</v>
      </c>
      <c r="F86" t="inlineStr">
        <is>
          <t>NORRBOTTENS LÄN</t>
        </is>
      </c>
      <c r="G86" t="inlineStr">
        <is>
          <t>ÖVERTORNEÅ</t>
        </is>
      </c>
      <c r="H86" t="inlineStr">
        <is>
          <t>Sveaskog</t>
        </is>
      </c>
      <c r="I86" t="n">
        <v>16.9</v>
      </c>
      <c r="J86" t="n">
        <v>0</v>
      </c>
      <c r="K86" t="n">
        <v>0</v>
      </c>
      <c r="L86" t="n">
        <v>0</v>
      </c>
      <c r="M86" t="n">
        <v>0</v>
      </c>
      <c r="N86" t="n">
        <v>0</v>
      </c>
      <c r="O86" t="n">
        <v>0</v>
      </c>
      <c r="P86" t="n">
        <v>0</v>
      </c>
      <c r="Q86" t="n">
        <v>0</v>
      </c>
      <c r="R86" t="n">
        <v>0</v>
      </c>
      <c r="S86" t="n">
        <v>0</v>
      </c>
      <c r="T86" t="n">
        <v>0</v>
      </c>
      <c r="U86" s="2" t="inlineStr"/>
    </row>
    <row r="87" ht="15" customHeight="1">
      <c r="A87" t="inlineStr">
        <is>
          <t>A 14826-2024</t>
        </is>
      </c>
      <c r="B87" t="inlineStr">
        <is>
          <t>avverkningsanmälan</t>
        </is>
      </c>
      <c r="C87" t="inlineStr">
        <is>
          <t>Föryngringsavverkning</t>
        </is>
      </c>
      <c r="D87" s="1" t="n">
        <v>45398</v>
      </c>
      <c r="E87" s="1" t="n">
        <v>46219</v>
      </c>
      <c r="F87" t="inlineStr">
        <is>
          <t>NORRBOTTENS LÄN</t>
        </is>
      </c>
      <c r="G87" t="inlineStr">
        <is>
          <t>ÖVERTORNEÅ</t>
        </is>
      </c>
      <c r="H87" t="inlineStr">
        <is>
          <t>Sveaskog</t>
        </is>
      </c>
      <c r="I87" t="n">
        <v>32.7</v>
      </c>
      <c r="J87" t="n">
        <v>0</v>
      </c>
      <c r="K87" t="n">
        <v>0</v>
      </c>
      <c r="L87" t="n">
        <v>0</v>
      </c>
      <c r="M87" t="n">
        <v>0</v>
      </c>
      <c r="N87" t="n">
        <v>0</v>
      </c>
      <c r="O87" t="n">
        <v>0</v>
      </c>
      <c r="P87" t="n">
        <v>0</v>
      </c>
      <c r="Q87" t="n">
        <v>0</v>
      </c>
      <c r="R87" t="n">
        <v>0</v>
      </c>
      <c r="S87" t="n">
        <v>0</v>
      </c>
      <c r="T87" t="n">
        <v>0</v>
      </c>
      <c r="U87" s="2" t="inlineStr"/>
    </row>
    <row r="88" ht="15" customHeight="1">
      <c r="A88" t="inlineStr">
        <is>
          <t>A 28928-2024</t>
        </is>
      </c>
      <c r="B88" t="inlineStr">
        <is>
          <t>avverkningsanmälan</t>
        </is>
      </c>
      <c r="C88" t="inlineStr">
        <is>
          <t>Avverkning för annat ändamål</t>
        </is>
      </c>
      <c r="D88" s="1" t="n">
        <v>45481</v>
      </c>
      <c r="E88" s="1" t="n">
        <v>46219</v>
      </c>
      <c r="F88" t="inlineStr">
        <is>
          <t>NORRBOTTENS LÄN</t>
        </is>
      </c>
      <c r="G88" t="inlineStr">
        <is>
          <t>ÖVERTORNEÅ</t>
        </is>
      </c>
      <c r="H88" t="inlineStr">
        <is>
          <t>Sveaskog</t>
        </is>
      </c>
      <c r="I88" t="n">
        <v>1.6</v>
      </c>
      <c r="J88" t="n">
        <v>0</v>
      </c>
      <c r="K88" t="n">
        <v>0</v>
      </c>
      <c r="L88" t="n">
        <v>0</v>
      </c>
      <c r="M88" t="n">
        <v>0</v>
      </c>
      <c r="N88" t="n">
        <v>0</v>
      </c>
      <c r="O88" t="n">
        <v>0</v>
      </c>
      <c r="P88" t="n">
        <v>0</v>
      </c>
      <c r="Q88" t="n">
        <v>0</v>
      </c>
      <c r="R88" t="n">
        <v>0</v>
      </c>
      <c r="S88" t="n">
        <v>0</v>
      </c>
      <c r="T88" t="n">
        <v>0</v>
      </c>
      <c r="U88" s="2" t="inlineStr"/>
    </row>
    <row r="89" ht="15" customHeight="1">
      <c r="A89" t="inlineStr">
        <is>
          <t>A 16561-2022</t>
        </is>
      </c>
      <c r="B89" t="inlineStr">
        <is>
          <t>avverkningsanmälan</t>
        </is>
      </c>
      <c r="C89" t="inlineStr">
        <is>
          <t>Avverkning för annat ändamål</t>
        </is>
      </c>
      <c r="D89" s="1" t="n">
        <v>44672</v>
      </c>
      <c r="E89" s="1" t="n">
        <v>46219</v>
      </c>
      <c r="F89" t="inlineStr">
        <is>
          <t>NORRBOTTENS LÄN</t>
        </is>
      </c>
      <c r="G89" t="inlineStr">
        <is>
          <t>ÖVERTORNEÅ</t>
        </is>
      </c>
      <c r="I89" t="n">
        <v>1.2</v>
      </c>
      <c r="J89" t="n">
        <v>0</v>
      </c>
      <c r="K89" t="n">
        <v>0</v>
      </c>
      <c r="L89" t="n">
        <v>0</v>
      </c>
      <c r="M89" t="n">
        <v>0</v>
      </c>
      <c r="N89" t="n">
        <v>0</v>
      </c>
      <c r="O89" t="n">
        <v>0</v>
      </c>
      <c r="P89" t="n">
        <v>0</v>
      </c>
      <c r="Q89" t="n">
        <v>0</v>
      </c>
      <c r="R89" t="n">
        <v>0</v>
      </c>
      <c r="S89" t="n">
        <v>0</v>
      </c>
      <c r="T89" t="n">
        <v>0</v>
      </c>
      <c r="U89" s="2" t="inlineStr"/>
    </row>
    <row r="90" ht="15" customHeight="1">
      <c r="A90" t="inlineStr">
        <is>
          <t>A 50807-2023</t>
        </is>
      </c>
      <c r="B90" t="inlineStr">
        <is>
          <t>avverkningsanmälan</t>
        </is>
      </c>
      <c r="C90" t="inlineStr">
        <is>
          <t>Avverkning för annat ändamål</t>
        </is>
      </c>
      <c r="D90" s="1" t="n">
        <v>45217</v>
      </c>
      <c r="E90" s="1" t="n">
        <v>46219</v>
      </c>
      <c r="F90" t="inlineStr">
        <is>
          <t>NORRBOTTENS LÄN</t>
        </is>
      </c>
      <c r="G90" t="inlineStr">
        <is>
          <t>ÖVERTORNEÅ</t>
        </is>
      </c>
      <c r="I90" t="n">
        <v>0.9</v>
      </c>
      <c r="J90" t="n">
        <v>0</v>
      </c>
      <c r="K90" t="n">
        <v>0</v>
      </c>
      <c r="L90" t="n">
        <v>0</v>
      </c>
      <c r="M90" t="n">
        <v>0</v>
      </c>
      <c r="N90" t="n">
        <v>0</v>
      </c>
      <c r="O90" t="n">
        <v>0</v>
      </c>
      <c r="P90" t="n">
        <v>0</v>
      </c>
      <c r="Q90" t="n">
        <v>0</v>
      </c>
      <c r="R90" t="n">
        <v>0</v>
      </c>
      <c r="S90" t="n">
        <v>0</v>
      </c>
      <c r="T90" t="n">
        <v>0</v>
      </c>
      <c r="U90" s="2" t="inlineStr"/>
    </row>
    <row r="91" ht="15" customHeight="1">
      <c r="A91" t="inlineStr">
        <is>
          <t>A 20564-2025</t>
        </is>
      </c>
      <c r="B91" t="inlineStr">
        <is>
          <t>avverkningsanmälan</t>
        </is>
      </c>
      <c r="C91" t="inlineStr">
        <is>
          <t>Föryngringsavverkning</t>
        </is>
      </c>
      <c r="D91" s="1" t="n">
        <v>45775</v>
      </c>
      <c r="E91" s="1" t="n">
        <v>46219</v>
      </c>
      <c r="F91" t="inlineStr">
        <is>
          <t>NORRBOTTENS LÄN</t>
        </is>
      </c>
      <c r="G91" t="inlineStr">
        <is>
          <t>ÖVERTORNEÅ</t>
        </is>
      </c>
      <c r="H91" t="inlineStr">
        <is>
          <t>Sveaskog</t>
        </is>
      </c>
      <c r="I91" t="n">
        <v>39.6</v>
      </c>
      <c r="J91" t="n">
        <v>0</v>
      </c>
      <c r="K91" t="n">
        <v>0</v>
      </c>
      <c r="L91" t="n">
        <v>0</v>
      </c>
      <c r="M91" t="n">
        <v>0</v>
      </c>
      <c r="N91" t="n">
        <v>0</v>
      </c>
      <c r="O91" t="n">
        <v>0</v>
      </c>
      <c r="P91" t="n">
        <v>0</v>
      </c>
      <c r="Q91" t="n">
        <v>0</v>
      </c>
      <c r="R91" t="n">
        <v>0</v>
      </c>
      <c r="S91" t="n">
        <v>0</v>
      </c>
      <c r="T91" t="n">
        <v>0</v>
      </c>
      <c r="U91" s="2" t="inlineStr"/>
    </row>
    <row r="92" ht="15" customHeight="1">
      <c r="A92" t="inlineStr">
        <is>
          <t>A 31774-2022</t>
        </is>
      </c>
      <c r="B92" t="inlineStr">
        <is>
          <t>avverkningsanmälan</t>
        </is>
      </c>
      <c r="C92" t="inlineStr">
        <is>
          <t>Föryngringsavverkning</t>
        </is>
      </c>
      <c r="D92" s="1" t="n">
        <v>44776</v>
      </c>
      <c r="E92" s="1" t="n">
        <v>46219</v>
      </c>
      <c r="F92" t="inlineStr">
        <is>
          <t>NORRBOTTENS LÄN</t>
        </is>
      </c>
      <c r="G92" t="inlineStr">
        <is>
          <t>ÖVERTORNEÅ</t>
        </is>
      </c>
      <c r="I92" t="n">
        <v>2.2</v>
      </c>
      <c r="J92" t="n">
        <v>0</v>
      </c>
      <c r="K92" t="n">
        <v>0</v>
      </c>
      <c r="L92" t="n">
        <v>0</v>
      </c>
      <c r="M92" t="n">
        <v>0</v>
      </c>
      <c r="N92" t="n">
        <v>0</v>
      </c>
      <c r="O92" t="n">
        <v>0</v>
      </c>
      <c r="P92" t="n">
        <v>0</v>
      </c>
      <c r="Q92" t="n">
        <v>0</v>
      </c>
      <c r="R92" t="n">
        <v>0</v>
      </c>
      <c r="S92" t="n">
        <v>0</v>
      </c>
      <c r="T92" t="n">
        <v>0</v>
      </c>
      <c r="U92" s="2" t="inlineStr"/>
    </row>
    <row r="93" ht="15" customHeight="1">
      <c r="A93" t="inlineStr">
        <is>
          <t>A 12163-2024</t>
        </is>
      </c>
      <c r="B93" t="inlineStr">
        <is>
          <t>avverkningsanmälan</t>
        </is>
      </c>
      <c r="C93" t="inlineStr">
        <is>
          <t>Föryngringsavverkning</t>
        </is>
      </c>
      <c r="D93" s="1" t="n">
        <v>45377</v>
      </c>
      <c r="E93" s="1" t="n">
        <v>46219</v>
      </c>
      <c r="F93" t="inlineStr">
        <is>
          <t>NORRBOTTENS LÄN</t>
        </is>
      </c>
      <c r="G93" t="inlineStr">
        <is>
          <t>ÖVERTORNEÅ</t>
        </is>
      </c>
      <c r="I93" t="n">
        <v>2.8</v>
      </c>
      <c r="J93" t="n">
        <v>0</v>
      </c>
      <c r="K93" t="n">
        <v>0</v>
      </c>
      <c r="L93" t="n">
        <v>0</v>
      </c>
      <c r="M93" t="n">
        <v>0</v>
      </c>
      <c r="N93" t="n">
        <v>0</v>
      </c>
      <c r="O93" t="n">
        <v>0</v>
      </c>
      <c r="P93" t="n">
        <v>0</v>
      </c>
      <c r="Q93" t="n">
        <v>0</v>
      </c>
      <c r="R93" t="n">
        <v>0</v>
      </c>
      <c r="S93" t="n">
        <v>0</v>
      </c>
      <c r="T93" t="n">
        <v>0</v>
      </c>
      <c r="U93" s="2" t="inlineStr"/>
    </row>
    <row r="94" ht="15" customHeight="1">
      <c r="A94" t="inlineStr">
        <is>
          <t>A 5030-2024</t>
        </is>
      </c>
      <c r="B94" t="inlineStr">
        <is>
          <t>avverkningsanmälan</t>
        </is>
      </c>
      <c r="C94" t="inlineStr">
        <is>
          <t>Avverkning för annat ändamål</t>
        </is>
      </c>
      <c r="D94" s="1" t="n">
        <v>45329</v>
      </c>
      <c r="E94" s="1" t="n">
        <v>46219</v>
      </c>
      <c r="F94" t="inlineStr">
        <is>
          <t>NORRBOTTENS LÄN</t>
        </is>
      </c>
      <c r="G94" t="inlineStr">
        <is>
          <t>ÖVERTORNEÅ</t>
        </is>
      </c>
      <c r="I94" t="n">
        <v>0.3</v>
      </c>
      <c r="J94" t="n">
        <v>0</v>
      </c>
      <c r="K94" t="n">
        <v>0</v>
      </c>
      <c r="L94" t="n">
        <v>0</v>
      </c>
      <c r="M94" t="n">
        <v>0</v>
      </c>
      <c r="N94" t="n">
        <v>0</v>
      </c>
      <c r="O94" t="n">
        <v>0</v>
      </c>
      <c r="P94" t="n">
        <v>0</v>
      </c>
      <c r="Q94" t="n">
        <v>0</v>
      </c>
      <c r="R94" t="n">
        <v>0</v>
      </c>
      <c r="S94" t="n">
        <v>0</v>
      </c>
      <c r="T94" t="n">
        <v>0</v>
      </c>
      <c r="U94" s="2" t="inlineStr"/>
    </row>
    <row r="95" ht="15" customHeight="1">
      <c r="A95" t="inlineStr">
        <is>
          <t>A 5093-2025</t>
        </is>
      </c>
      <c r="B95" t="inlineStr">
        <is>
          <t>avverkningsanmälan</t>
        </is>
      </c>
      <c r="C95" t="inlineStr">
        <is>
          <t>Avverkning för annat ändamål</t>
        </is>
      </c>
      <c r="D95" s="1" t="n">
        <v>45691</v>
      </c>
      <c r="E95" s="1" t="n">
        <v>46219</v>
      </c>
      <c r="F95" t="inlineStr">
        <is>
          <t>NORRBOTTENS LÄN</t>
        </is>
      </c>
      <c r="G95" t="inlineStr">
        <is>
          <t>ÖVERTORNEÅ</t>
        </is>
      </c>
      <c r="I95" t="n">
        <v>1</v>
      </c>
      <c r="J95" t="n">
        <v>0</v>
      </c>
      <c r="K95" t="n">
        <v>0</v>
      </c>
      <c r="L95" t="n">
        <v>0</v>
      </c>
      <c r="M95" t="n">
        <v>0</v>
      </c>
      <c r="N95" t="n">
        <v>0</v>
      </c>
      <c r="O95" t="n">
        <v>0</v>
      </c>
      <c r="P95" t="n">
        <v>0</v>
      </c>
      <c r="Q95" t="n">
        <v>0</v>
      </c>
      <c r="R95" t="n">
        <v>0</v>
      </c>
      <c r="S95" t="n">
        <v>0</v>
      </c>
      <c r="T95" t="n">
        <v>0</v>
      </c>
      <c r="U95" s="2" t="inlineStr"/>
    </row>
    <row r="96" ht="15" customHeight="1">
      <c r="A96" t="inlineStr">
        <is>
          <t>A 46024-2021</t>
        </is>
      </c>
      <c r="B96" t="inlineStr">
        <is>
          <t>avverkningsanmälan</t>
        </is>
      </c>
      <c r="C96" t="inlineStr">
        <is>
          <t>Föryngringsavverkning</t>
        </is>
      </c>
      <c r="D96" s="1" t="n">
        <v>44441</v>
      </c>
      <c r="E96" s="1" t="n">
        <v>46219</v>
      </c>
      <c r="F96" t="inlineStr">
        <is>
          <t>NORRBOTTENS LÄN</t>
        </is>
      </c>
      <c r="G96" t="inlineStr">
        <is>
          <t>ÖVERTORNEÅ</t>
        </is>
      </c>
      <c r="I96" t="n">
        <v>2.7</v>
      </c>
      <c r="J96" t="n">
        <v>0</v>
      </c>
      <c r="K96" t="n">
        <v>0</v>
      </c>
      <c r="L96" t="n">
        <v>0</v>
      </c>
      <c r="M96" t="n">
        <v>0</v>
      </c>
      <c r="N96" t="n">
        <v>0</v>
      </c>
      <c r="O96" t="n">
        <v>0</v>
      </c>
      <c r="P96" t="n">
        <v>0</v>
      </c>
      <c r="Q96" t="n">
        <v>0</v>
      </c>
      <c r="R96" t="n">
        <v>0</v>
      </c>
      <c r="S96" t="n">
        <v>0</v>
      </c>
      <c r="T96" t="n">
        <v>0</v>
      </c>
      <c r="U96" s="2" t="inlineStr"/>
    </row>
    <row r="97" ht="15" customHeight="1">
      <c r="A97" t="inlineStr">
        <is>
          <t>A 53077-2023</t>
        </is>
      </c>
      <c r="B97" t="inlineStr">
        <is>
          <t>avverkningsanmälan</t>
        </is>
      </c>
      <c r="C97" t="inlineStr">
        <is>
          <t>Föryngringsavverkning</t>
        </is>
      </c>
      <c r="D97" s="1" t="n">
        <v>45227</v>
      </c>
      <c r="E97" s="1" t="n">
        <v>46219</v>
      </c>
      <c r="F97" t="inlineStr">
        <is>
          <t>NORRBOTTENS LÄN</t>
        </is>
      </c>
      <c r="G97" t="inlineStr">
        <is>
          <t>ÖVERTORNEÅ</t>
        </is>
      </c>
      <c r="I97" t="n">
        <v>2.1</v>
      </c>
      <c r="J97" t="n">
        <v>0</v>
      </c>
      <c r="K97" t="n">
        <v>0</v>
      </c>
      <c r="L97" t="n">
        <v>0</v>
      </c>
      <c r="M97" t="n">
        <v>0</v>
      </c>
      <c r="N97" t="n">
        <v>0</v>
      </c>
      <c r="O97" t="n">
        <v>0</v>
      </c>
      <c r="P97" t="n">
        <v>0</v>
      </c>
      <c r="Q97" t="n">
        <v>0</v>
      </c>
      <c r="R97" t="n">
        <v>0</v>
      </c>
      <c r="S97" t="n">
        <v>0</v>
      </c>
      <c r="T97" t="n">
        <v>0</v>
      </c>
      <c r="U97" s="2" t="inlineStr"/>
    </row>
    <row r="98" ht="15" customHeight="1">
      <c r="A98" t="inlineStr">
        <is>
          <t>A 20173-2025</t>
        </is>
      </c>
      <c r="B98" t="inlineStr">
        <is>
          <t>avverkningsanmälan</t>
        </is>
      </c>
      <c r="C98" t="inlineStr">
        <is>
          <t>Avverkning för annat ändamål</t>
        </is>
      </c>
      <c r="D98" s="1" t="n">
        <v>45772</v>
      </c>
      <c r="E98" s="1" t="n">
        <v>46219</v>
      </c>
      <c r="F98" t="inlineStr">
        <is>
          <t>NORRBOTTENS LÄN</t>
        </is>
      </c>
      <c r="G98" t="inlineStr">
        <is>
          <t>ÖVERTORNEÅ</t>
        </is>
      </c>
      <c r="I98" t="n">
        <v>1</v>
      </c>
      <c r="J98" t="n">
        <v>0</v>
      </c>
      <c r="K98" t="n">
        <v>0</v>
      </c>
      <c r="L98" t="n">
        <v>0</v>
      </c>
      <c r="M98" t="n">
        <v>0</v>
      </c>
      <c r="N98" t="n">
        <v>0</v>
      </c>
      <c r="O98" t="n">
        <v>0</v>
      </c>
      <c r="P98" t="n">
        <v>0</v>
      </c>
      <c r="Q98" t="n">
        <v>0</v>
      </c>
      <c r="R98" t="n">
        <v>0</v>
      </c>
      <c r="S98" t="n">
        <v>0</v>
      </c>
      <c r="T98" t="n">
        <v>0</v>
      </c>
      <c r="U98" s="2" t="inlineStr"/>
    </row>
    <row r="99" ht="15" customHeight="1">
      <c r="A99" t="inlineStr">
        <is>
          <t>A 8476-2024</t>
        </is>
      </c>
      <c r="B99" t="inlineStr">
        <is>
          <t>avverkningsanmälan</t>
        </is>
      </c>
      <c r="C99" t="inlineStr">
        <is>
          <t>Föryngringsavverkning</t>
        </is>
      </c>
      <c r="D99" s="1" t="n">
        <v>45351</v>
      </c>
      <c r="E99" s="1" t="n">
        <v>46219</v>
      </c>
      <c r="F99" t="inlineStr">
        <is>
          <t>NORRBOTTENS LÄN</t>
        </is>
      </c>
      <c r="G99" t="inlineStr">
        <is>
          <t>ÖVERTORNEÅ</t>
        </is>
      </c>
      <c r="I99" t="n">
        <v>1.4</v>
      </c>
      <c r="J99" t="n">
        <v>0</v>
      </c>
      <c r="K99" t="n">
        <v>0</v>
      </c>
      <c r="L99" t="n">
        <v>0</v>
      </c>
      <c r="M99" t="n">
        <v>0</v>
      </c>
      <c r="N99" t="n">
        <v>0</v>
      </c>
      <c r="O99" t="n">
        <v>0</v>
      </c>
      <c r="P99" t="n">
        <v>0</v>
      </c>
      <c r="Q99" t="n">
        <v>0</v>
      </c>
      <c r="R99" t="n">
        <v>0</v>
      </c>
      <c r="S99" t="n">
        <v>0</v>
      </c>
      <c r="T99" t="n">
        <v>0</v>
      </c>
      <c r="U99" s="2" t="inlineStr"/>
    </row>
    <row r="100" ht="15" customHeight="1">
      <c r="A100" t="inlineStr">
        <is>
          <t>A 60515-2022</t>
        </is>
      </c>
      <c r="B100" t="inlineStr">
        <is>
          <t>avverkningsanmälan</t>
        </is>
      </c>
      <c r="C100" t="inlineStr">
        <is>
          <t>Föryngringsavverkning</t>
        </is>
      </c>
      <c r="D100" s="1" t="n">
        <v>44911</v>
      </c>
      <c r="E100" s="1" t="n">
        <v>46219</v>
      </c>
      <c r="F100" t="inlineStr">
        <is>
          <t>NORRBOTTENS LÄN</t>
        </is>
      </c>
      <c r="G100" t="inlineStr">
        <is>
          <t>ÖVERTORNEÅ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8509-2024</t>
        </is>
      </c>
      <c r="B101" t="inlineStr">
        <is>
          <t>avverkningsanmälan</t>
        </is>
      </c>
      <c r="C101" t="inlineStr">
        <is>
          <t>Föryngringsavverkning</t>
        </is>
      </c>
      <c r="D101" s="1" t="n">
        <v>45351</v>
      </c>
      <c r="E101" s="1" t="n">
        <v>46219</v>
      </c>
      <c r="F101" t="inlineStr">
        <is>
          <t>NORRBOTTENS LÄN</t>
        </is>
      </c>
      <c r="G101" t="inlineStr">
        <is>
          <t>ÖVERTORNEÅ</t>
        </is>
      </c>
      <c r="I101" t="n">
        <v>7</v>
      </c>
      <c r="J101" t="n">
        <v>0</v>
      </c>
      <c r="K101" t="n">
        <v>0</v>
      </c>
      <c r="L101" t="n">
        <v>0</v>
      </c>
      <c r="M101" t="n">
        <v>0</v>
      </c>
      <c r="N101" t="n">
        <v>0</v>
      </c>
      <c r="O101" t="n">
        <v>0</v>
      </c>
      <c r="P101" t="n">
        <v>0</v>
      </c>
      <c r="Q101" t="n">
        <v>0</v>
      </c>
      <c r="R101" t="n">
        <v>0</v>
      </c>
      <c r="S101" t="n">
        <v>0</v>
      </c>
      <c r="T101" t="n">
        <v>0</v>
      </c>
      <c r="U101" s="2" t="inlineStr"/>
    </row>
    <row r="102" ht="15" customHeight="1">
      <c r="A102" t="inlineStr">
        <is>
          <t>A 54029-2023</t>
        </is>
      </c>
      <c r="B102" t="inlineStr">
        <is>
          <t>avverkningsanmälan</t>
        </is>
      </c>
      <c r="C102" t="inlineStr">
        <is>
          <t>Föryngringsavverkning</t>
        </is>
      </c>
      <c r="D102" s="1" t="n">
        <v>45231</v>
      </c>
      <c r="E102" s="1" t="n">
        <v>46219</v>
      </c>
      <c r="F102" t="inlineStr">
        <is>
          <t>NORRBOTTENS LÄN</t>
        </is>
      </c>
      <c r="G102" t="inlineStr">
        <is>
          <t>ÖVERTORNEÅ</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20175-2025</t>
        </is>
      </c>
      <c r="B103" t="inlineStr">
        <is>
          <t>avverkningsanmälan</t>
        </is>
      </c>
      <c r="C103" t="inlineStr">
        <is>
          <t>Avverkning för annat ändamål</t>
        </is>
      </c>
      <c r="D103" s="1" t="n">
        <v>45772</v>
      </c>
      <c r="E103" s="1" t="n">
        <v>46219</v>
      </c>
      <c r="F103" t="inlineStr">
        <is>
          <t>NORRBOTTENS LÄN</t>
        </is>
      </c>
      <c r="G103" t="inlineStr">
        <is>
          <t>ÖVERTORNEÅ</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55455-2024</t>
        </is>
      </c>
      <c r="B104" t="inlineStr">
        <is>
          <t>avverkningsanmälan</t>
        </is>
      </c>
      <c r="C104" t="inlineStr">
        <is>
          <t>Föryngringsavverkning</t>
        </is>
      </c>
      <c r="D104" s="1" t="n">
        <v>45622</v>
      </c>
      <c r="E104" s="1" t="n">
        <v>46219</v>
      </c>
      <c r="F104" t="inlineStr">
        <is>
          <t>NORRBOTTENS LÄN</t>
        </is>
      </c>
      <c r="G104" t="inlineStr">
        <is>
          <t>ÖVERTORNEÅ</t>
        </is>
      </c>
      <c r="I104" t="n">
        <v>2.9</v>
      </c>
      <c r="J104" t="n">
        <v>0</v>
      </c>
      <c r="K104" t="n">
        <v>0</v>
      </c>
      <c r="L104" t="n">
        <v>0</v>
      </c>
      <c r="M104" t="n">
        <v>0</v>
      </c>
      <c r="N104" t="n">
        <v>0</v>
      </c>
      <c r="O104" t="n">
        <v>0</v>
      </c>
      <c r="P104" t="n">
        <v>0</v>
      </c>
      <c r="Q104" t="n">
        <v>0</v>
      </c>
      <c r="R104" t="n">
        <v>0</v>
      </c>
      <c r="S104" t="n">
        <v>0</v>
      </c>
      <c r="T104" t="n">
        <v>0</v>
      </c>
      <c r="U104" s="2" t="inlineStr"/>
    </row>
    <row r="105" ht="15" customHeight="1">
      <c r="A105" t="inlineStr">
        <is>
          <t>A 51274-2024</t>
        </is>
      </c>
      <c r="B105" t="inlineStr">
        <is>
          <t>avverkningsanmälan</t>
        </is>
      </c>
      <c r="C105" t="inlineStr">
        <is>
          <t>Föryngringsavverkning</t>
        </is>
      </c>
      <c r="D105" s="1" t="n">
        <v>45602</v>
      </c>
      <c r="E105" s="1" t="n">
        <v>46219</v>
      </c>
      <c r="F105" t="inlineStr">
        <is>
          <t>NORRBOTTENS LÄN</t>
        </is>
      </c>
      <c r="G105" t="inlineStr">
        <is>
          <t>ÖVERTORNEÅ</t>
        </is>
      </c>
      <c r="I105" t="n">
        <v>15.2</v>
      </c>
      <c r="J105" t="n">
        <v>0</v>
      </c>
      <c r="K105" t="n">
        <v>0</v>
      </c>
      <c r="L105" t="n">
        <v>0</v>
      </c>
      <c r="M105" t="n">
        <v>0</v>
      </c>
      <c r="N105" t="n">
        <v>0</v>
      </c>
      <c r="O105" t="n">
        <v>0</v>
      </c>
      <c r="P105" t="n">
        <v>0</v>
      </c>
      <c r="Q105" t="n">
        <v>0</v>
      </c>
      <c r="R105" t="n">
        <v>0</v>
      </c>
      <c r="S105" t="n">
        <v>0</v>
      </c>
      <c r="T105" t="n">
        <v>0</v>
      </c>
      <c r="U105" s="2" t="inlineStr"/>
    </row>
    <row r="106" ht="15" customHeight="1">
      <c r="A106" t="inlineStr">
        <is>
          <t>A 61782-2022</t>
        </is>
      </c>
      <c r="B106" t="inlineStr">
        <is>
          <t>avverkningsanmälan</t>
        </is>
      </c>
      <c r="C106" t="inlineStr">
        <is>
          <t>Föryngringsavverkning</t>
        </is>
      </c>
      <c r="D106" s="1" t="n">
        <v>44917</v>
      </c>
      <c r="E106" s="1" t="n">
        <v>46219</v>
      </c>
      <c r="F106" t="inlineStr">
        <is>
          <t>NORRBOTTENS LÄN</t>
        </is>
      </c>
      <c r="G106" t="inlineStr">
        <is>
          <t>ÖVERTORNEÅ</t>
        </is>
      </c>
      <c r="I106" t="n">
        <v>7</v>
      </c>
      <c r="J106" t="n">
        <v>0</v>
      </c>
      <c r="K106" t="n">
        <v>0</v>
      </c>
      <c r="L106" t="n">
        <v>0</v>
      </c>
      <c r="M106" t="n">
        <v>0</v>
      </c>
      <c r="N106" t="n">
        <v>0</v>
      </c>
      <c r="O106" t="n">
        <v>0</v>
      </c>
      <c r="P106" t="n">
        <v>0</v>
      </c>
      <c r="Q106" t="n">
        <v>0</v>
      </c>
      <c r="R106" t="n">
        <v>0</v>
      </c>
      <c r="S106" t="n">
        <v>0</v>
      </c>
      <c r="T106" t="n">
        <v>0</v>
      </c>
      <c r="U106" s="2" t="inlineStr"/>
    </row>
    <row r="107" ht="15" customHeight="1">
      <c r="A107" t="inlineStr">
        <is>
          <t>A 20405-2024</t>
        </is>
      </c>
      <c r="B107" t="inlineStr">
        <is>
          <t>avverkningsanmälan</t>
        </is>
      </c>
      <c r="C107" t="inlineStr">
        <is>
          <t>Föryngringsavverkning</t>
        </is>
      </c>
      <c r="D107" s="1" t="n">
        <v>45435</v>
      </c>
      <c r="E107" s="1" t="n">
        <v>46219</v>
      </c>
      <c r="F107" t="inlineStr">
        <is>
          <t>NORRBOTTENS LÄN</t>
        </is>
      </c>
      <c r="G107" t="inlineStr">
        <is>
          <t>ÖVERTORNEÅ</t>
        </is>
      </c>
      <c r="H107" t="inlineStr">
        <is>
          <t>Sveaskog</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16452-2024</t>
        </is>
      </c>
      <c r="B108" t="inlineStr">
        <is>
          <t>avverkningsanmälan</t>
        </is>
      </c>
      <c r="C108" t="inlineStr">
        <is>
          <t>Föryngringsavverkning</t>
        </is>
      </c>
      <c r="D108" s="1" t="n">
        <v>45407</v>
      </c>
      <c r="E108" s="1" t="n">
        <v>46219</v>
      </c>
      <c r="F108" t="inlineStr">
        <is>
          <t>NORRBOTTENS LÄN</t>
        </is>
      </c>
      <c r="G108" t="inlineStr">
        <is>
          <t>ÖVERTORNEÅ</t>
        </is>
      </c>
      <c r="I108" t="n">
        <v>3.7</v>
      </c>
      <c r="J108" t="n">
        <v>0</v>
      </c>
      <c r="K108" t="n">
        <v>0</v>
      </c>
      <c r="L108" t="n">
        <v>0</v>
      </c>
      <c r="M108" t="n">
        <v>0</v>
      </c>
      <c r="N108" t="n">
        <v>0</v>
      </c>
      <c r="O108" t="n">
        <v>0</v>
      </c>
      <c r="P108" t="n">
        <v>0</v>
      </c>
      <c r="Q108" t="n">
        <v>0</v>
      </c>
      <c r="R108" t="n">
        <v>0</v>
      </c>
      <c r="S108" t="n">
        <v>0</v>
      </c>
      <c r="T108" t="n">
        <v>0</v>
      </c>
      <c r="U108" s="2" t="inlineStr"/>
    </row>
    <row r="109" ht="15" customHeight="1">
      <c r="A109" t="inlineStr">
        <is>
          <t>A 32681-2024</t>
        </is>
      </c>
      <c r="B109" t="inlineStr">
        <is>
          <t>avverkningsanmälan</t>
        </is>
      </c>
      <c r="C109" t="inlineStr">
        <is>
          <t>Föryngringsavverkning</t>
        </is>
      </c>
      <c r="D109" s="1" t="n">
        <v>45515</v>
      </c>
      <c r="E109" s="1" t="n">
        <v>46219</v>
      </c>
      <c r="F109" t="inlineStr">
        <is>
          <t>NORRBOTTENS LÄN</t>
        </is>
      </c>
      <c r="G109" t="inlineStr">
        <is>
          <t>ÖVERTORNEÅ</t>
        </is>
      </c>
      <c r="I109" t="n">
        <v>8.4</v>
      </c>
      <c r="J109" t="n">
        <v>0</v>
      </c>
      <c r="K109" t="n">
        <v>0</v>
      </c>
      <c r="L109" t="n">
        <v>0</v>
      </c>
      <c r="M109" t="n">
        <v>0</v>
      </c>
      <c r="N109" t="n">
        <v>0</v>
      </c>
      <c r="O109" t="n">
        <v>0</v>
      </c>
      <c r="P109" t="n">
        <v>0</v>
      </c>
      <c r="Q109" t="n">
        <v>0</v>
      </c>
      <c r="R109" t="n">
        <v>0</v>
      </c>
      <c r="S109" t="n">
        <v>0</v>
      </c>
      <c r="T109" t="n">
        <v>0</v>
      </c>
      <c r="U109" s="2" t="inlineStr"/>
    </row>
    <row r="110" ht="15" customHeight="1">
      <c r="A110" t="inlineStr">
        <is>
          <t>A 58394-2024</t>
        </is>
      </c>
      <c r="B110" t="inlineStr">
        <is>
          <t>avverkningsanmälan</t>
        </is>
      </c>
      <c r="C110" t="inlineStr">
        <is>
          <t>Föryngringsavverkning</t>
        </is>
      </c>
      <c r="D110" s="1" t="n">
        <v>45633</v>
      </c>
      <c r="E110" s="1" t="n">
        <v>46219</v>
      </c>
      <c r="F110" t="inlineStr">
        <is>
          <t>NORRBOTTENS LÄN</t>
        </is>
      </c>
      <c r="G110" t="inlineStr">
        <is>
          <t>ÖVERTORNEÅ</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36057-2023</t>
        </is>
      </c>
      <c r="B111" t="inlineStr">
        <is>
          <t>avverkningsanmälan</t>
        </is>
      </c>
      <c r="C111" t="inlineStr">
        <is>
          <t>Föryngringsavverkning</t>
        </is>
      </c>
      <c r="D111" s="1" t="n">
        <v>45149</v>
      </c>
      <c r="E111" s="1" t="n">
        <v>46219</v>
      </c>
      <c r="F111" t="inlineStr">
        <is>
          <t>NORRBOTTENS LÄN</t>
        </is>
      </c>
      <c r="G111" t="inlineStr">
        <is>
          <t>ÖVERTORNEÅ</t>
        </is>
      </c>
      <c r="I111" t="n">
        <v>3.7</v>
      </c>
      <c r="J111" t="n">
        <v>0</v>
      </c>
      <c r="K111" t="n">
        <v>0</v>
      </c>
      <c r="L111" t="n">
        <v>0</v>
      </c>
      <c r="M111" t="n">
        <v>0</v>
      </c>
      <c r="N111" t="n">
        <v>0</v>
      </c>
      <c r="O111" t="n">
        <v>0</v>
      </c>
      <c r="P111" t="n">
        <v>0</v>
      </c>
      <c r="Q111" t="n">
        <v>0</v>
      </c>
      <c r="R111" t="n">
        <v>0</v>
      </c>
      <c r="S111" t="n">
        <v>0</v>
      </c>
      <c r="T111" t="n">
        <v>0</v>
      </c>
      <c r="U111" s="2" t="inlineStr"/>
    </row>
    <row r="112" ht="15" customHeight="1">
      <c r="A112" t="inlineStr">
        <is>
          <t>A 6790-2025</t>
        </is>
      </c>
      <c r="B112" t="inlineStr">
        <is>
          <t>avverkningsanmälan</t>
        </is>
      </c>
      <c r="C112" t="inlineStr">
        <is>
          <t>Föryngringsavverkning</t>
        </is>
      </c>
      <c r="D112" s="1" t="n">
        <v>45700</v>
      </c>
      <c r="E112" s="1" t="n">
        <v>46219</v>
      </c>
      <c r="F112" t="inlineStr">
        <is>
          <t>NORRBOTTENS LÄN</t>
        </is>
      </c>
      <c r="G112" t="inlineStr">
        <is>
          <t>ÖVERTORNEÅ</t>
        </is>
      </c>
      <c r="I112" t="n">
        <v>8.1</v>
      </c>
      <c r="J112" t="n">
        <v>0</v>
      </c>
      <c r="K112" t="n">
        <v>0</v>
      </c>
      <c r="L112" t="n">
        <v>0</v>
      </c>
      <c r="M112" t="n">
        <v>0</v>
      </c>
      <c r="N112" t="n">
        <v>0</v>
      </c>
      <c r="O112" t="n">
        <v>0</v>
      </c>
      <c r="P112" t="n">
        <v>0</v>
      </c>
      <c r="Q112" t="n">
        <v>0</v>
      </c>
      <c r="R112" t="n">
        <v>0</v>
      </c>
      <c r="S112" t="n">
        <v>0</v>
      </c>
      <c r="T112" t="n">
        <v>0</v>
      </c>
      <c r="U112" s="2" t="inlineStr"/>
    </row>
    <row r="113" ht="15" customHeight="1">
      <c r="A113" t="inlineStr">
        <is>
          <t>A 17807-2024</t>
        </is>
      </c>
      <c r="B113" t="inlineStr">
        <is>
          <t>avverkningsanmälan</t>
        </is>
      </c>
      <c r="C113" t="inlineStr">
        <is>
          <t>Föryngringsavverkning</t>
        </is>
      </c>
      <c r="D113" s="1" t="n">
        <v>45418</v>
      </c>
      <c r="E113" s="1" t="n">
        <v>46219</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s="2" t="inlineStr"/>
    </row>
    <row r="114" ht="15" customHeight="1">
      <c r="A114" t="inlineStr">
        <is>
          <t>A 19051-2024</t>
        </is>
      </c>
      <c r="B114" t="inlineStr">
        <is>
          <t>avverkningsanmälan</t>
        </is>
      </c>
      <c r="C114" t="inlineStr">
        <is>
          <t>Föryngringsavverkning</t>
        </is>
      </c>
      <c r="D114" s="1" t="n">
        <v>45427</v>
      </c>
      <c r="E114" s="1" t="n">
        <v>46219</v>
      </c>
      <c r="F114" t="inlineStr">
        <is>
          <t>NORRBOTTENS LÄN</t>
        </is>
      </c>
      <c r="G114" t="inlineStr">
        <is>
          <t>ÖVERTORNEÅ</t>
        </is>
      </c>
      <c r="I114" t="n">
        <v>8.199999999999999</v>
      </c>
      <c r="J114" t="n">
        <v>0</v>
      </c>
      <c r="K114" t="n">
        <v>0</v>
      </c>
      <c r="L114" t="n">
        <v>0</v>
      </c>
      <c r="M114" t="n">
        <v>0</v>
      </c>
      <c r="N114" t="n">
        <v>0</v>
      </c>
      <c r="O114" t="n">
        <v>0</v>
      </c>
      <c r="P114" t="n">
        <v>0</v>
      </c>
      <c r="Q114" t="n">
        <v>0</v>
      </c>
      <c r="R114" t="n">
        <v>0</v>
      </c>
      <c r="S114" t="n">
        <v>0</v>
      </c>
      <c r="T114" t="n">
        <v>0</v>
      </c>
      <c r="U114" s="2" t="inlineStr"/>
    </row>
    <row r="115" ht="15" customHeight="1">
      <c r="A115" t="inlineStr">
        <is>
          <t>A 30364-2025</t>
        </is>
      </c>
      <c r="B115" t="inlineStr">
        <is>
          <t>avverkningsanmälan</t>
        </is>
      </c>
      <c r="C115" t="inlineStr">
        <is>
          <t>Föryngringsavverkning</t>
        </is>
      </c>
      <c r="D115" s="1" t="n">
        <v>45827</v>
      </c>
      <c r="E115" s="1" t="n">
        <v>46219</v>
      </c>
      <c r="F115" t="inlineStr">
        <is>
          <t>NORRBOTTENS LÄN</t>
        </is>
      </c>
      <c r="G115" t="inlineStr">
        <is>
          <t>ÖVERTORNEÅ</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38969-2025</t>
        </is>
      </c>
      <c r="B116" t="inlineStr">
        <is>
          <t>avverkningsanmälan</t>
        </is>
      </c>
      <c r="C116" t="inlineStr">
        <is>
          <t>Föryngringsavverkning</t>
        </is>
      </c>
      <c r="D116" s="1" t="n">
        <v>45887</v>
      </c>
      <c r="E116" s="1" t="n">
        <v>46219</v>
      </c>
      <c r="F116" t="inlineStr">
        <is>
          <t>NORRBOTTENS LÄN</t>
        </is>
      </c>
      <c r="G116" t="inlineStr">
        <is>
          <t>ÖVERTORNEÅ</t>
        </is>
      </c>
      <c r="I116" t="n">
        <v>43</v>
      </c>
      <c r="J116" t="n">
        <v>0</v>
      </c>
      <c r="K116" t="n">
        <v>0</v>
      </c>
      <c r="L116" t="n">
        <v>0</v>
      </c>
      <c r="M116" t="n">
        <v>0</v>
      </c>
      <c r="N116" t="n">
        <v>0</v>
      </c>
      <c r="O116" t="n">
        <v>0</v>
      </c>
      <c r="P116" t="n">
        <v>0</v>
      </c>
      <c r="Q116" t="n">
        <v>0</v>
      </c>
      <c r="R116" t="n">
        <v>0</v>
      </c>
      <c r="S116" t="n">
        <v>0</v>
      </c>
      <c r="T116" t="n">
        <v>0</v>
      </c>
      <c r="U116" s="2" t="inlineStr"/>
    </row>
    <row r="117" ht="15" customHeight="1">
      <c r="A117" t="inlineStr">
        <is>
          <t>A 28953-2024</t>
        </is>
      </c>
      <c r="B117" t="inlineStr">
        <is>
          <t>avverkningsanmälan</t>
        </is>
      </c>
      <c r="C117" t="inlineStr">
        <is>
          <t>Föryngringsavverkning</t>
        </is>
      </c>
      <c r="D117" s="1" t="n">
        <v>45481</v>
      </c>
      <c r="E117" s="1" t="n">
        <v>46219</v>
      </c>
      <c r="F117" t="inlineStr">
        <is>
          <t>NORRBOTTENS LÄN</t>
        </is>
      </c>
      <c r="G117" t="inlineStr">
        <is>
          <t>ÖVERTORNEÅ</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38974-2025</t>
        </is>
      </c>
      <c r="B118" t="inlineStr">
        <is>
          <t>avverkningsanmälan</t>
        </is>
      </c>
      <c r="C118" t="inlineStr">
        <is>
          <t>Föryngringsavverkning</t>
        </is>
      </c>
      <c r="D118" s="1" t="n">
        <v>45887</v>
      </c>
      <c r="E118" s="1" t="n">
        <v>46219</v>
      </c>
      <c r="F118" t="inlineStr">
        <is>
          <t>NORRBOTTENS LÄN</t>
        </is>
      </c>
      <c r="G118" t="inlineStr">
        <is>
          <t>ÖVERTORNEÅ</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22419-2024</t>
        </is>
      </c>
      <c r="B119" t="inlineStr">
        <is>
          <t>avverkningsanmälan</t>
        </is>
      </c>
      <c r="C119" t="inlineStr">
        <is>
          <t>Föryngringsavverkning</t>
        </is>
      </c>
      <c r="D119" s="1" t="n">
        <v>45446</v>
      </c>
      <c r="E119" s="1" t="n">
        <v>46219</v>
      </c>
      <c r="F119" t="inlineStr">
        <is>
          <t>NORRBOTTENS LÄN</t>
        </is>
      </c>
      <c r="G119" t="inlineStr">
        <is>
          <t>ÖVERTORNEÅ</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51275-2024</t>
        </is>
      </c>
      <c r="B120" t="inlineStr">
        <is>
          <t>avverkningsanmälan</t>
        </is>
      </c>
      <c r="C120" t="inlineStr">
        <is>
          <t>Föryngringsavverkning</t>
        </is>
      </c>
      <c r="D120" s="1" t="n">
        <v>45602</v>
      </c>
      <c r="E120" s="1" t="n">
        <v>46219</v>
      </c>
      <c r="F120" t="inlineStr">
        <is>
          <t>NORRBOTTENS LÄN</t>
        </is>
      </c>
      <c r="G120" t="inlineStr">
        <is>
          <t>ÖVERTORNEÅ</t>
        </is>
      </c>
      <c r="I120" t="n">
        <v>10.4</v>
      </c>
      <c r="J120" t="n">
        <v>0</v>
      </c>
      <c r="K120" t="n">
        <v>0</v>
      </c>
      <c r="L120" t="n">
        <v>0</v>
      </c>
      <c r="M120" t="n">
        <v>0</v>
      </c>
      <c r="N120" t="n">
        <v>0</v>
      </c>
      <c r="O120" t="n">
        <v>0</v>
      </c>
      <c r="P120" t="n">
        <v>0</v>
      </c>
      <c r="Q120" t="n">
        <v>0</v>
      </c>
      <c r="R120" t="n">
        <v>0</v>
      </c>
      <c r="S120" t="n">
        <v>0</v>
      </c>
      <c r="T120" t="n">
        <v>0</v>
      </c>
      <c r="U120" s="2" t="inlineStr"/>
    </row>
    <row r="121" ht="15" customHeight="1">
      <c r="A121" t="inlineStr">
        <is>
          <t>A 1623-2024</t>
        </is>
      </c>
      <c r="B121" t="inlineStr">
        <is>
          <t>avverkningsanmälan</t>
        </is>
      </c>
      <c r="C121" t="inlineStr">
        <is>
          <t>Föryngringsavverkning</t>
        </is>
      </c>
      <c r="D121" s="1" t="n">
        <v>45306</v>
      </c>
      <c r="E121" s="1" t="n">
        <v>46219</v>
      </c>
      <c r="F121" t="inlineStr">
        <is>
          <t>NORRBOTTENS LÄN</t>
        </is>
      </c>
      <c r="G121" t="inlineStr">
        <is>
          <t>ÖVERTORNEÅ</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11617-2025</t>
        </is>
      </c>
      <c r="B122" t="inlineStr">
        <is>
          <t>avverkningsanmälan</t>
        </is>
      </c>
      <c r="C122" t="inlineStr">
        <is>
          <t>Föryngringsavverkning</t>
        </is>
      </c>
      <c r="D122" s="1" t="n">
        <v>45727</v>
      </c>
      <c r="E122" s="1" t="n">
        <v>46219</v>
      </c>
      <c r="F122" t="inlineStr">
        <is>
          <t>NORRBOTTENS LÄN</t>
        </is>
      </c>
      <c r="G122" t="inlineStr">
        <is>
          <t>ÖVERTORNEÅ</t>
        </is>
      </c>
      <c r="I122" t="n">
        <v>3</v>
      </c>
      <c r="J122" t="n">
        <v>0</v>
      </c>
      <c r="K122" t="n">
        <v>0</v>
      </c>
      <c r="L122" t="n">
        <v>0</v>
      </c>
      <c r="M122" t="n">
        <v>0</v>
      </c>
      <c r="N122" t="n">
        <v>0</v>
      </c>
      <c r="O122" t="n">
        <v>0</v>
      </c>
      <c r="P122" t="n">
        <v>0</v>
      </c>
      <c r="Q122" t="n">
        <v>0</v>
      </c>
      <c r="R122" t="n">
        <v>0</v>
      </c>
      <c r="S122" t="n">
        <v>0</v>
      </c>
      <c r="T122" t="n">
        <v>0</v>
      </c>
      <c r="U122" s="2" t="inlineStr"/>
    </row>
    <row r="123" ht="15" customHeight="1">
      <c r="A123" t="inlineStr">
        <is>
          <t>A 34402-2023</t>
        </is>
      </c>
      <c r="B123" t="inlineStr">
        <is>
          <t>avverkningsanmälan</t>
        </is>
      </c>
      <c r="C123" t="inlineStr">
        <is>
          <t>Föryngringsavverkning</t>
        </is>
      </c>
      <c r="D123" s="1" t="n">
        <v>45139</v>
      </c>
      <c r="E123" s="1" t="n">
        <v>46219</v>
      </c>
      <c r="F123" t="inlineStr">
        <is>
          <t>NORRBOTTENS LÄN</t>
        </is>
      </c>
      <c r="G123" t="inlineStr">
        <is>
          <t>ÖVERTORNEÅ</t>
        </is>
      </c>
      <c r="I123" t="n">
        <v>7.6</v>
      </c>
      <c r="J123" t="n">
        <v>0</v>
      </c>
      <c r="K123" t="n">
        <v>0</v>
      </c>
      <c r="L123" t="n">
        <v>0</v>
      </c>
      <c r="M123" t="n">
        <v>0</v>
      </c>
      <c r="N123" t="n">
        <v>0</v>
      </c>
      <c r="O123" t="n">
        <v>0</v>
      </c>
      <c r="P123" t="n">
        <v>0</v>
      </c>
      <c r="Q123" t="n">
        <v>0</v>
      </c>
      <c r="R123" t="n">
        <v>0</v>
      </c>
      <c r="S123" t="n">
        <v>0</v>
      </c>
      <c r="T123" t="n">
        <v>0</v>
      </c>
      <c r="U123" s="2" t="inlineStr"/>
    </row>
    <row r="124" ht="15" customHeight="1">
      <c r="A124" t="inlineStr">
        <is>
          <t>A 26118-2024</t>
        </is>
      </c>
      <c r="B124" t="inlineStr">
        <is>
          <t>avverkningsanmälan</t>
        </is>
      </c>
      <c r="C124" t="inlineStr">
        <is>
          <t>Föryngringsavverkning</t>
        </is>
      </c>
      <c r="D124" s="1" t="n">
        <v>45467</v>
      </c>
      <c r="E124" s="1" t="n">
        <v>46219</v>
      </c>
      <c r="F124" t="inlineStr">
        <is>
          <t>NORRBOTTENS LÄN</t>
        </is>
      </c>
      <c r="G124" t="inlineStr">
        <is>
          <t>ÖVERTORNEÅ</t>
        </is>
      </c>
      <c r="I124" t="n">
        <v>12.4</v>
      </c>
      <c r="J124" t="n">
        <v>0</v>
      </c>
      <c r="K124" t="n">
        <v>0</v>
      </c>
      <c r="L124" t="n">
        <v>0</v>
      </c>
      <c r="M124" t="n">
        <v>0</v>
      </c>
      <c r="N124" t="n">
        <v>0</v>
      </c>
      <c r="O124" t="n">
        <v>0</v>
      </c>
      <c r="P124" t="n">
        <v>0</v>
      </c>
      <c r="Q124" t="n">
        <v>0</v>
      </c>
      <c r="R124" t="n">
        <v>0</v>
      </c>
      <c r="S124" t="n">
        <v>0</v>
      </c>
      <c r="T124" t="n">
        <v>0</v>
      </c>
      <c r="U124" s="2" t="inlineStr"/>
    </row>
    <row r="125" ht="15" customHeight="1">
      <c r="A125" t="inlineStr">
        <is>
          <t>A 26142-2024</t>
        </is>
      </c>
      <c r="B125" t="inlineStr">
        <is>
          <t>avverkningsanmälan</t>
        </is>
      </c>
      <c r="C125" t="inlineStr">
        <is>
          <t>Föryngringsavverkning</t>
        </is>
      </c>
      <c r="D125" s="1" t="n">
        <v>45467</v>
      </c>
      <c r="E125" s="1" t="n">
        <v>46219</v>
      </c>
      <c r="F125" t="inlineStr">
        <is>
          <t>NORRBOTTENS LÄN</t>
        </is>
      </c>
      <c r="G125" t="inlineStr">
        <is>
          <t>ÖVERTORNEÅ</t>
        </is>
      </c>
      <c r="I125" t="n">
        <v>4.5</v>
      </c>
      <c r="J125" t="n">
        <v>0</v>
      </c>
      <c r="K125" t="n">
        <v>0</v>
      </c>
      <c r="L125" t="n">
        <v>0</v>
      </c>
      <c r="M125" t="n">
        <v>0</v>
      </c>
      <c r="N125" t="n">
        <v>0</v>
      </c>
      <c r="O125" t="n">
        <v>0</v>
      </c>
      <c r="P125" t="n">
        <v>0</v>
      </c>
      <c r="Q125" t="n">
        <v>0</v>
      </c>
      <c r="R125" t="n">
        <v>0</v>
      </c>
      <c r="S125" t="n">
        <v>0</v>
      </c>
      <c r="T125" t="n">
        <v>0</v>
      </c>
      <c r="U125" s="2" t="inlineStr"/>
    </row>
    <row r="126" ht="15" customHeight="1">
      <c r="A126" t="inlineStr">
        <is>
          <t>A 39303-2025</t>
        </is>
      </c>
      <c r="B126" t="inlineStr">
        <is>
          <t>avverkningsanmälan</t>
        </is>
      </c>
      <c r="C126" t="inlineStr">
        <is>
          <t>Föryngringsavverkning</t>
        </is>
      </c>
      <c r="D126" s="1" t="n">
        <v>45889</v>
      </c>
      <c r="E126" s="1" t="n">
        <v>46219</v>
      </c>
      <c r="F126" t="inlineStr">
        <is>
          <t>NORRBOTTENS LÄN</t>
        </is>
      </c>
      <c r="G126" t="inlineStr">
        <is>
          <t>ÖVERTORNEÅ</t>
        </is>
      </c>
      <c r="I126" t="n">
        <v>3.7</v>
      </c>
      <c r="J126" t="n">
        <v>0</v>
      </c>
      <c r="K126" t="n">
        <v>0</v>
      </c>
      <c r="L126" t="n">
        <v>0</v>
      </c>
      <c r="M126" t="n">
        <v>0</v>
      </c>
      <c r="N126" t="n">
        <v>0</v>
      </c>
      <c r="O126" t="n">
        <v>0</v>
      </c>
      <c r="P126" t="n">
        <v>0</v>
      </c>
      <c r="Q126" t="n">
        <v>0</v>
      </c>
      <c r="R126" t="n">
        <v>0</v>
      </c>
      <c r="S126" t="n">
        <v>0</v>
      </c>
      <c r="T126" t="n">
        <v>0</v>
      </c>
      <c r="U126" s="2" t="inlineStr"/>
    </row>
    <row r="127" ht="15" customHeight="1">
      <c r="A127" t="inlineStr">
        <is>
          <t>A 40200-2025</t>
        </is>
      </c>
      <c r="B127" t="inlineStr">
        <is>
          <t>avverkningsanmälan</t>
        </is>
      </c>
      <c r="C127" t="inlineStr">
        <is>
          <t>Föryngringsavverkning</t>
        </is>
      </c>
      <c r="D127" s="1" t="n">
        <v>45894</v>
      </c>
      <c r="E127" s="1" t="n">
        <v>46219</v>
      </c>
      <c r="F127" t="inlineStr">
        <is>
          <t>NORRBOTTENS LÄN</t>
        </is>
      </c>
      <c r="G127" t="inlineStr">
        <is>
          <t>ÖVERTORNEÅ</t>
        </is>
      </c>
      <c r="H127" t="inlineStr">
        <is>
          <t>Sveaskog</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40198-2025</t>
        </is>
      </c>
      <c r="B128" t="inlineStr">
        <is>
          <t>avverkningsanmälan</t>
        </is>
      </c>
      <c r="C128" t="inlineStr">
        <is>
          <t>Föryngringsavverkning</t>
        </is>
      </c>
      <c r="D128" s="1" t="n">
        <v>45894</v>
      </c>
      <c r="E128" s="1" t="n">
        <v>46219</v>
      </c>
      <c r="F128" t="inlineStr">
        <is>
          <t>NORRBOTTENS LÄN</t>
        </is>
      </c>
      <c r="G128" t="inlineStr">
        <is>
          <t>ÖVERTORNEÅ</t>
        </is>
      </c>
      <c r="H128" t="inlineStr">
        <is>
          <t>Sveaskog</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40085-2025</t>
        </is>
      </c>
      <c r="B129" t="inlineStr">
        <is>
          <t>avverkningsanmälan</t>
        </is>
      </c>
      <c r="C129" t="inlineStr">
        <is>
          <t>Föryngringsavverkning</t>
        </is>
      </c>
      <c r="D129" s="1" t="n">
        <v>45894</v>
      </c>
      <c r="E129" s="1" t="n">
        <v>46219</v>
      </c>
      <c r="F129" t="inlineStr">
        <is>
          <t>NORRBOTTENS LÄN</t>
        </is>
      </c>
      <c r="G129" t="inlineStr">
        <is>
          <t>ÖVERTORNEÅ</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40089-2025</t>
        </is>
      </c>
      <c r="B130" t="inlineStr">
        <is>
          <t>avverkningsanmälan</t>
        </is>
      </c>
      <c r="C130" t="inlineStr">
        <is>
          <t>Föryngringsavverkning</t>
        </is>
      </c>
      <c r="D130" s="1" t="n">
        <v>45894</v>
      </c>
      <c r="E130" s="1" t="n">
        <v>46219</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62076-2024</t>
        </is>
      </c>
      <c r="B131" t="inlineStr">
        <is>
          <t>avverkningsanmälan</t>
        </is>
      </c>
      <c r="C131" t="inlineStr">
        <is>
          <t>Föryngringsavverkning</t>
        </is>
      </c>
      <c r="D131" s="1" t="n">
        <v>45656</v>
      </c>
      <c r="E131" s="1" t="n">
        <v>46219</v>
      </c>
      <c r="F131" t="inlineStr">
        <is>
          <t>NORRBOTTENS LÄN</t>
        </is>
      </c>
      <c r="G131" t="inlineStr">
        <is>
          <t>ÖVERTORNEÅ</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44238-2024</t>
        </is>
      </c>
      <c r="B132" t="inlineStr">
        <is>
          <t>avverkningsanmälan</t>
        </is>
      </c>
      <c r="C132" t="inlineStr">
        <is>
          <t>Föryngringsavverkning</t>
        </is>
      </c>
      <c r="D132" s="1" t="n">
        <v>45573</v>
      </c>
      <c r="E132" s="1" t="n">
        <v>46219</v>
      </c>
      <c r="F132" t="inlineStr">
        <is>
          <t>NORRBOTTENS LÄN</t>
        </is>
      </c>
      <c r="G132" t="inlineStr">
        <is>
          <t>ÖVERTORNEÅ</t>
        </is>
      </c>
      <c r="I132" t="n">
        <v>6.3</v>
      </c>
      <c r="J132" t="n">
        <v>0</v>
      </c>
      <c r="K132" t="n">
        <v>0</v>
      </c>
      <c r="L132" t="n">
        <v>0</v>
      </c>
      <c r="M132" t="n">
        <v>0</v>
      </c>
      <c r="N132" t="n">
        <v>0</v>
      </c>
      <c r="O132" t="n">
        <v>0</v>
      </c>
      <c r="P132" t="n">
        <v>0</v>
      </c>
      <c r="Q132" t="n">
        <v>0</v>
      </c>
      <c r="R132" t="n">
        <v>0</v>
      </c>
      <c r="S132" t="n">
        <v>0</v>
      </c>
      <c r="T132" t="n">
        <v>0</v>
      </c>
      <c r="U132" s="2" t="inlineStr"/>
    </row>
    <row r="133" ht="15" customHeight="1">
      <c r="A133" t="inlineStr">
        <is>
          <t>A 41778-2025</t>
        </is>
      </c>
      <c r="B133" t="inlineStr">
        <is>
          <t>avverkningsanmälan</t>
        </is>
      </c>
      <c r="C133" t="inlineStr">
        <is>
          <t>Föryngringsavverkning</t>
        </is>
      </c>
      <c r="D133" s="1" t="n">
        <v>45902</v>
      </c>
      <c r="E133" s="1" t="n">
        <v>46219</v>
      </c>
      <c r="F133" t="inlineStr">
        <is>
          <t>NORRBOTTENS LÄN</t>
        </is>
      </c>
      <c r="G133" t="inlineStr">
        <is>
          <t>ÖVERTORNEÅ</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41329-2025</t>
        </is>
      </c>
      <c r="B134" t="inlineStr">
        <is>
          <t>avverkningsanmälan</t>
        </is>
      </c>
      <c r="C134" t="inlineStr">
        <is>
          <t>Föryngringsavverkning</t>
        </is>
      </c>
      <c r="D134" s="1" t="n">
        <v>45899</v>
      </c>
      <c r="E134" s="1" t="n">
        <v>46219</v>
      </c>
      <c r="F134" t="inlineStr">
        <is>
          <t>NORRBOTTENS LÄN</t>
        </is>
      </c>
      <c r="G134" t="inlineStr">
        <is>
          <t>ÖVERTORNEÅ</t>
        </is>
      </c>
      <c r="H134" t="inlineStr">
        <is>
          <t>Sveaskog</t>
        </is>
      </c>
      <c r="I134" t="n">
        <v>6.1</v>
      </c>
      <c r="J134" t="n">
        <v>0</v>
      </c>
      <c r="K134" t="n">
        <v>0</v>
      </c>
      <c r="L134" t="n">
        <v>0</v>
      </c>
      <c r="M134" t="n">
        <v>0</v>
      </c>
      <c r="N134" t="n">
        <v>0</v>
      </c>
      <c r="O134" t="n">
        <v>0</v>
      </c>
      <c r="P134" t="n">
        <v>0</v>
      </c>
      <c r="Q134" t="n">
        <v>0</v>
      </c>
      <c r="R134" t="n">
        <v>0</v>
      </c>
      <c r="S134" t="n">
        <v>0</v>
      </c>
      <c r="T134" t="n">
        <v>0</v>
      </c>
      <c r="U134" s="2" t="inlineStr"/>
    </row>
    <row r="135" ht="15" customHeight="1">
      <c r="A135" t="inlineStr">
        <is>
          <t>A 48770-2021</t>
        </is>
      </c>
      <c r="B135" t="inlineStr">
        <is>
          <t>avverkningsanmälan</t>
        </is>
      </c>
      <c r="C135" t="inlineStr">
        <is>
          <t>Föryngringsavverkning</t>
        </is>
      </c>
      <c r="D135" s="1" t="n">
        <v>44452</v>
      </c>
      <c r="E135" s="1" t="n">
        <v>46219</v>
      </c>
      <c r="F135" t="inlineStr">
        <is>
          <t>NORRBOTTENS LÄN</t>
        </is>
      </c>
      <c r="G135" t="inlineStr">
        <is>
          <t>ÖVERTORNEÅ</t>
        </is>
      </c>
      <c r="I135" t="n">
        <v>9.4</v>
      </c>
      <c r="J135" t="n">
        <v>0</v>
      </c>
      <c r="K135" t="n">
        <v>0</v>
      </c>
      <c r="L135" t="n">
        <v>0</v>
      </c>
      <c r="M135" t="n">
        <v>0</v>
      </c>
      <c r="N135" t="n">
        <v>0</v>
      </c>
      <c r="O135" t="n">
        <v>0</v>
      </c>
      <c r="P135" t="n">
        <v>0</v>
      </c>
      <c r="Q135" t="n">
        <v>0</v>
      </c>
      <c r="R135" t="n">
        <v>0</v>
      </c>
      <c r="S135" t="n">
        <v>0</v>
      </c>
      <c r="T135" t="n">
        <v>0</v>
      </c>
      <c r="U135" s="2" t="inlineStr"/>
    </row>
    <row r="136" ht="15" customHeight="1">
      <c r="A136" t="inlineStr">
        <is>
          <t>A 48792-2021</t>
        </is>
      </c>
      <c r="B136" t="inlineStr">
        <is>
          <t>avverkningsanmälan</t>
        </is>
      </c>
      <c r="C136" t="inlineStr">
        <is>
          <t>Föryngringsavverkning</t>
        </is>
      </c>
      <c r="D136" s="1" t="n">
        <v>44452</v>
      </c>
      <c r="E136" s="1" t="n">
        <v>46219</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4512-2022</t>
        </is>
      </c>
      <c r="B137" t="inlineStr">
        <is>
          <t>avverkningsanmälan</t>
        </is>
      </c>
      <c r="C137" t="inlineStr">
        <is>
          <t>Avverkning för annat ändamål</t>
        </is>
      </c>
      <c r="D137" s="1" t="n">
        <v>44589</v>
      </c>
      <c r="E137" s="1" t="n">
        <v>46219</v>
      </c>
      <c r="F137" t="inlineStr">
        <is>
          <t>NORRBOTTENS LÄN</t>
        </is>
      </c>
      <c r="G137" t="inlineStr">
        <is>
          <t>ÖVERTORNEÅ</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42908-2025</t>
        </is>
      </c>
      <c r="B138" t="inlineStr">
        <is>
          <t>avverkningsanmälan</t>
        </is>
      </c>
      <c r="C138" t="inlineStr">
        <is>
          <t>Föryngringsavverkning</t>
        </is>
      </c>
      <c r="D138" s="1" t="n">
        <v>45908</v>
      </c>
      <c r="E138" s="1" t="n">
        <v>46219</v>
      </c>
      <c r="F138" t="inlineStr">
        <is>
          <t>NORRBOTTENS LÄN</t>
        </is>
      </c>
      <c r="G138" t="inlineStr">
        <is>
          <t>ÖVERTORNEÅ</t>
        </is>
      </c>
      <c r="I138" t="n">
        <v>4.6</v>
      </c>
      <c r="J138" t="n">
        <v>0</v>
      </c>
      <c r="K138" t="n">
        <v>0</v>
      </c>
      <c r="L138" t="n">
        <v>0</v>
      </c>
      <c r="M138" t="n">
        <v>0</v>
      </c>
      <c r="N138" t="n">
        <v>0</v>
      </c>
      <c r="O138" t="n">
        <v>0</v>
      </c>
      <c r="P138" t="n">
        <v>0</v>
      </c>
      <c r="Q138" t="n">
        <v>0</v>
      </c>
      <c r="R138" t="n">
        <v>0</v>
      </c>
      <c r="S138" t="n">
        <v>0</v>
      </c>
      <c r="T138" t="n">
        <v>0</v>
      </c>
      <c r="U138" s="2" t="inlineStr"/>
    </row>
    <row r="139" ht="15" customHeight="1">
      <c r="A139" t="inlineStr">
        <is>
          <t>A 44079-2023</t>
        </is>
      </c>
      <c r="B139" t="inlineStr">
        <is>
          <t>avverkningsanmälan</t>
        </is>
      </c>
      <c r="C139" t="inlineStr">
        <is>
          <t>Föryngringsavverkning</t>
        </is>
      </c>
      <c r="D139" s="1" t="n">
        <v>45188</v>
      </c>
      <c r="E139" s="1" t="n">
        <v>46219</v>
      </c>
      <c r="F139" t="inlineStr">
        <is>
          <t>NORRBOTTENS LÄN</t>
        </is>
      </c>
      <c r="G139" t="inlineStr">
        <is>
          <t>ÖVERTORNEÅ</t>
        </is>
      </c>
      <c r="I139" t="n">
        <v>5.2</v>
      </c>
      <c r="J139" t="n">
        <v>0</v>
      </c>
      <c r="K139" t="n">
        <v>0</v>
      </c>
      <c r="L139" t="n">
        <v>0</v>
      </c>
      <c r="M139" t="n">
        <v>0</v>
      </c>
      <c r="N139" t="n">
        <v>0</v>
      </c>
      <c r="O139" t="n">
        <v>0</v>
      </c>
      <c r="P139" t="n">
        <v>0</v>
      </c>
      <c r="Q139" t="n">
        <v>0</v>
      </c>
      <c r="R139" t="n">
        <v>0</v>
      </c>
      <c r="S139" t="n">
        <v>0</v>
      </c>
      <c r="T139" t="n">
        <v>0</v>
      </c>
      <c r="U139" s="2" t="inlineStr"/>
    </row>
    <row r="140" ht="15" customHeight="1">
      <c r="A140" t="inlineStr">
        <is>
          <t>A 62851-2021</t>
        </is>
      </c>
      <c r="B140" t="inlineStr">
        <is>
          <t>avverkningsanmälan</t>
        </is>
      </c>
      <c r="C140" t="inlineStr">
        <is>
          <t>Föryngringsavverkning</t>
        </is>
      </c>
      <c r="D140" s="1" t="n">
        <v>44504</v>
      </c>
      <c r="E140" s="1" t="n">
        <v>46219</v>
      </c>
      <c r="F140" t="inlineStr">
        <is>
          <t>NORRBOTTENS LÄN</t>
        </is>
      </c>
      <c r="G140" t="inlineStr">
        <is>
          <t>ÖVERTORNEÅ</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43235-2025</t>
        </is>
      </c>
      <c r="B141" t="inlineStr">
        <is>
          <t>avverkningsanmälan</t>
        </is>
      </c>
      <c r="C141" t="inlineStr">
        <is>
          <t>Föryngringsavverkning</t>
        </is>
      </c>
      <c r="D141" s="1" t="n">
        <v>45910</v>
      </c>
      <c r="E141" s="1" t="n">
        <v>46219</v>
      </c>
      <c r="F141" t="inlineStr">
        <is>
          <t>NORRBOTTENS LÄN</t>
        </is>
      </c>
      <c r="G141" t="inlineStr">
        <is>
          <t>ÖVERTORNEÅ</t>
        </is>
      </c>
      <c r="I141" t="n">
        <v>3.1</v>
      </c>
      <c r="J141" t="n">
        <v>0</v>
      </c>
      <c r="K141" t="n">
        <v>0</v>
      </c>
      <c r="L141" t="n">
        <v>0</v>
      </c>
      <c r="M141" t="n">
        <v>0</v>
      </c>
      <c r="N141" t="n">
        <v>0</v>
      </c>
      <c r="O141" t="n">
        <v>0</v>
      </c>
      <c r="P141" t="n">
        <v>0</v>
      </c>
      <c r="Q141" t="n">
        <v>0</v>
      </c>
      <c r="R141" t="n">
        <v>0</v>
      </c>
      <c r="S141" t="n">
        <v>0</v>
      </c>
      <c r="T141" t="n">
        <v>0</v>
      </c>
      <c r="U141" s="2" t="inlineStr"/>
    </row>
    <row r="142" ht="15" customHeight="1">
      <c r="A142" t="inlineStr">
        <is>
          <t>A 43236-2025</t>
        </is>
      </c>
      <c r="B142" t="inlineStr">
        <is>
          <t>avverkningsanmälan</t>
        </is>
      </c>
      <c r="C142" t="inlineStr">
        <is>
          <t>Föryngringsavverkning</t>
        </is>
      </c>
      <c r="D142" s="1" t="n">
        <v>45910</v>
      </c>
      <c r="E142" s="1" t="n">
        <v>46219</v>
      </c>
      <c r="F142" t="inlineStr">
        <is>
          <t>NORRBOTTENS LÄN</t>
        </is>
      </c>
      <c r="G142" t="inlineStr">
        <is>
          <t>ÖVERTORNEÅ</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4283-2025</t>
        </is>
      </c>
      <c r="B143" t="inlineStr">
        <is>
          <t>avverkningsanmälan</t>
        </is>
      </c>
      <c r="C143" t="inlineStr">
        <is>
          <t>Föryngringsavverkning</t>
        </is>
      </c>
      <c r="D143" s="1" t="n">
        <v>45685</v>
      </c>
      <c r="E143" s="1" t="n">
        <v>46219</v>
      </c>
      <c r="F143" t="inlineStr">
        <is>
          <t>NORRBOTTENS LÄN</t>
        </is>
      </c>
      <c r="G143" t="inlineStr">
        <is>
          <t>ÖVERTORNEÅ</t>
        </is>
      </c>
      <c r="I143" t="n">
        <v>7.7</v>
      </c>
      <c r="J143" t="n">
        <v>0</v>
      </c>
      <c r="K143" t="n">
        <v>0</v>
      </c>
      <c r="L143" t="n">
        <v>0</v>
      </c>
      <c r="M143" t="n">
        <v>0</v>
      </c>
      <c r="N143" t="n">
        <v>0</v>
      </c>
      <c r="O143" t="n">
        <v>0</v>
      </c>
      <c r="P143" t="n">
        <v>0</v>
      </c>
      <c r="Q143" t="n">
        <v>0</v>
      </c>
      <c r="R143" t="n">
        <v>0</v>
      </c>
      <c r="S143" t="n">
        <v>0</v>
      </c>
      <c r="T143" t="n">
        <v>0</v>
      </c>
      <c r="U143" s="2" t="inlineStr"/>
    </row>
    <row r="144" ht="15" customHeight="1">
      <c r="A144" t="inlineStr">
        <is>
          <t>A 13754-2024</t>
        </is>
      </c>
      <c r="B144" t="inlineStr">
        <is>
          <t>avverkningsanmälan</t>
        </is>
      </c>
      <c r="C144" t="inlineStr">
        <is>
          <t>Föryngringsavverkning</t>
        </is>
      </c>
      <c r="D144" s="1" t="n">
        <v>45390</v>
      </c>
      <c r="E144" s="1" t="n">
        <v>46219</v>
      </c>
      <c r="F144" t="inlineStr">
        <is>
          <t>NORRBOTTENS LÄN</t>
        </is>
      </c>
      <c r="G144" t="inlineStr">
        <is>
          <t>ÖVERTORNEÅ</t>
        </is>
      </c>
      <c r="I144" t="n">
        <v>2.1</v>
      </c>
      <c r="J144" t="n">
        <v>0</v>
      </c>
      <c r="K144" t="n">
        <v>0</v>
      </c>
      <c r="L144" t="n">
        <v>0</v>
      </c>
      <c r="M144" t="n">
        <v>0</v>
      </c>
      <c r="N144" t="n">
        <v>0</v>
      </c>
      <c r="O144" t="n">
        <v>0</v>
      </c>
      <c r="P144" t="n">
        <v>0</v>
      </c>
      <c r="Q144" t="n">
        <v>0</v>
      </c>
      <c r="R144" t="n">
        <v>0</v>
      </c>
      <c r="S144" t="n">
        <v>0</v>
      </c>
      <c r="T144" t="n">
        <v>0</v>
      </c>
      <c r="U144" s="2" t="inlineStr"/>
    </row>
    <row r="145" ht="15" customHeight="1">
      <c r="A145" t="inlineStr">
        <is>
          <t>A 4280-2025</t>
        </is>
      </c>
      <c r="B145" t="inlineStr">
        <is>
          <t>avverkningsanmälan</t>
        </is>
      </c>
      <c r="C145" t="inlineStr">
        <is>
          <t>Föryngringsavverkning</t>
        </is>
      </c>
      <c r="D145" s="1" t="n">
        <v>45685</v>
      </c>
      <c r="E145" s="1" t="n">
        <v>46219</v>
      </c>
      <c r="F145" t="inlineStr">
        <is>
          <t>NORRBOTTENS LÄN</t>
        </is>
      </c>
      <c r="G145" t="inlineStr">
        <is>
          <t>ÖVERTORNEÅ</t>
        </is>
      </c>
      <c r="I145" t="n">
        <v>3.8</v>
      </c>
      <c r="J145" t="n">
        <v>0</v>
      </c>
      <c r="K145" t="n">
        <v>0</v>
      </c>
      <c r="L145" t="n">
        <v>0</v>
      </c>
      <c r="M145" t="n">
        <v>0</v>
      </c>
      <c r="N145" t="n">
        <v>0</v>
      </c>
      <c r="O145" t="n">
        <v>0</v>
      </c>
      <c r="P145" t="n">
        <v>0</v>
      </c>
      <c r="Q145" t="n">
        <v>0</v>
      </c>
      <c r="R145" t="n">
        <v>0</v>
      </c>
      <c r="S145" t="n">
        <v>0</v>
      </c>
      <c r="T145" t="n">
        <v>0</v>
      </c>
      <c r="U145" s="2" t="inlineStr"/>
    </row>
    <row r="146" ht="15" customHeight="1">
      <c r="A146" t="inlineStr">
        <is>
          <t>A 4514-2022</t>
        </is>
      </c>
      <c r="B146" t="inlineStr">
        <is>
          <t>avverkningsanmälan</t>
        </is>
      </c>
      <c r="C146" t="inlineStr">
        <is>
          <t>Avverkning för annat ändamål</t>
        </is>
      </c>
      <c r="D146" s="1" t="n">
        <v>44589</v>
      </c>
      <c r="E146" s="1" t="n">
        <v>46219</v>
      </c>
      <c r="F146" t="inlineStr">
        <is>
          <t>NORRBOTTENS LÄN</t>
        </is>
      </c>
      <c r="G146" t="inlineStr">
        <is>
          <t>ÖVERTORNEÅ</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45261-2025</t>
        </is>
      </c>
      <c r="B147" t="inlineStr">
        <is>
          <t>avverkningsanmälan</t>
        </is>
      </c>
      <c r="C147" t="inlineStr">
        <is>
          <t>Föryngringsavverkning</t>
        </is>
      </c>
      <c r="D147" s="1" t="n">
        <v>45919</v>
      </c>
      <c r="E147" s="1" t="n">
        <v>46219</v>
      </c>
      <c r="F147" t="inlineStr">
        <is>
          <t>NORRBOTTENS LÄN</t>
        </is>
      </c>
      <c r="G147" t="inlineStr">
        <is>
          <t>ÖVERTORNEÅ</t>
        </is>
      </c>
      <c r="H147" t="inlineStr">
        <is>
          <t>Sveaskog</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63285-2023</t>
        </is>
      </c>
      <c r="B148" t="inlineStr">
        <is>
          <t>avverkningsanmälan</t>
        </is>
      </c>
      <c r="C148" t="inlineStr">
        <is>
          <t>Föryngringsavverkning</t>
        </is>
      </c>
      <c r="D148" s="1" t="n">
        <v>45273</v>
      </c>
      <c r="E148" s="1" t="n">
        <v>46219</v>
      </c>
      <c r="F148" t="inlineStr">
        <is>
          <t>NORRBOTTENS LÄN</t>
        </is>
      </c>
      <c r="G148" t="inlineStr">
        <is>
          <t>ÖVERTORNEÅ</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58083-2024</t>
        </is>
      </c>
      <c r="B149" t="inlineStr">
        <is>
          <t>avverkningsanmälan</t>
        </is>
      </c>
      <c r="C149" t="inlineStr">
        <is>
          <t>Föryngringsavverkning</t>
        </is>
      </c>
      <c r="D149" s="1" t="n">
        <v>45632</v>
      </c>
      <c r="E149" s="1" t="n">
        <v>46219</v>
      </c>
      <c r="F149" t="inlineStr">
        <is>
          <t>NORRBOTTENS LÄN</t>
        </is>
      </c>
      <c r="G149" t="inlineStr">
        <is>
          <t>ÖVERTORNEÅ</t>
        </is>
      </c>
      <c r="I149" t="n">
        <v>13.2</v>
      </c>
      <c r="J149" t="n">
        <v>0</v>
      </c>
      <c r="K149" t="n">
        <v>0</v>
      </c>
      <c r="L149" t="n">
        <v>0</v>
      </c>
      <c r="M149" t="n">
        <v>0</v>
      </c>
      <c r="N149" t="n">
        <v>0</v>
      </c>
      <c r="O149" t="n">
        <v>0</v>
      </c>
      <c r="P149" t="n">
        <v>0</v>
      </c>
      <c r="Q149" t="n">
        <v>0</v>
      </c>
      <c r="R149" t="n">
        <v>0</v>
      </c>
      <c r="S149" t="n">
        <v>0</v>
      </c>
      <c r="T149" t="n">
        <v>0</v>
      </c>
      <c r="U149" s="2" t="inlineStr"/>
    </row>
    <row r="150" ht="15" customHeight="1">
      <c r="A150" t="inlineStr">
        <is>
          <t>A 38127-2024</t>
        </is>
      </c>
      <c r="B150" t="inlineStr">
        <is>
          <t>avverkningsanmälan</t>
        </is>
      </c>
      <c r="C150" t="inlineStr">
        <is>
          <t>Avverkning för att bevara och utveckla /försöksver</t>
        </is>
      </c>
      <c r="D150" s="1" t="n">
        <v>45545</v>
      </c>
      <c r="E150" s="1" t="n">
        <v>46219</v>
      </c>
      <c r="F150" t="inlineStr">
        <is>
          <t>NORRBOTTENS LÄN</t>
        </is>
      </c>
      <c r="G150" t="inlineStr">
        <is>
          <t>ÖVERTORNEÅ</t>
        </is>
      </c>
      <c r="H150" t="inlineStr">
        <is>
          <t>Sveaskog</t>
        </is>
      </c>
      <c r="I150" t="n">
        <v>6.7</v>
      </c>
      <c r="J150" t="n">
        <v>0</v>
      </c>
      <c r="K150" t="n">
        <v>0</v>
      </c>
      <c r="L150" t="n">
        <v>0</v>
      </c>
      <c r="M150" t="n">
        <v>0</v>
      </c>
      <c r="N150" t="n">
        <v>0</v>
      </c>
      <c r="O150" t="n">
        <v>0</v>
      </c>
      <c r="P150" t="n">
        <v>0</v>
      </c>
      <c r="Q150" t="n">
        <v>0</v>
      </c>
      <c r="R150" t="n">
        <v>0</v>
      </c>
      <c r="S150" t="n">
        <v>0</v>
      </c>
      <c r="T150" t="n">
        <v>0</v>
      </c>
      <c r="U150" s="2" t="inlineStr"/>
    </row>
    <row r="151" ht="15" customHeight="1">
      <c r="A151" t="inlineStr">
        <is>
          <t>A 36586-2024</t>
        </is>
      </c>
      <c r="B151" t="inlineStr">
        <is>
          <t>avverkningsanmälan</t>
        </is>
      </c>
      <c r="C151" t="inlineStr">
        <is>
          <t>Avverkning för annat ändamål</t>
        </is>
      </c>
      <c r="D151" s="1" t="n">
        <v>45537</v>
      </c>
      <c r="E151" s="1" t="n">
        <v>46219</v>
      </c>
      <c r="F151" t="inlineStr">
        <is>
          <t>NORRBOTTENS LÄN</t>
        </is>
      </c>
      <c r="G151" t="inlineStr">
        <is>
          <t>ÖVERTORNEÅ</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4398-2025</t>
        </is>
      </c>
      <c r="B152" t="inlineStr">
        <is>
          <t>avverkningsanmälan</t>
        </is>
      </c>
      <c r="C152" t="inlineStr">
        <is>
          <t>Föryngringsavverkning</t>
        </is>
      </c>
      <c r="D152" s="1" t="n">
        <v>45686</v>
      </c>
      <c r="E152" s="1" t="n">
        <v>46219</v>
      </c>
      <c r="F152" t="inlineStr">
        <is>
          <t>NORRBOTTENS LÄN</t>
        </is>
      </c>
      <c r="G152" t="inlineStr">
        <is>
          <t>ÖVERTORNEÅ</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4400-2025</t>
        </is>
      </c>
      <c r="B153" t="inlineStr">
        <is>
          <t>avverkningsanmälan</t>
        </is>
      </c>
      <c r="C153" t="inlineStr">
        <is>
          <t>Föryngringsavverkning</t>
        </is>
      </c>
      <c r="D153" s="1" t="n">
        <v>45686</v>
      </c>
      <c r="E153" s="1" t="n">
        <v>46219</v>
      </c>
      <c r="F153" t="inlineStr">
        <is>
          <t>NORRBOTTENS LÄN</t>
        </is>
      </c>
      <c r="G153" t="inlineStr">
        <is>
          <t>ÖVERTORNEÅ</t>
        </is>
      </c>
      <c r="I153" t="n">
        <v>3.6</v>
      </c>
      <c r="J153" t="n">
        <v>0</v>
      </c>
      <c r="K153" t="n">
        <v>0</v>
      </c>
      <c r="L153" t="n">
        <v>0</v>
      </c>
      <c r="M153" t="n">
        <v>0</v>
      </c>
      <c r="N153" t="n">
        <v>0</v>
      </c>
      <c r="O153" t="n">
        <v>0</v>
      </c>
      <c r="P153" t="n">
        <v>0</v>
      </c>
      <c r="Q153" t="n">
        <v>0</v>
      </c>
      <c r="R153" t="n">
        <v>0</v>
      </c>
      <c r="S153" t="n">
        <v>0</v>
      </c>
      <c r="T153" t="n">
        <v>0</v>
      </c>
      <c r="U153" s="2" t="inlineStr"/>
    </row>
    <row r="154" ht="15" customHeight="1">
      <c r="A154" t="inlineStr">
        <is>
          <t>A 12532-2024</t>
        </is>
      </c>
      <c r="B154" t="inlineStr">
        <is>
          <t>avverkningsanmälan</t>
        </is>
      </c>
      <c r="C154" t="inlineStr">
        <is>
          <t>Föryngringsavverkning</t>
        </is>
      </c>
      <c r="D154" s="1" t="n">
        <v>45379</v>
      </c>
      <c r="E154" s="1" t="n">
        <v>46219</v>
      </c>
      <c r="F154" t="inlineStr">
        <is>
          <t>NORRBOTTENS LÄN</t>
        </is>
      </c>
      <c r="G154" t="inlineStr">
        <is>
          <t>ÖVERTORNEÅ</t>
        </is>
      </c>
      <c r="I154" t="n">
        <v>10.3</v>
      </c>
      <c r="J154" t="n">
        <v>0</v>
      </c>
      <c r="K154" t="n">
        <v>0</v>
      </c>
      <c r="L154" t="n">
        <v>0</v>
      </c>
      <c r="M154" t="n">
        <v>0</v>
      </c>
      <c r="N154" t="n">
        <v>0</v>
      </c>
      <c r="O154" t="n">
        <v>0</v>
      </c>
      <c r="P154" t="n">
        <v>0</v>
      </c>
      <c r="Q154" t="n">
        <v>0</v>
      </c>
      <c r="R154" t="n">
        <v>0</v>
      </c>
      <c r="S154" t="n">
        <v>0</v>
      </c>
      <c r="T154" t="n">
        <v>0</v>
      </c>
      <c r="U154" s="2" t="inlineStr"/>
    </row>
    <row r="155" ht="15" customHeight="1">
      <c r="A155" t="inlineStr">
        <is>
          <t>A 46703-2025</t>
        </is>
      </c>
      <c r="B155" t="inlineStr">
        <is>
          <t>avverkningsanmälan</t>
        </is>
      </c>
      <c r="C155" t="inlineStr">
        <is>
          <t>Avverkning för annat ändamål</t>
        </is>
      </c>
      <c r="D155" s="1" t="n">
        <v>45926</v>
      </c>
      <c r="E155" s="1" t="n">
        <v>46219</v>
      </c>
      <c r="F155" t="inlineStr">
        <is>
          <t>NORRBOTTENS LÄN</t>
        </is>
      </c>
      <c r="G155" t="inlineStr">
        <is>
          <t>ÖVERTORNEÅ</t>
        </is>
      </c>
      <c r="H155" t="inlineStr">
        <is>
          <t>Sveaskog</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46651-2023</t>
        </is>
      </c>
      <c r="B156" t="inlineStr">
        <is>
          <t>avverkningsanmälan</t>
        </is>
      </c>
      <c r="C156" t="inlineStr">
        <is>
          <t>Föryngringsavverkning</t>
        </is>
      </c>
      <c r="D156" s="1" t="n">
        <v>45194</v>
      </c>
      <c r="E156" s="1" t="n">
        <v>46219</v>
      </c>
      <c r="F156" t="inlineStr">
        <is>
          <t>NORRBOTTENS LÄN</t>
        </is>
      </c>
      <c r="G156" t="inlineStr">
        <is>
          <t>ÖVERTORNEÅ</t>
        </is>
      </c>
      <c r="I156" t="n">
        <v>10.1</v>
      </c>
      <c r="J156" t="n">
        <v>0</v>
      </c>
      <c r="K156" t="n">
        <v>0</v>
      </c>
      <c r="L156" t="n">
        <v>0</v>
      </c>
      <c r="M156" t="n">
        <v>0</v>
      </c>
      <c r="N156" t="n">
        <v>0</v>
      </c>
      <c r="O156" t="n">
        <v>0</v>
      </c>
      <c r="P156" t="n">
        <v>0</v>
      </c>
      <c r="Q156" t="n">
        <v>0</v>
      </c>
      <c r="R156" t="n">
        <v>0</v>
      </c>
      <c r="S156" t="n">
        <v>0</v>
      </c>
      <c r="T156" t="n">
        <v>0</v>
      </c>
      <c r="U156" s="2" t="inlineStr"/>
    </row>
    <row r="157" ht="15" customHeight="1">
      <c r="A157" t="inlineStr">
        <is>
          <t>A 55556-2024</t>
        </is>
      </c>
      <c r="B157" t="inlineStr">
        <is>
          <t>avverkningsanmälan</t>
        </is>
      </c>
      <c r="C157" t="inlineStr">
        <is>
          <t>Föryngringsavverkning</t>
        </is>
      </c>
      <c r="D157" s="1" t="n">
        <v>45622</v>
      </c>
      <c r="E157" s="1" t="n">
        <v>46219</v>
      </c>
      <c r="F157" t="inlineStr">
        <is>
          <t>NORRBOTTENS LÄN</t>
        </is>
      </c>
      <c r="G157" t="inlineStr">
        <is>
          <t>ÖVERTORNEÅ</t>
        </is>
      </c>
      <c r="I157" t="n">
        <v>3.9</v>
      </c>
      <c r="J157" t="n">
        <v>0</v>
      </c>
      <c r="K157" t="n">
        <v>0</v>
      </c>
      <c r="L157" t="n">
        <v>0</v>
      </c>
      <c r="M157" t="n">
        <v>0</v>
      </c>
      <c r="N157" t="n">
        <v>0</v>
      </c>
      <c r="O157" t="n">
        <v>0</v>
      </c>
      <c r="P157" t="n">
        <v>0</v>
      </c>
      <c r="Q157" t="n">
        <v>0</v>
      </c>
      <c r="R157" t="n">
        <v>0</v>
      </c>
      <c r="S157" t="n">
        <v>0</v>
      </c>
      <c r="T157" t="n">
        <v>0</v>
      </c>
      <c r="U157" s="2" t="inlineStr"/>
    </row>
    <row r="158" ht="15" customHeight="1">
      <c r="A158" t="inlineStr">
        <is>
          <t>A 55559-2024</t>
        </is>
      </c>
      <c r="B158" t="inlineStr">
        <is>
          <t>avverkningsanmälan</t>
        </is>
      </c>
      <c r="C158" t="inlineStr">
        <is>
          <t>Föryngringsavverkning</t>
        </is>
      </c>
      <c r="D158" s="1" t="n">
        <v>45622</v>
      </c>
      <c r="E158" s="1" t="n">
        <v>46219</v>
      </c>
      <c r="F158" t="inlineStr">
        <is>
          <t>NORRBOTTENS LÄN</t>
        </is>
      </c>
      <c r="G158" t="inlineStr">
        <is>
          <t>ÖVERTORNEÅ</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16356-2025</t>
        </is>
      </c>
      <c r="B159" t="inlineStr">
        <is>
          <t>avverkningsanmälan</t>
        </is>
      </c>
      <c r="C159" t="inlineStr">
        <is>
          <t>Föryngringsavverkning</t>
        </is>
      </c>
      <c r="D159" s="1" t="n">
        <v>45750</v>
      </c>
      <c r="E159" s="1" t="n">
        <v>46219</v>
      </c>
      <c r="F159" t="inlineStr">
        <is>
          <t>NORRBOTTENS LÄN</t>
        </is>
      </c>
      <c r="G159" t="inlineStr">
        <is>
          <t>ÖVERTORNEÅ</t>
        </is>
      </c>
      <c r="I159" t="n">
        <v>9.1</v>
      </c>
      <c r="J159" t="n">
        <v>0</v>
      </c>
      <c r="K159" t="n">
        <v>0</v>
      </c>
      <c r="L159" t="n">
        <v>0</v>
      </c>
      <c r="M159" t="n">
        <v>0</v>
      </c>
      <c r="N159" t="n">
        <v>0</v>
      </c>
      <c r="O159" t="n">
        <v>0</v>
      </c>
      <c r="P159" t="n">
        <v>0</v>
      </c>
      <c r="Q159" t="n">
        <v>0</v>
      </c>
      <c r="R159" t="n">
        <v>0</v>
      </c>
      <c r="S159" t="n">
        <v>0</v>
      </c>
      <c r="T159" t="n">
        <v>0</v>
      </c>
      <c r="U159" s="2" t="inlineStr"/>
    </row>
    <row r="160" ht="15" customHeight="1">
      <c r="A160" t="inlineStr">
        <is>
          <t>A 2433-2025</t>
        </is>
      </c>
      <c r="B160" t="inlineStr">
        <is>
          <t>avverkningsanmälan</t>
        </is>
      </c>
      <c r="C160" t="inlineStr">
        <is>
          <t>Avverkning för annat ändamål</t>
        </is>
      </c>
      <c r="D160" s="1" t="n">
        <v>45673</v>
      </c>
      <c r="E160" s="1" t="n">
        <v>46219</v>
      </c>
      <c r="F160" t="inlineStr">
        <is>
          <t>NORRBOTTENS LÄN</t>
        </is>
      </c>
      <c r="G160" t="inlineStr">
        <is>
          <t>ÖVERTORNEÅ</t>
        </is>
      </c>
      <c r="I160" t="n">
        <v>9.6</v>
      </c>
      <c r="J160" t="n">
        <v>0</v>
      </c>
      <c r="K160" t="n">
        <v>0</v>
      </c>
      <c r="L160" t="n">
        <v>0</v>
      </c>
      <c r="M160" t="n">
        <v>0</v>
      </c>
      <c r="N160" t="n">
        <v>0</v>
      </c>
      <c r="O160" t="n">
        <v>0</v>
      </c>
      <c r="P160" t="n">
        <v>0</v>
      </c>
      <c r="Q160" t="n">
        <v>0</v>
      </c>
      <c r="R160" t="n">
        <v>0</v>
      </c>
      <c r="S160" t="n">
        <v>0</v>
      </c>
      <c r="T160" t="n">
        <v>0</v>
      </c>
      <c r="U160" s="2" t="inlineStr"/>
    </row>
    <row r="161" ht="15" customHeight="1">
      <c r="A161" t="inlineStr">
        <is>
          <t>A 68764-2021</t>
        </is>
      </c>
      <c r="B161" t="inlineStr">
        <is>
          <t>avverkningsanmälan</t>
        </is>
      </c>
      <c r="C161" t="inlineStr">
        <is>
          <t>Föryngringsavverkning</t>
        </is>
      </c>
      <c r="D161" s="1" t="n">
        <v>44529</v>
      </c>
      <c r="E161" s="1" t="n">
        <v>46219</v>
      </c>
      <c r="F161" t="inlineStr">
        <is>
          <t>NORRBOTTENS LÄN</t>
        </is>
      </c>
      <c r="G161" t="inlineStr">
        <is>
          <t>ÖVERTORNEÅ</t>
        </is>
      </c>
      <c r="I161" t="n">
        <v>19.2</v>
      </c>
      <c r="J161" t="n">
        <v>0</v>
      </c>
      <c r="K161" t="n">
        <v>0</v>
      </c>
      <c r="L161" t="n">
        <v>0</v>
      </c>
      <c r="M161" t="n">
        <v>0</v>
      </c>
      <c r="N161" t="n">
        <v>0</v>
      </c>
      <c r="O161" t="n">
        <v>0</v>
      </c>
      <c r="P161" t="n">
        <v>0</v>
      </c>
      <c r="Q161" t="n">
        <v>0</v>
      </c>
      <c r="R161" t="n">
        <v>0</v>
      </c>
      <c r="S161" t="n">
        <v>0</v>
      </c>
      <c r="T161" t="n">
        <v>0</v>
      </c>
      <c r="U161" s="2" t="inlineStr"/>
    </row>
    <row r="162" ht="15" customHeight="1">
      <c r="A162" t="inlineStr">
        <is>
          <t>A 47914-2025</t>
        </is>
      </c>
      <c r="B162" t="inlineStr">
        <is>
          <t>avverkningsanmälan</t>
        </is>
      </c>
      <c r="C162" t="inlineStr">
        <is>
          <t>Föryngringsavverkning</t>
        </is>
      </c>
      <c r="D162" s="1" t="n">
        <v>45932</v>
      </c>
      <c r="E162" s="1" t="n">
        <v>46219</v>
      </c>
      <c r="F162" t="inlineStr">
        <is>
          <t>NORRBOTTENS LÄN</t>
        </is>
      </c>
      <c r="G162" t="inlineStr">
        <is>
          <t>ÖVERTORNEÅ</t>
        </is>
      </c>
      <c r="H162" t="inlineStr">
        <is>
          <t>Sveaskog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27300-2022</t>
        </is>
      </c>
      <c r="B163" t="inlineStr">
        <is>
          <t>avverkningsanmälan</t>
        </is>
      </c>
      <c r="C163" t="inlineStr">
        <is>
          <t>Föryngringsavverkning</t>
        </is>
      </c>
      <c r="D163" s="1" t="n">
        <v>44741</v>
      </c>
      <c r="E163" s="1" t="n">
        <v>46219</v>
      </c>
      <c r="F163" t="inlineStr">
        <is>
          <t>NORRBOTTENS LÄN</t>
        </is>
      </c>
      <c r="G163" t="inlineStr">
        <is>
          <t>ÖVERTORNEÅ</t>
        </is>
      </c>
      <c r="H163" t="inlineStr">
        <is>
          <t>Sveaskog</t>
        </is>
      </c>
      <c r="I163" t="n">
        <v>2.9</v>
      </c>
      <c r="J163" t="n">
        <v>0</v>
      </c>
      <c r="K163" t="n">
        <v>0</v>
      </c>
      <c r="L163" t="n">
        <v>0</v>
      </c>
      <c r="M163" t="n">
        <v>0</v>
      </c>
      <c r="N163" t="n">
        <v>0</v>
      </c>
      <c r="O163" t="n">
        <v>0</v>
      </c>
      <c r="P163" t="n">
        <v>0</v>
      </c>
      <c r="Q163" t="n">
        <v>0</v>
      </c>
      <c r="R163" t="n">
        <v>0</v>
      </c>
      <c r="S163" t="n">
        <v>0</v>
      </c>
      <c r="T163" t="n">
        <v>0</v>
      </c>
      <c r="U163" s="2" t="inlineStr"/>
    </row>
    <row r="164" ht="15" customHeight="1">
      <c r="A164" t="inlineStr">
        <is>
          <t>A 47909-2025</t>
        </is>
      </c>
      <c r="B164" t="inlineStr">
        <is>
          <t>avverkningsanmälan</t>
        </is>
      </c>
      <c r="C164" t="inlineStr">
        <is>
          <t>Föryngringsavverkning</t>
        </is>
      </c>
      <c r="D164" s="1" t="n">
        <v>45932</v>
      </c>
      <c r="E164" s="1" t="n">
        <v>46219</v>
      </c>
      <c r="F164" t="inlineStr">
        <is>
          <t>NORRBOTTENS LÄN</t>
        </is>
      </c>
      <c r="G164" t="inlineStr">
        <is>
          <t>ÖVERTORNEÅ</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47912-2025</t>
        </is>
      </c>
      <c r="B165" t="inlineStr">
        <is>
          <t>avverkningsanmälan</t>
        </is>
      </c>
      <c r="C165" t="inlineStr">
        <is>
          <t>Föryngringsavverkning</t>
        </is>
      </c>
      <c r="D165" s="1" t="n">
        <v>45932</v>
      </c>
      <c r="E165" s="1" t="n">
        <v>46219</v>
      </c>
      <c r="F165" t="inlineStr">
        <is>
          <t>NORRBOTTENS LÄN</t>
        </is>
      </c>
      <c r="G165" t="inlineStr">
        <is>
          <t>ÖVERTORNEÅ</t>
        </is>
      </c>
      <c r="H165" t="inlineStr">
        <is>
          <t>Sveaskog</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48701-2025</t>
        </is>
      </c>
      <c r="B166" t="inlineStr">
        <is>
          <t>avverkningsanmälan</t>
        </is>
      </c>
      <c r="C166" t="inlineStr">
        <is>
          <t>Avverkning för annat ändamål</t>
        </is>
      </c>
      <c r="D166" s="1" t="n">
        <v>45936</v>
      </c>
      <c r="E166" s="1" t="n">
        <v>46219</v>
      </c>
      <c r="F166" t="inlineStr">
        <is>
          <t>NORRBOTTENS LÄN</t>
        </is>
      </c>
      <c r="G166" t="inlineStr">
        <is>
          <t>ÖVERTORNEÅ</t>
        </is>
      </c>
      <c r="H166" t="inlineStr">
        <is>
          <t>Sveaskog</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855-2024</t>
        </is>
      </c>
      <c r="B167" t="inlineStr">
        <is>
          <t>avverkningsanmälan</t>
        </is>
      </c>
      <c r="C167" t="inlineStr">
        <is>
          <t>Föryngringsavverkning</t>
        </is>
      </c>
      <c r="D167" s="1" t="n">
        <v>45300</v>
      </c>
      <c r="E167" s="1" t="n">
        <v>46219</v>
      </c>
      <c r="F167" t="inlineStr">
        <is>
          <t>NORRBOTTENS LÄN</t>
        </is>
      </c>
      <c r="G167" t="inlineStr">
        <is>
          <t>ÖVERTORNEÅ</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41030-2024</t>
        </is>
      </c>
      <c r="B168" t="inlineStr">
        <is>
          <t>avverkningsanmälan</t>
        </is>
      </c>
      <c r="C168" t="inlineStr">
        <is>
          <t>Föryngringsavverkning</t>
        </is>
      </c>
      <c r="D168" s="1" t="n">
        <v>45559</v>
      </c>
      <c r="E168" s="1" t="n">
        <v>46219</v>
      </c>
      <c r="F168" t="inlineStr">
        <is>
          <t>NORRBOTTENS LÄN</t>
        </is>
      </c>
      <c r="G168" t="inlineStr">
        <is>
          <t>ÖVERTORNEÅ</t>
        </is>
      </c>
      <c r="I168" t="n">
        <v>0.1</v>
      </c>
      <c r="J168" t="n">
        <v>0</v>
      </c>
      <c r="K168" t="n">
        <v>0</v>
      </c>
      <c r="L168" t="n">
        <v>0</v>
      </c>
      <c r="M168" t="n">
        <v>0</v>
      </c>
      <c r="N168" t="n">
        <v>0</v>
      </c>
      <c r="O168" t="n">
        <v>0</v>
      </c>
      <c r="P168" t="n">
        <v>0</v>
      </c>
      <c r="Q168" t="n">
        <v>0</v>
      </c>
      <c r="R168" t="n">
        <v>0</v>
      </c>
      <c r="S168" t="n">
        <v>0</v>
      </c>
      <c r="T168" t="n">
        <v>0</v>
      </c>
      <c r="U168" s="2" t="inlineStr"/>
    </row>
    <row r="169" ht="15" customHeight="1">
      <c r="A169" t="inlineStr">
        <is>
          <t>A 16999-2025</t>
        </is>
      </c>
      <c r="B169" t="inlineStr">
        <is>
          <t>avverkningsanmälan</t>
        </is>
      </c>
      <c r="C169" t="inlineStr">
        <is>
          <t>Föryngringsavverkning</t>
        </is>
      </c>
      <c r="D169" s="1" t="n">
        <v>45755</v>
      </c>
      <c r="E169" s="1" t="n">
        <v>46219</v>
      </c>
      <c r="F169" t="inlineStr">
        <is>
          <t>NORRBOTTENS LÄN</t>
        </is>
      </c>
      <c r="G169" t="inlineStr">
        <is>
          <t>ÖVERTORNEÅ</t>
        </is>
      </c>
      <c r="I169" t="n">
        <v>8</v>
      </c>
      <c r="J169" t="n">
        <v>0</v>
      </c>
      <c r="K169" t="n">
        <v>0</v>
      </c>
      <c r="L169" t="n">
        <v>0</v>
      </c>
      <c r="M169" t="n">
        <v>0</v>
      </c>
      <c r="N169" t="n">
        <v>0</v>
      </c>
      <c r="O169" t="n">
        <v>0</v>
      </c>
      <c r="P169" t="n">
        <v>0</v>
      </c>
      <c r="Q169" t="n">
        <v>0</v>
      </c>
      <c r="R169" t="n">
        <v>0</v>
      </c>
      <c r="S169" t="n">
        <v>0</v>
      </c>
      <c r="T169" t="n">
        <v>0</v>
      </c>
      <c r="U169" s="2" t="inlineStr"/>
    </row>
    <row r="170" ht="15" customHeight="1">
      <c r="A170" t="inlineStr">
        <is>
          <t>A 48610-2025</t>
        </is>
      </c>
      <c r="B170" t="inlineStr">
        <is>
          <t>avverkningsanmälan</t>
        </is>
      </c>
      <c r="C170" t="inlineStr">
        <is>
          <t>Avverkning för annat ändamål</t>
        </is>
      </c>
      <c r="D170" s="1" t="n">
        <v>45936</v>
      </c>
      <c r="E170" s="1" t="n">
        <v>46219</v>
      </c>
      <c r="F170" t="inlineStr">
        <is>
          <t>NORRBOTTENS LÄN</t>
        </is>
      </c>
      <c r="G170" t="inlineStr">
        <is>
          <t>ÖVERTORNEÅ</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48691-2025</t>
        </is>
      </c>
      <c r="B171" t="inlineStr">
        <is>
          <t>avverkningsanmälan</t>
        </is>
      </c>
      <c r="C171" t="inlineStr">
        <is>
          <t>Föryngringsavverkning</t>
        </is>
      </c>
      <c r="D171" s="1" t="n">
        <v>45936</v>
      </c>
      <c r="E171" s="1" t="n">
        <v>46219</v>
      </c>
      <c r="F171" t="inlineStr">
        <is>
          <t>NORRBOTTENS LÄN</t>
        </is>
      </c>
      <c r="G171" t="inlineStr">
        <is>
          <t>ÖVERTORNEÅ</t>
        </is>
      </c>
      <c r="H171" t="inlineStr">
        <is>
          <t>Sveaskog</t>
        </is>
      </c>
      <c r="I171" t="n">
        <v>7.8</v>
      </c>
      <c r="J171" t="n">
        <v>0</v>
      </c>
      <c r="K171" t="n">
        <v>0</v>
      </c>
      <c r="L171" t="n">
        <v>0</v>
      </c>
      <c r="M171" t="n">
        <v>0</v>
      </c>
      <c r="N171" t="n">
        <v>0</v>
      </c>
      <c r="O171" t="n">
        <v>0</v>
      </c>
      <c r="P171" t="n">
        <v>0</v>
      </c>
      <c r="Q171" t="n">
        <v>0</v>
      </c>
      <c r="R171" t="n">
        <v>0</v>
      </c>
      <c r="S171" t="n">
        <v>0</v>
      </c>
      <c r="T171" t="n">
        <v>0</v>
      </c>
      <c r="U171" s="2" t="inlineStr"/>
    </row>
    <row r="172" ht="15" customHeight="1">
      <c r="A172" t="inlineStr">
        <is>
          <t>A 14298-2023</t>
        </is>
      </c>
      <c r="B172" t="inlineStr">
        <is>
          <t>avverkningsanmälan</t>
        </is>
      </c>
      <c r="C172" t="inlineStr">
        <is>
          <t>Föryngringsavverkning</t>
        </is>
      </c>
      <c r="D172" s="1" t="n">
        <v>45011</v>
      </c>
      <c r="E172" s="1" t="n">
        <v>46219</v>
      </c>
      <c r="F172" t="inlineStr">
        <is>
          <t>NORRBOTTENS LÄN</t>
        </is>
      </c>
      <c r="G172" t="inlineStr">
        <is>
          <t>ÖVERTORNEÅ</t>
        </is>
      </c>
      <c r="I172" t="n">
        <v>4</v>
      </c>
      <c r="J172" t="n">
        <v>0</v>
      </c>
      <c r="K172" t="n">
        <v>0</v>
      </c>
      <c r="L172" t="n">
        <v>0</v>
      </c>
      <c r="M172" t="n">
        <v>0</v>
      </c>
      <c r="N172" t="n">
        <v>0</v>
      </c>
      <c r="O172" t="n">
        <v>0</v>
      </c>
      <c r="P172" t="n">
        <v>0</v>
      </c>
      <c r="Q172" t="n">
        <v>0</v>
      </c>
      <c r="R172" t="n">
        <v>0</v>
      </c>
      <c r="S172" t="n">
        <v>0</v>
      </c>
      <c r="T172" t="n">
        <v>0</v>
      </c>
      <c r="U172" s="2" t="inlineStr"/>
    </row>
    <row r="173" ht="15" customHeight="1">
      <c r="A173" t="inlineStr">
        <is>
          <t>A 49362-2025</t>
        </is>
      </c>
      <c r="B173" t="inlineStr">
        <is>
          <t>avverkningsanmälan</t>
        </is>
      </c>
      <c r="C173" t="inlineStr">
        <is>
          <t>Föryngringsavverkning</t>
        </is>
      </c>
      <c r="D173" s="1" t="n">
        <v>45938</v>
      </c>
      <c r="E173" s="1" t="n">
        <v>46219</v>
      </c>
      <c r="F173" t="inlineStr">
        <is>
          <t>NORRBOTTENS LÄN</t>
        </is>
      </c>
      <c r="G173" t="inlineStr">
        <is>
          <t>ÖVERTORNEÅ</t>
        </is>
      </c>
      <c r="I173" t="n">
        <v>1.6</v>
      </c>
      <c r="J173" t="n">
        <v>0</v>
      </c>
      <c r="K173" t="n">
        <v>0</v>
      </c>
      <c r="L173" t="n">
        <v>0</v>
      </c>
      <c r="M173" t="n">
        <v>0</v>
      </c>
      <c r="N173" t="n">
        <v>0</v>
      </c>
      <c r="O173" t="n">
        <v>0</v>
      </c>
      <c r="P173" t="n">
        <v>0</v>
      </c>
      <c r="Q173" t="n">
        <v>0</v>
      </c>
      <c r="R173" t="n">
        <v>0</v>
      </c>
      <c r="S173" t="n">
        <v>0</v>
      </c>
      <c r="T173" t="n">
        <v>0</v>
      </c>
      <c r="U173" s="2" t="inlineStr"/>
    </row>
    <row r="174" ht="15" customHeight="1">
      <c r="A174" t="inlineStr">
        <is>
          <t>A 34701-2024</t>
        </is>
      </c>
      <c r="B174" t="inlineStr">
        <is>
          <t>avverkningsanmälan</t>
        </is>
      </c>
      <c r="C174" t="inlineStr">
        <is>
          <t>Föryngringsavverkning</t>
        </is>
      </c>
      <c r="D174" s="1" t="n">
        <v>45526</v>
      </c>
      <c r="E174" s="1" t="n">
        <v>46219</v>
      </c>
      <c r="F174" t="inlineStr">
        <is>
          <t>NORRBOTTENS LÄN</t>
        </is>
      </c>
      <c r="G174" t="inlineStr">
        <is>
          <t>ÖVERTORNEÅ</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32738-2024</t>
        </is>
      </c>
      <c r="B175" t="inlineStr">
        <is>
          <t>avverkningsanmälan</t>
        </is>
      </c>
      <c r="C175" t="inlineStr">
        <is>
          <t>Föryngringsavverkning</t>
        </is>
      </c>
      <c r="D175" s="1" t="n">
        <v>45516</v>
      </c>
      <c r="E175" s="1" t="n">
        <v>46219</v>
      </c>
      <c r="F175" t="inlineStr">
        <is>
          <t>NORRBOTTENS LÄN</t>
        </is>
      </c>
      <c r="G175" t="inlineStr">
        <is>
          <t>ÖVERTORNEÅ</t>
        </is>
      </c>
      <c r="I175" t="n">
        <v>5.1</v>
      </c>
      <c r="J175" t="n">
        <v>0</v>
      </c>
      <c r="K175" t="n">
        <v>0</v>
      </c>
      <c r="L175" t="n">
        <v>0</v>
      </c>
      <c r="M175" t="n">
        <v>0</v>
      </c>
      <c r="N175" t="n">
        <v>0</v>
      </c>
      <c r="O175" t="n">
        <v>0</v>
      </c>
      <c r="P175" t="n">
        <v>0</v>
      </c>
      <c r="Q175" t="n">
        <v>0</v>
      </c>
      <c r="R175" t="n">
        <v>0</v>
      </c>
      <c r="S175" t="n">
        <v>0</v>
      </c>
      <c r="T175" t="n">
        <v>0</v>
      </c>
      <c r="U175" s="2" t="inlineStr"/>
    </row>
    <row r="176" ht="15" customHeight="1">
      <c r="A176" t="inlineStr">
        <is>
          <t>A 49353-2025</t>
        </is>
      </c>
      <c r="B176" t="inlineStr">
        <is>
          <t>avverkningsanmälan</t>
        </is>
      </c>
      <c r="C176" t="inlineStr">
        <is>
          <t>Föryngringsavverkning</t>
        </is>
      </c>
      <c r="D176" s="1" t="n">
        <v>45938</v>
      </c>
      <c r="E176" s="1" t="n">
        <v>46219</v>
      </c>
      <c r="F176" t="inlineStr">
        <is>
          <t>NORRBOTTENS LÄN</t>
        </is>
      </c>
      <c r="G176" t="inlineStr">
        <is>
          <t>ÖVERTORNEÅ</t>
        </is>
      </c>
      <c r="I176" t="n">
        <v>3.3</v>
      </c>
      <c r="J176" t="n">
        <v>0</v>
      </c>
      <c r="K176" t="n">
        <v>0</v>
      </c>
      <c r="L176" t="n">
        <v>0</v>
      </c>
      <c r="M176" t="n">
        <v>0</v>
      </c>
      <c r="N176" t="n">
        <v>0</v>
      </c>
      <c r="O176" t="n">
        <v>0</v>
      </c>
      <c r="P176" t="n">
        <v>0</v>
      </c>
      <c r="Q176" t="n">
        <v>0</v>
      </c>
      <c r="R176" t="n">
        <v>0</v>
      </c>
      <c r="S176" t="n">
        <v>0</v>
      </c>
      <c r="T176" t="n">
        <v>0</v>
      </c>
      <c r="U176" s="2" t="inlineStr"/>
    </row>
    <row r="177" ht="15" customHeight="1">
      <c r="A177" t="inlineStr">
        <is>
          <t>A 49368-2025</t>
        </is>
      </c>
      <c r="B177" t="inlineStr">
        <is>
          <t>avverkningsanmälan</t>
        </is>
      </c>
      <c r="C177" t="inlineStr">
        <is>
          <t>Föryngringsavverkning</t>
        </is>
      </c>
      <c r="D177" s="1" t="n">
        <v>45938</v>
      </c>
      <c r="E177" s="1" t="n">
        <v>46219</v>
      </c>
      <c r="F177" t="inlineStr">
        <is>
          <t>NORRBOTTENS LÄN</t>
        </is>
      </c>
      <c r="G177" t="inlineStr">
        <is>
          <t>ÖVERTORNEÅ</t>
        </is>
      </c>
      <c r="H177" t="inlineStr">
        <is>
          <t>Sveaskog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8514-2024</t>
        </is>
      </c>
      <c r="B178" t="inlineStr">
        <is>
          <t>avverkningsanmälan</t>
        </is>
      </c>
      <c r="C178" t="inlineStr">
        <is>
          <t>Föryngringsavverkning</t>
        </is>
      </c>
      <c r="D178" s="1" t="n">
        <v>45351</v>
      </c>
      <c r="E178" s="1" t="n">
        <v>46219</v>
      </c>
      <c r="F178" t="inlineStr">
        <is>
          <t>NORRBOTTENS LÄN</t>
        </is>
      </c>
      <c r="G178" t="inlineStr">
        <is>
          <t>ÖVERTORNEÅ</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12005-2022</t>
        </is>
      </c>
      <c r="B179" t="inlineStr">
        <is>
          <t>avverkningsanmälan</t>
        </is>
      </c>
      <c r="C179" t="inlineStr">
        <is>
          <t>Föryngringsavverkning</t>
        </is>
      </c>
      <c r="D179" s="1" t="n">
        <v>44635</v>
      </c>
      <c r="E179" s="1" t="n">
        <v>46219</v>
      </c>
      <c r="F179" t="inlineStr">
        <is>
          <t>NORRBOTTENS LÄN</t>
        </is>
      </c>
      <c r="G179" t="inlineStr">
        <is>
          <t>ÖVERTORNEÅ</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50447-2024</t>
        </is>
      </c>
      <c r="B180" t="inlineStr">
        <is>
          <t>avverkningsanmälan</t>
        </is>
      </c>
      <c r="C180" t="inlineStr">
        <is>
          <t>Avverkning för annat ändamål</t>
        </is>
      </c>
      <c r="D180" s="1" t="n">
        <v>45601</v>
      </c>
      <c r="E180" s="1" t="n">
        <v>46219</v>
      </c>
      <c r="F180" t="inlineStr">
        <is>
          <t>NORRBOTTENS LÄN</t>
        </is>
      </c>
      <c r="G180" t="inlineStr">
        <is>
          <t>ÖVERTORNEÅ</t>
        </is>
      </c>
      <c r="I180" t="n">
        <v>10</v>
      </c>
      <c r="J180" t="n">
        <v>0</v>
      </c>
      <c r="K180" t="n">
        <v>0</v>
      </c>
      <c r="L180" t="n">
        <v>0</v>
      </c>
      <c r="M180" t="n">
        <v>0</v>
      </c>
      <c r="N180" t="n">
        <v>0</v>
      </c>
      <c r="O180" t="n">
        <v>0</v>
      </c>
      <c r="P180" t="n">
        <v>0</v>
      </c>
      <c r="Q180" t="n">
        <v>0</v>
      </c>
      <c r="R180" t="n">
        <v>0</v>
      </c>
      <c r="S180" t="n">
        <v>0</v>
      </c>
      <c r="T180" t="n">
        <v>0</v>
      </c>
      <c r="U180" s="2" t="inlineStr"/>
    </row>
    <row r="181" ht="15" customHeight="1">
      <c r="A181" t="inlineStr">
        <is>
          <t>A 41918-2024</t>
        </is>
      </c>
      <c r="B181" t="inlineStr">
        <is>
          <t>avverkningsanmälan</t>
        </is>
      </c>
      <c r="C181" t="inlineStr">
        <is>
          <t>Föryngringsavverkning</t>
        </is>
      </c>
      <c r="D181" s="1" t="n">
        <v>45561</v>
      </c>
      <c r="E181" s="1" t="n">
        <v>46219</v>
      </c>
      <c r="F181" t="inlineStr">
        <is>
          <t>NORRBOTTENS LÄN</t>
        </is>
      </c>
      <c r="G181" t="inlineStr">
        <is>
          <t>ÖVERTORNEÅ</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49744-2025</t>
        </is>
      </c>
      <c r="B182" t="inlineStr">
        <is>
          <t>avverkningsanmälan</t>
        </is>
      </c>
      <c r="C182" t="inlineStr">
        <is>
          <t>Avverkning för annat ändamål</t>
        </is>
      </c>
      <c r="D182" s="1" t="n">
        <v>45940</v>
      </c>
      <c r="E182" s="1" t="n">
        <v>46219</v>
      </c>
      <c r="F182" t="inlineStr">
        <is>
          <t>NORRBOTTENS LÄN</t>
        </is>
      </c>
      <c r="G182" t="inlineStr">
        <is>
          <t>ÖVERTORNEÅ</t>
        </is>
      </c>
      <c r="H182" t="inlineStr">
        <is>
          <t>Sveaskog</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17624-2025</t>
        </is>
      </c>
      <c r="B183" t="inlineStr">
        <is>
          <t>avverkningsanmälan</t>
        </is>
      </c>
      <c r="C183" t="inlineStr">
        <is>
          <t>Föryngringsavverkning</t>
        </is>
      </c>
      <c r="D183" s="1" t="n">
        <v>45757</v>
      </c>
      <c r="E183" s="1" t="n">
        <v>46219</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s="2" t="inlineStr"/>
    </row>
    <row r="184" ht="15" customHeight="1">
      <c r="A184" t="inlineStr">
        <is>
          <t>A 50184-2025</t>
        </is>
      </c>
      <c r="B184" t="inlineStr">
        <is>
          <t>avverkningsanmälan</t>
        </is>
      </c>
      <c r="C184" t="inlineStr">
        <is>
          <t>Föryngringsavverkning</t>
        </is>
      </c>
      <c r="D184" s="1" t="n">
        <v>45943</v>
      </c>
      <c r="E184" s="1" t="n">
        <v>46219</v>
      </c>
      <c r="F184" t="inlineStr">
        <is>
          <t>NORRBOTTENS LÄN</t>
        </is>
      </c>
      <c r="G184" t="inlineStr">
        <is>
          <t>ÖVERTORNEÅ</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31699-2023</t>
        </is>
      </c>
      <c r="B185" t="inlineStr">
        <is>
          <t>avverkningsanmälan</t>
        </is>
      </c>
      <c r="C185" t="inlineStr">
        <is>
          <t>Avverkning för annat ändamål</t>
        </is>
      </c>
      <c r="D185" s="1" t="n">
        <v>45117</v>
      </c>
      <c r="E185" s="1" t="n">
        <v>46219</v>
      </c>
      <c r="F185" t="inlineStr">
        <is>
          <t>NORRBOTTENS LÄN</t>
        </is>
      </c>
      <c r="G185" t="inlineStr">
        <is>
          <t>ÖVERTORNEÅ</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50236-2025</t>
        </is>
      </c>
      <c r="B186" t="inlineStr">
        <is>
          <t>avverkningsanmälan</t>
        </is>
      </c>
      <c r="C186" t="inlineStr">
        <is>
          <t>Föryngringsavverkning</t>
        </is>
      </c>
      <c r="D186" s="1" t="n">
        <v>45943</v>
      </c>
      <c r="E186" s="1" t="n">
        <v>46219</v>
      </c>
      <c r="F186" t="inlineStr">
        <is>
          <t>NORRBOTTENS LÄN</t>
        </is>
      </c>
      <c r="G186" t="inlineStr">
        <is>
          <t>ÖVERTORNEÅ</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46031-2021</t>
        </is>
      </c>
      <c r="B187" t="inlineStr">
        <is>
          <t>avverkningsanmälan</t>
        </is>
      </c>
      <c r="C187" t="inlineStr">
        <is>
          <t>Föryngringsavverkning</t>
        </is>
      </c>
      <c r="D187" s="1" t="n">
        <v>44441</v>
      </c>
      <c r="E187" s="1" t="n">
        <v>46219</v>
      </c>
      <c r="F187" t="inlineStr">
        <is>
          <t>NORRBOTTENS LÄN</t>
        </is>
      </c>
      <c r="G187" t="inlineStr">
        <is>
          <t>ÖVERTORNEÅ</t>
        </is>
      </c>
      <c r="I187" t="n">
        <v>9.9</v>
      </c>
      <c r="J187" t="n">
        <v>0</v>
      </c>
      <c r="K187" t="n">
        <v>0</v>
      </c>
      <c r="L187" t="n">
        <v>0</v>
      </c>
      <c r="M187" t="n">
        <v>0</v>
      </c>
      <c r="N187" t="n">
        <v>0</v>
      </c>
      <c r="O187" t="n">
        <v>0</v>
      </c>
      <c r="P187" t="n">
        <v>0</v>
      </c>
      <c r="Q187" t="n">
        <v>0</v>
      </c>
      <c r="R187" t="n">
        <v>0</v>
      </c>
      <c r="S187" t="n">
        <v>0</v>
      </c>
      <c r="T187" t="n">
        <v>0</v>
      </c>
      <c r="U187" s="2" t="inlineStr"/>
    </row>
    <row r="188" ht="15" customHeight="1">
      <c r="A188" t="inlineStr">
        <is>
          <t>A 38677-2024</t>
        </is>
      </c>
      <c r="B188" t="inlineStr">
        <is>
          <t>avverkningsanmälan</t>
        </is>
      </c>
      <c r="C188" t="inlineStr">
        <is>
          <t>Föryngringsavverkning</t>
        </is>
      </c>
      <c r="D188" s="1" t="n">
        <v>45547</v>
      </c>
      <c r="E188" s="1" t="n">
        <v>46219</v>
      </c>
      <c r="F188" t="inlineStr">
        <is>
          <t>NORRBOTTENS LÄN</t>
        </is>
      </c>
      <c r="G188" t="inlineStr">
        <is>
          <t>ÖVERTORNEÅ</t>
        </is>
      </c>
      <c r="I188" t="n">
        <v>13.2</v>
      </c>
      <c r="J188" t="n">
        <v>0</v>
      </c>
      <c r="K188" t="n">
        <v>0</v>
      </c>
      <c r="L188" t="n">
        <v>0</v>
      </c>
      <c r="M188" t="n">
        <v>0</v>
      </c>
      <c r="N188" t="n">
        <v>0</v>
      </c>
      <c r="O188" t="n">
        <v>0</v>
      </c>
      <c r="P188" t="n">
        <v>0</v>
      </c>
      <c r="Q188" t="n">
        <v>0</v>
      </c>
      <c r="R188" t="n">
        <v>0</v>
      </c>
      <c r="S188" t="n">
        <v>0</v>
      </c>
      <c r="T188" t="n">
        <v>0</v>
      </c>
      <c r="U188" s="2" t="inlineStr"/>
    </row>
    <row r="189" ht="15" customHeight="1">
      <c r="A189" t="inlineStr">
        <is>
          <t>A 58172-2024</t>
        </is>
      </c>
      <c r="B189" t="inlineStr">
        <is>
          <t>avverkningsanmälan</t>
        </is>
      </c>
      <c r="C189" t="inlineStr">
        <is>
          <t>Föryngringsavverkning</t>
        </is>
      </c>
      <c r="D189" s="1" t="n">
        <v>45632</v>
      </c>
      <c r="E189" s="1" t="n">
        <v>46219</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58178-2024</t>
        </is>
      </c>
      <c r="B190" t="inlineStr">
        <is>
          <t>avverkningsanmälan</t>
        </is>
      </c>
      <c r="C190" t="inlineStr">
        <is>
          <t>Föryngringsavverkning</t>
        </is>
      </c>
      <c r="D190" s="1" t="n">
        <v>45632</v>
      </c>
      <c r="E190" s="1" t="n">
        <v>46219</v>
      </c>
      <c r="F190" t="inlineStr">
        <is>
          <t>NORRBOTTENS LÄN</t>
        </is>
      </c>
      <c r="G190" t="inlineStr">
        <is>
          <t>ÖVERTORNEÅ</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58201-2024</t>
        </is>
      </c>
      <c r="B191" t="inlineStr">
        <is>
          <t>avverkningsanmälan</t>
        </is>
      </c>
      <c r="C191" t="inlineStr">
        <is>
          <t>Föryngringsavverkning</t>
        </is>
      </c>
      <c r="D191" s="1" t="n">
        <v>45632</v>
      </c>
      <c r="E191" s="1" t="n">
        <v>46219</v>
      </c>
      <c r="F191" t="inlineStr">
        <is>
          <t>NORRBOTTENS LÄN</t>
        </is>
      </c>
      <c r="G191" t="inlineStr">
        <is>
          <t>ÖVERTORNEÅ</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62390-2022</t>
        </is>
      </c>
      <c r="B192" t="inlineStr">
        <is>
          <t>avverkningsanmälan</t>
        </is>
      </c>
      <c r="C192" t="inlineStr">
        <is>
          <t>Föryngringsavverkning</t>
        </is>
      </c>
      <c r="D192" s="1" t="n">
        <v>44923</v>
      </c>
      <c r="E192" s="1" t="n">
        <v>46219</v>
      </c>
      <c r="F192" t="inlineStr">
        <is>
          <t>NORRBOTTENS LÄN</t>
        </is>
      </c>
      <c r="G192" t="inlineStr">
        <is>
          <t>ÖVERTORNEÅ</t>
        </is>
      </c>
      <c r="I192" t="n">
        <v>4.2</v>
      </c>
      <c r="J192" t="n">
        <v>0</v>
      </c>
      <c r="K192" t="n">
        <v>0</v>
      </c>
      <c r="L192" t="n">
        <v>0</v>
      </c>
      <c r="M192" t="n">
        <v>0</v>
      </c>
      <c r="N192" t="n">
        <v>0</v>
      </c>
      <c r="O192" t="n">
        <v>0</v>
      </c>
      <c r="P192" t="n">
        <v>0</v>
      </c>
      <c r="Q192" t="n">
        <v>0</v>
      </c>
      <c r="R192" t="n">
        <v>0</v>
      </c>
      <c r="S192" t="n">
        <v>0</v>
      </c>
      <c r="T192" t="n">
        <v>0</v>
      </c>
      <c r="U192" s="2" t="inlineStr"/>
    </row>
    <row r="193" ht="15" customHeight="1">
      <c r="A193" t="inlineStr">
        <is>
          <t>A 50938-2025</t>
        </is>
      </c>
      <c r="B193" t="inlineStr">
        <is>
          <t>avverkningsanmälan</t>
        </is>
      </c>
      <c r="C193" t="inlineStr">
        <is>
          <t>Föryngringsavverkning</t>
        </is>
      </c>
      <c r="D193" s="1" t="n">
        <v>45946</v>
      </c>
      <c r="E193" s="1" t="n">
        <v>46219</v>
      </c>
      <c r="F193" t="inlineStr">
        <is>
          <t>NORRBOTTENS LÄN</t>
        </is>
      </c>
      <c r="G193" t="inlineStr">
        <is>
          <t>ÖVERTORNEÅ</t>
        </is>
      </c>
      <c r="I193" t="n">
        <v>8.699999999999999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45049-2024</t>
        </is>
      </c>
      <c r="B194" t="inlineStr">
        <is>
          <t>avverkningsanmälan</t>
        </is>
      </c>
      <c r="C194" t="inlineStr">
        <is>
          <t>Föryngringsavverkning</t>
        </is>
      </c>
      <c r="D194" s="1" t="n">
        <v>45575</v>
      </c>
      <c r="E194" s="1" t="n">
        <v>46219</v>
      </c>
      <c r="F194" t="inlineStr">
        <is>
          <t>NORRBOTTENS LÄN</t>
        </is>
      </c>
      <c r="G194" t="inlineStr">
        <is>
          <t>ÖVERTORNEÅ</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40589-2024</t>
        </is>
      </c>
      <c r="B195" t="inlineStr">
        <is>
          <t>avverkningsanmälan</t>
        </is>
      </c>
      <c r="C195" t="inlineStr">
        <is>
          <t>Föryngringsavverkning</t>
        </is>
      </c>
      <c r="D195" s="1" t="n">
        <v>45555</v>
      </c>
      <c r="E195" s="1" t="n">
        <v>46219</v>
      </c>
      <c r="F195" t="inlineStr">
        <is>
          <t>NORRBOTTENS LÄN</t>
        </is>
      </c>
      <c r="G195" t="inlineStr">
        <is>
          <t>ÖVERTORNEÅ</t>
        </is>
      </c>
      <c r="I195" t="n">
        <v>4.9</v>
      </c>
      <c r="J195" t="n">
        <v>0</v>
      </c>
      <c r="K195" t="n">
        <v>0</v>
      </c>
      <c r="L195" t="n">
        <v>0</v>
      </c>
      <c r="M195" t="n">
        <v>0</v>
      </c>
      <c r="N195" t="n">
        <v>0</v>
      </c>
      <c r="O195" t="n">
        <v>0</v>
      </c>
      <c r="P195" t="n">
        <v>0</v>
      </c>
      <c r="Q195" t="n">
        <v>0</v>
      </c>
      <c r="R195" t="n">
        <v>0</v>
      </c>
      <c r="S195" t="n">
        <v>0</v>
      </c>
      <c r="T195" t="n">
        <v>0</v>
      </c>
      <c r="U195" s="2" t="inlineStr"/>
    </row>
    <row r="196" ht="15" customHeight="1">
      <c r="A196" t="inlineStr">
        <is>
          <t>A 60385-2022</t>
        </is>
      </c>
      <c r="B196" t="inlineStr">
        <is>
          <t>avverkningsanmälan</t>
        </is>
      </c>
      <c r="C196" t="inlineStr">
        <is>
          <t>Föryngringsavverkning</t>
        </is>
      </c>
      <c r="D196" s="1" t="n">
        <v>44910</v>
      </c>
      <c r="E196" s="1" t="n">
        <v>46219</v>
      </c>
      <c r="F196" t="inlineStr">
        <is>
          <t>NORRBOTTENS LÄN</t>
        </is>
      </c>
      <c r="G196" t="inlineStr">
        <is>
          <t>ÖVERTORNEÅ</t>
        </is>
      </c>
      <c r="I196" t="n">
        <v>17.2</v>
      </c>
      <c r="J196" t="n">
        <v>0</v>
      </c>
      <c r="K196" t="n">
        <v>0</v>
      </c>
      <c r="L196" t="n">
        <v>0</v>
      </c>
      <c r="M196" t="n">
        <v>0</v>
      </c>
      <c r="N196" t="n">
        <v>0</v>
      </c>
      <c r="O196" t="n">
        <v>0</v>
      </c>
      <c r="P196" t="n">
        <v>0</v>
      </c>
      <c r="Q196" t="n">
        <v>0</v>
      </c>
      <c r="R196" t="n">
        <v>0</v>
      </c>
      <c r="S196" t="n">
        <v>0</v>
      </c>
      <c r="T196" t="n">
        <v>0</v>
      </c>
      <c r="U196" s="2" t="inlineStr"/>
    </row>
    <row r="197" ht="15" customHeight="1">
      <c r="A197" t="inlineStr">
        <is>
          <t>A 51000-2025</t>
        </is>
      </c>
      <c r="B197" t="inlineStr">
        <is>
          <t>avverkningsanmälan</t>
        </is>
      </c>
      <c r="C197" t="inlineStr">
        <is>
          <t>Föryngringsavverkning</t>
        </is>
      </c>
      <c r="D197" s="1" t="n">
        <v>45947</v>
      </c>
      <c r="E197" s="1" t="n">
        <v>46219</v>
      </c>
      <c r="F197" t="inlineStr">
        <is>
          <t>NORRBOTTENS LÄN</t>
        </is>
      </c>
      <c r="G197" t="inlineStr">
        <is>
          <t>ÖVERTORNEÅ</t>
        </is>
      </c>
      <c r="H197" t="inlineStr">
        <is>
          <t>Sveaskog</t>
        </is>
      </c>
      <c r="I197" t="n">
        <v>5.1</v>
      </c>
      <c r="J197" t="n">
        <v>0</v>
      </c>
      <c r="K197" t="n">
        <v>0</v>
      </c>
      <c r="L197" t="n">
        <v>0</v>
      </c>
      <c r="M197" t="n">
        <v>0</v>
      </c>
      <c r="N197" t="n">
        <v>0</v>
      </c>
      <c r="O197" t="n">
        <v>0</v>
      </c>
      <c r="P197" t="n">
        <v>0</v>
      </c>
      <c r="Q197" t="n">
        <v>0</v>
      </c>
      <c r="R197" t="n">
        <v>0</v>
      </c>
      <c r="S197" t="n">
        <v>0</v>
      </c>
      <c r="T197" t="n">
        <v>0</v>
      </c>
      <c r="U197" s="2" t="inlineStr"/>
    </row>
    <row r="198" ht="15" customHeight="1">
      <c r="A198" t="inlineStr">
        <is>
          <t>A 1476-2023</t>
        </is>
      </c>
      <c r="B198" t="inlineStr">
        <is>
          <t>avverkningsanmälan</t>
        </is>
      </c>
      <c r="C198" t="inlineStr">
        <is>
          <t>Föryngringsavverkning</t>
        </is>
      </c>
      <c r="D198" s="1" t="n">
        <v>44937</v>
      </c>
      <c r="E198" s="1" t="n">
        <v>46219</v>
      </c>
      <c r="F198" t="inlineStr">
        <is>
          <t>NORRBOTTENS LÄN</t>
        </is>
      </c>
      <c r="G198" t="inlineStr">
        <is>
          <t>ÖVERTORNEÅ</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28839-2023</t>
        </is>
      </c>
      <c r="B199" t="inlineStr">
        <is>
          <t>avverkningsanmälan</t>
        </is>
      </c>
      <c r="C199" t="inlineStr">
        <is>
          <t>Föryngringsavverkning</t>
        </is>
      </c>
      <c r="D199" s="1" t="n">
        <v>45104</v>
      </c>
      <c r="E199" s="1" t="n">
        <v>46219</v>
      </c>
      <c r="F199" t="inlineStr">
        <is>
          <t>NORRBOTTENS LÄN</t>
        </is>
      </c>
      <c r="G199" t="inlineStr">
        <is>
          <t>ÖVERTORNEÅ</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52164-2025</t>
        </is>
      </c>
      <c r="B200" t="inlineStr">
        <is>
          <t>avverkningsanmälan</t>
        </is>
      </c>
      <c r="C200" t="inlineStr">
        <is>
          <t>Föryngringsavverkning</t>
        </is>
      </c>
      <c r="D200" s="1" t="n">
        <v>45953</v>
      </c>
      <c r="E200" s="1" t="n">
        <v>46219</v>
      </c>
      <c r="F200" t="inlineStr">
        <is>
          <t>NORRBOTTENS LÄN</t>
        </is>
      </c>
      <c r="G200" t="inlineStr">
        <is>
          <t>ÖVERTORNEÅ</t>
        </is>
      </c>
      <c r="I200" t="n">
        <v>5.8</v>
      </c>
      <c r="J200" t="n">
        <v>0</v>
      </c>
      <c r="K200" t="n">
        <v>0</v>
      </c>
      <c r="L200" t="n">
        <v>0</v>
      </c>
      <c r="M200" t="n">
        <v>0</v>
      </c>
      <c r="N200" t="n">
        <v>0</v>
      </c>
      <c r="O200" t="n">
        <v>0</v>
      </c>
      <c r="P200" t="n">
        <v>0</v>
      </c>
      <c r="Q200" t="n">
        <v>0</v>
      </c>
      <c r="R200" t="n">
        <v>0</v>
      </c>
      <c r="S200" t="n">
        <v>0</v>
      </c>
      <c r="T200" t="n">
        <v>0</v>
      </c>
      <c r="U200" s="2" t="inlineStr"/>
    </row>
    <row r="201" ht="15" customHeight="1">
      <c r="A201" t="inlineStr">
        <is>
          <t>A 23363-2026</t>
        </is>
      </c>
      <c r="B201" t="inlineStr">
        <is>
          <t>avverkningsanmälan</t>
        </is>
      </c>
      <c r="C201" t="inlineStr">
        <is>
          <t>Föryngringsavverkning</t>
        </is>
      </c>
      <c r="D201" s="1" t="n">
        <v>46162</v>
      </c>
      <c r="E201" s="1" t="n">
        <v>46219</v>
      </c>
      <c r="F201" t="inlineStr">
        <is>
          <t>NORRBOTTENS LÄN</t>
        </is>
      </c>
      <c r="G201" t="inlineStr">
        <is>
          <t>ÖVERTORNEÅ</t>
        </is>
      </c>
      <c r="H201" t="inlineStr">
        <is>
          <t>Sveaskog</t>
        </is>
      </c>
      <c r="I201" t="n">
        <v>12.2</v>
      </c>
      <c r="J201" t="n">
        <v>0</v>
      </c>
      <c r="K201" t="n">
        <v>0</v>
      </c>
      <c r="L201" t="n">
        <v>0</v>
      </c>
      <c r="M201" t="n">
        <v>0</v>
      </c>
      <c r="N201" t="n">
        <v>0</v>
      </c>
      <c r="O201" t="n">
        <v>0</v>
      </c>
      <c r="P201" t="n">
        <v>0</v>
      </c>
      <c r="Q201" t="n">
        <v>0</v>
      </c>
      <c r="R201" t="n">
        <v>0</v>
      </c>
      <c r="S201" t="n">
        <v>0</v>
      </c>
      <c r="T201" t="n">
        <v>0</v>
      </c>
      <c r="U201" s="2" t="inlineStr"/>
    </row>
    <row r="202" ht="15" customHeight="1">
      <c r="A202" t="inlineStr">
        <is>
          <t>A 52191-2025</t>
        </is>
      </c>
      <c r="B202" t="inlineStr">
        <is>
          <t>avverkningsanmälan</t>
        </is>
      </c>
      <c r="C202" t="inlineStr">
        <is>
          <t>Föryngringsavverkning</t>
        </is>
      </c>
      <c r="D202" s="1" t="n">
        <v>45953</v>
      </c>
      <c r="E202" s="1" t="n">
        <v>46219</v>
      </c>
      <c r="F202" t="inlineStr">
        <is>
          <t>NORRBOTTENS LÄN</t>
        </is>
      </c>
      <c r="G202" t="inlineStr">
        <is>
          <t>ÖVERTORNEÅ</t>
        </is>
      </c>
      <c r="I202" t="n">
        <v>5</v>
      </c>
      <c r="J202" t="n">
        <v>0</v>
      </c>
      <c r="K202" t="n">
        <v>0</v>
      </c>
      <c r="L202" t="n">
        <v>0</v>
      </c>
      <c r="M202" t="n">
        <v>0</v>
      </c>
      <c r="N202" t="n">
        <v>0</v>
      </c>
      <c r="O202" t="n">
        <v>0</v>
      </c>
      <c r="P202" t="n">
        <v>0</v>
      </c>
      <c r="Q202" t="n">
        <v>0</v>
      </c>
      <c r="R202" t="n">
        <v>0</v>
      </c>
      <c r="S202" t="n">
        <v>0</v>
      </c>
      <c r="T202" t="n">
        <v>0</v>
      </c>
      <c r="U202" s="2" t="inlineStr"/>
    </row>
    <row r="203" ht="15" customHeight="1">
      <c r="A203" t="inlineStr">
        <is>
          <t>A 23538-2026</t>
        </is>
      </c>
      <c r="B203" t="inlineStr">
        <is>
          <t>avverkningsanmälan</t>
        </is>
      </c>
      <c r="C203" t="inlineStr">
        <is>
          <t>Föryngringsavverkning</t>
        </is>
      </c>
      <c r="D203" s="1" t="n">
        <v>46163</v>
      </c>
      <c r="E203" s="1" t="n">
        <v>46219</v>
      </c>
      <c r="F203" t="inlineStr">
        <is>
          <t>NORRBOTTENS LÄN</t>
        </is>
      </c>
      <c r="G203" t="inlineStr">
        <is>
          <t>ÖVERTORNEÅ</t>
        </is>
      </c>
      <c r="I203" t="n">
        <v>11.5</v>
      </c>
      <c r="J203" t="n">
        <v>0</v>
      </c>
      <c r="K203" t="n">
        <v>0</v>
      </c>
      <c r="L203" t="n">
        <v>0</v>
      </c>
      <c r="M203" t="n">
        <v>0</v>
      </c>
      <c r="N203" t="n">
        <v>0</v>
      </c>
      <c r="O203" t="n">
        <v>0</v>
      </c>
      <c r="P203" t="n">
        <v>0</v>
      </c>
      <c r="Q203" t="n">
        <v>0</v>
      </c>
      <c r="R203" t="n">
        <v>0</v>
      </c>
      <c r="S203" t="n">
        <v>0</v>
      </c>
      <c r="T203" t="n">
        <v>0</v>
      </c>
      <c r="U203" s="2" t="inlineStr"/>
    </row>
    <row r="204" ht="15" customHeight="1">
      <c r="A204" t="inlineStr">
        <is>
          <t>A 53429-2025</t>
        </is>
      </c>
      <c r="B204" t="inlineStr">
        <is>
          <t>avverkningsanmälan</t>
        </is>
      </c>
      <c r="C204" t="inlineStr">
        <is>
          <t>Föryngringsavverkning</t>
        </is>
      </c>
      <c r="D204" s="1" t="n">
        <v>45959</v>
      </c>
      <c r="E204" s="1" t="n">
        <v>46219</v>
      </c>
      <c r="F204" t="inlineStr">
        <is>
          <t>NORRBOTTENS LÄN</t>
        </is>
      </c>
      <c r="G204" t="inlineStr">
        <is>
          <t>ÖVERTORNEÅ</t>
        </is>
      </c>
      <c r="I204" t="n">
        <v>5.5</v>
      </c>
      <c r="J204" t="n">
        <v>0</v>
      </c>
      <c r="K204" t="n">
        <v>0</v>
      </c>
      <c r="L204" t="n">
        <v>0</v>
      </c>
      <c r="M204" t="n">
        <v>0</v>
      </c>
      <c r="N204" t="n">
        <v>0</v>
      </c>
      <c r="O204" t="n">
        <v>0</v>
      </c>
      <c r="P204" t="n">
        <v>0</v>
      </c>
      <c r="Q204" t="n">
        <v>0</v>
      </c>
      <c r="R204" t="n">
        <v>0</v>
      </c>
      <c r="S204" t="n">
        <v>0</v>
      </c>
      <c r="T204" t="n">
        <v>0</v>
      </c>
      <c r="U204" s="2" t="inlineStr"/>
    </row>
    <row r="205" ht="15" customHeight="1">
      <c r="A205" t="inlineStr">
        <is>
          <t>A 48891-2022</t>
        </is>
      </c>
      <c r="B205" t="inlineStr">
        <is>
          <t>avverkningsanmälan</t>
        </is>
      </c>
      <c r="C205" t="inlineStr">
        <is>
          <t>Föryngringsavverkning</t>
        </is>
      </c>
      <c r="D205" s="1" t="n">
        <v>44859</v>
      </c>
      <c r="E205" s="1" t="n">
        <v>46219</v>
      </c>
      <c r="F205" t="inlineStr">
        <is>
          <t>NORRBOTTENS LÄN</t>
        </is>
      </c>
      <c r="G205" t="inlineStr">
        <is>
          <t>ÖVERTORNEÅ</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30062-2026</t>
        </is>
      </c>
      <c r="B206" t="inlineStr">
        <is>
          <t>avverkningsanmälan</t>
        </is>
      </c>
      <c r="C206" t="inlineStr">
        <is>
          <t>Föryngringsavverkning</t>
        </is>
      </c>
      <c r="D206" s="1" t="n">
        <v>46206</v>
      </c>
      <c r="E206" s="1" t="n">
        <v>46219</v>
      </c>
      <c r="F206" t="inlineStr">
        <is>
          <t>NORRBOTTENS LÄN</t>
        </is>
      </c>
      <c r="G206" t="inlineStr">
        <is>
          <t>ÖVERTORNEÅ</t>
        </is>
      </c>
      <c r="H206" t="inlineStr">
        <is>
          <t>Sveaskog</t>
        </is>
      </c>
      <c r="I206" t="n">
        <v>10.2</v>
      </c>
      <c r="J206" t="n">
        <v>0</v>
      </c>
      <c r="K206" t="n">
        <v>0</v>
      </c>
      <c r="L206" t="n">
        <v>0</v>
      </c>
      <c r="M206" t="n">
        <v>0</v>
      </c>
      <c r="N206" t="n">
        <v>0</v>
      </c>
      <c r="O206" t="n">
        <v>0</v>
      </c>
      <c r="P206" t="n">
        <v>0</v>
      </c>
      <c r="Q206" t="n">
        <v>0</v>
      </c>
      <c r="R206" t="n">
        <v>0</v>
      </c>
      <c r="S206" t="n">
        <v>0</v>
      </c>
      <c r="T206" t="n">
        <v>0</v>
      </c>
      <c r="U206" s="2" t="inlineStr"/>
    </row>
    <row r="207" ht="15" customHeight="1">
      <c r="A207" t="inlineStr">
        <is>
          <t>A 54000-2025</t>
        </is>
      </c>
      <c r="B207" t="inlineStr">
        <is>
          <t>avverkningsanmälan</t>
        </is>
      </c>
      <c r="C207" t="inlineStr">
        <is>
          <t>Föryngringsavverkning</t>
        </is>
      </c>
      <c r="D207" s="1" t="n">
        <v>45961</v>
      </c>
      <c r="E207" s="1" t="n">
        <v>46219</v>
      </c>
      <c r="F207" t="inlineStr">
        <is>
          <t>NORRBOTTENS LÄN</t>
        </is>
      </c>
      <c r="G207" t="inlineStr">
        <is>
          <t>ÖVERTORNEÅ</t>
        </is>
      </c>
      <c r="H207" t="inlineStr">
        <is>
          <t>Sveaskog</t>
        </is>
      </c>
      <c r="I207" t="n">
        <v>4.3</v>
      </c>
      <c r="J207" t="n">
        <v>0</v>
      </c>
      <c r="K207" t="n">
        <v>0</v>
      </c>
      <c r="L207" t="n">
        <v>0</v>
      </c>
      <c r="M207" t="n">
        <v>0</v>
      </c>
      <c r="N207" t="n">
        <v>0</v>
      </c>
      <c r="O207" t="n">
        <v>0</v>
      </c>
      <c r="P207" t="n">
        <v>0</v>
      </c>
      <c r="Q207" t="n">
        <v>0</v>
      </c>
      <c r="R207" t="n">
        <v>0</v>
      </c>
      <c r="S207" t="n">
        <v>0</v>
      </c>
      <c r="T207" t="n">
        <v>0</v>
      </c>
      <c r="U207" s="2" t="inlineStr"/>
    </row>
    <row r="208" ht="15" customHeight="1">
      <c r="A208" t="inlineStr">
        <is>
          <t>A 23813-2026</t>
        </is>
      </c>
      <c r="B208" t="inlineStr">
        <is>
          <t>avverkningsanmälan</t>
        </is>
      </c>
      <c r="C208" t="inlineStr">
        <is>
          <t>Föryngringsavverkning</t>
        </is>
      </c>
      <c r="D208" s="1" t="n">
        <v>46164</v>
      </c>
      <c r="E208" s="1" t="n">
        <v>46219</v>
      </c>
      <c r="F208" t="inlineStr">
        <is>
          <t>NORRBOTTENS LÄN</t>
        </is>
      </c>
      <c r="G208" t="inlineStr">
        <is>
          <t>ÖVERTORNEÅ</t>
        </is>
      </c>
      <c r="I208" t="n">
        <v>12.5</v>
      </c>
      <c r="J208" t="n">
        <v>0</v>
      </c>
      <c r="K208" t="n">
        <v>0</v>
      </c>
      <c r="L208" t="n">
        <v>0</v>
      </c>
      <c r="M208" t="n">
        <v>0</v>
      </c>
      <c r="N208" t="n">
        <v>0</v>
      </c>
      <c r="O208" t="n">
        <v>0</v>
      </c>
      <c r="P208" t="n">
        <v>0</v>
      </c>
      <c r="Q208" t="n">
        <v>0</v>
      </c>
      <c r="R208" t="n">
        <v>0</v>
      </c>
      <c r="S208" t="n">
        <v>0</v>
      </c>
      <c r="T208" t="n">
        <v>0</v>
      </c>
      <c r="U208" s="2" t="inlineStr"/>
    </row>
    <row r="209" ht="15" customHeight="1">
      <c r="A209" t="inlineStr">
        <is>
          <t>A 57849-2021</t>
        </is>
      </c>
      <c r="B209" t="inlineStr">
        <is>
          <t>avverkningsanmälan</t>
        </is>
      </c>
      <c r="C209" t="inlineStr">
        <is>
          <t>Föryngringsavverkning</t>
        </is>
      </c>
      <c r="D209" s="1" t="n">
        <v>44484</v>
      </c>
      <c r="E209" s="1" t="n">
        <v>46219</v>
      </c>
      <c r="F209" t="inlineStr">
        <is>
          <t>NORRBOTTENS LÄN</t>
        </is>
      </c>
      <c r="G209" t="inlineStr">
        <is>
          <t>ÖVERTORNEÅ</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54399-2025</t>
        </is>
      </c>
      <c r="B210" t="inlineStr">
        <is>
          <t>avverkningsanmälan</t>
        </is>
      </c>
      <c r="C210" t="inlineStr">
        <is>
          <t>Föryngringsavverkning</t>
        </is>
      </c>
      <c r="D210" s="1" t="n">
        <v>45965</v>
      </c>
      <c r="E210" s="1" t="n">
        <v>46219</v>
      </c>
      <c r="F210" t="inlineStr">
        <is>
          <t>NORRBOTTENS LÄN</t>
        </is>
      </c>
      <c r="G210" t="inlineStr">
        <is>
          <t>ÖVERTORNEÅ</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30079-2026</t>
        </is>
      </c>
      <c r="B211" t="inlineStr">
        <is>
          <t>avverkningsanmälan</t>
        </is>
      </c>
      <c r="C211" t="inlineStr">
        <is>
          <t>Föryngringsavverkning</t>
        </is>
      </c>
      <c r="D211" s="1" t="n">
        <v>46206</v>
      </c>
      <c r="E211" s="1" t="n">
        <v>46219</v>
      </c>
      <c r="F211" t="inlineStr">
        <is>
          <t>NORRBOTTENS LÄN</t>
        </is>
      </c>
      <c r="G211" t="inlineStr">
        <is>
          <t>ÖVERTORNEÅ</t>
        </is>
      </c>
      <c r="H211" t="inlineStr">
        <is>
          <t>Sveaskog</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54389-2025</t>
        </is>
      </c>
      <c r="B212" t="inlineStr">
        <is>
          <t>avverkningsanmälan</t>
        </is>
      </c>
      <c r="C212" t="inlineStr">
        <is>
          <t>Föryngringsavverkning</t>
        </is>
      </c>
      <c r="D212" s="1" t="n">
        <v>45965</v>
      </c>
      <c r="E212" s="1" t="n">
        <v>46219</v>
      </c>
      <c r="F212" t="inlineStr">
        <is>
          <t>NORRBOTTENS LÄN</t>
        </is>
      </c>
      <c r="G212" t="inlineStr">
        <is>
          <t>ÖVERTORNEÅ</t>
        </is>
      </c>
      <c r="I212" t="n">
        <v>4.5</v>
      </c>
      <c r="J212" t="n">
        <v>0</v>
      </c>
      <c r="K212" t="n">
        <v>0</v>
      </c>
      <c r="L212" t="n">
        <v>0</v>
      </c>
      <c r="M212" t="n">
        <v>0</v>
      </c>
      <c r="N212" t="n">
        <v>0</v>
      </c>
      <c r="O212" t="n">
        <v>0</v>
      </c>
      <c r="P212" t="n">
        <v>0</v>
      </c>
      <c r="Q212" t="n">
        <v>0</v>
      </c>
      <c r="R212" t="n">
        <v>0</v>
      </c>
      <c r="S212" t="n">
        <v>0</v>
      </c>
      <c r="T212" t="n">
        <v>0</v>
      </c>
      <c r="U212" s="2" t="inlineStr"/>
    </row>
    <row r="213" ht="15" customHeight="1">
      <c r="A213" t="inlineStr">
        <is>
          <t>A 54384-2025</t>
        </is>
      </c>
      <c r="B213" t="inlineStr">
        <is>
          <t>avverkningsanmälan</t>
        </is>
      </c>
      <c r="C213" t="inlineStr">
        <is>
          <t>Föryngringsavverkning</t>
        </is>
      </c>
      <c r="D213" s="1" t="n">
        <v>45965</v>
      </c>
      <c r="E213" s="1" t="n">
        <v>46219</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54394-2025</t>
        </is>
      </c>
      <c r="B214" t="inlineStr">
        <is>
          <t>avverkningsanmälan</t>
        </is>
      </c>
      <c r="C214" t="inlineStr">
        <is>
          <t>Föryngringsavverkning</t>
        </is>
      </c>
      <c r="D214" s="1" t="n">
        <v>45965</v>
      </c>
      <c r="E214" s="1" t="n">
        <v>46219</v>
      </c>
      <c r="F214" t="inlineStr">
        <is>
          <t>NORRBOTTENS LÄN</t>
        </is>
      </c>
      <c r="G214" t="inlineStr">
        <is>
          <t>ÖVERTORNEÅ</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10193-2024</t>
        </is>
      </c>
      <c r="B215" t="inlineStr">
        <is>
          <t>avverkningsanmälan</t>
        </is>
      </c>
      <c r="C215" t="inlineStr">
        <is>
          <t>Föryngringsavverkning</t>
        </is>
      </c>
      <c r="D215" s="1" t="n">
        <v>45364</v>
      </c>
      <c r="E215" s="1" t="n">
        <v>46219</v>
      </c>
      <c r="F215" t="inlineStr">
        <is>
          <t>NORRBOTTENS LÄN</t>
        </is>
      </c>
      <c r="G215" t="inlineStr">
        <is>
          <t>ÖVERTORNEÅ</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1859-2026</t>
        </is>
      </c>
      <c r="B216" t="inlineStr">
        <is>
          <t>avverkningsanmälan</t>
        </is>
      </c>
      <c r="C216" t="inlineStr">
        <is>
          <t>Föryngringsavverkning</t>
        </is>
      </c>
      <c r="D216" s="1" t="n">
        <v>46035</v>
      </c>
      <c r="E216" s="1" t="n">
        <v>46219</v>
      </c>
      <c r="F216" t="inlineStr">
        <is>
          <t>NORRBOTTENS LÄN</t>
        </is>
      </c>
      <c r="G216" t="inlineStr">
        <is>
          <t>ÖVERTORNEÅ</t>
        </is>
      </c>
      <c r="I216" t="n">
        <v>5.3</v>
      </c>
      <c r="J216" t="n">
        <v>0</v>
      </c>
      <c r="K216" t="n">
        <v>0</v>
      </c>
      <c r="L216" t="n">
        <v>0</v>
      </c>
      <c r="M216" t="n">
        <v>0</v>
      </c>
      <c r="N216" t="n">
        <v>0</v>
      </c>
      <c r="O216" t="n">
        <v>0</v>
      </c>
      <c r="P216" t="n">
        <v>0</v>
      </c>
      <c r="Q216" t="n">
        <v>0</v>
      </c>
      <c r="R216" t="n">
        <v>0</v>
      </c>
      <c r="S216" t="n">
        <v>0</v>
      </c>
      <c r="T216" t="n">
        <v>0</v>
      </c>
      <c r="U216" s="2" t="inlineStr"/>
    </row>
    <row r="217" ht="15" customHeight="1">
      <c r="A217" t="inlineStr">
        <is>
          <t>A 1470-2025</t>
        </is>
      </c>
      <c r="B217" t="inlineStr">
        <is>
          <t>avverkningsanmälan</t>
        </is>
      </c>
      <c r="C217" t="inlineStr">
        <is>
          <t>Föryngringsavverkning</t>
        </is>
      </c>
      <c r="D217" s="1" t="n">
        <v>45670</v>
      </c>
      <c r="E217" s="1" t="n">
        <v>46219</v>
      </c>
      <c r="F217" t="inlineStr">
        <is>
          <t>NORRBOTTENS LÄN</t>
        </is>
      </c>
      <c r="G217" t="inlineStr">
        <is>
          <t>ÖVERTORNEÅ</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23913-2026</t>
        </is>
      </c>
      <c r="B218" t="inlineStr">
        <is>
          <t>avverkningsanmälan</t>
        </is>
      </c>
      <c r="C218" t="inlineStr">
        <is>
          <t>Föryngringsavverkning</t>
        </is>
      </c>
      <c r="D218" s="1" t="n">
        <v>46167</v>
      </c>
      <c r="E218" s="1" t="n">
        <v>46219</v>
      </c>
      <c r="F218" t="inlineStr">
        <is>
          <t>NORRBOTTENS LÄN</t>
        </is>
      </c>
      <c r="G218" t="inlineStr">
        <is>
          <t>ÖVERTORNEÅ</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37958-2025</t>
        </is>
      </c>
      <c r="B219" t="inlineStr">
        <is>
          <t>avverkningsanmälan</t>
        </is>
      </c>
      <c r="C219" t="inlineStr">
        <is>
          <t>Föryngringsavverkning</t>
        </is>
      </c>
      <c r="D219" s="1" t="n">
        <v>45881</v>
      </c>
      <c r="E219" s="1" t="n">
        <v>46219</v>
      </c>
      <c r="F219" t="inlineStr">
        <is>
          <t>NORRBOTTENS LÄN</t>
        </is>
      </c>
      <c r="G219" t="inlineStr">
        <is>
          <t>ÖVERTORNEÅ</t>
        </is>
      </c>
      <c r="H219" t="inlineStr">
        <is>
          <t>Sveaskog</t>
        </is>
      </c>
      <c r="I219" t="n">
        <v>16.3</v>
      </c>
      <c r="J219" t="n">
        <v>0</v>
      </c>
      <c r="K219" t="n">
        <v>0</v>
      </c>
      <c r="L219" t="n">
        <v>0</v>
      </c>
      <c r="M219" t="n">
        <v>0</v>
      </c>
      <c r="N219" t="n">
        <v>0</v>
      </c>
      <c r="O219" t="n">
        <v>0</v>
      </c>
      <c r="P219" t="n">
        <v>0</v>
      </c>
      <c r="Q219" t="n">
        <v>0</v>
      </c>
      <c r="R219" t="n">
        <v>0</v>
      </c>
      <c r="S219" t="n">
        <v>0</v>
      </c>
      <c r="T219" t="n">
        <v>0</v>
      </c>
      <c r="U219" s="2" t="inlineStr"/>
    </row>
    <row r="220" ht="15" customHeight="1">
      <c r="A220" t="inlineStr">
        <is>
          <t>A 58691-2021</t>
        </is>
      </c>
      <c r="B220" t="inlineStr">
        <is>
          <t>avverkningsanmälan</t>
        </is>
      </c>
      <c r="C220" t="inlineStr">
        <is>
          <t>Föryngringsavverkning</t>
        </is>
      </c>
      <c r="D220" s="1" t="n">
        <v>44489</v>
      </c>
      <c r="E220" s="1" t="n">
        <v>46219</v>
      </c>
      <c r="F220" t="inlineStr">
        <is>
          <t>NORRBOTTENS LÄN</t>
        </is>
      </c>
      <c r="G220" t="inlineStr">
        <is>
          <t>ÖVERTORNEÅ</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23991-2026</t>
        </is>
      </c>
      <c r="B221" t="inlineStr">
        <is>
          <t>avverkningsanmälan</t>
        </is>
      </c>
      <c r="C221" t="inlineStr">
        <is>
          <t>Föryngringsavverkning</t>
        </is>
      </c>
      <c r="D221" s="1" t="n">
        <v>46167</v>
      </c>
      <c r="E221" s="1" t="n">
        <v>46219</v>
      </c>
      <c r="F221" t="inlineStr">
        <is>
          <t>NORRBOTTENS LÄN</t>
        </is>
      </c>
      <c r="G221" t="inlineStr">
        <is>
          <t>ÖVERTORNEÅ</t>
        </is>
      </c>
      <c r="I221" t="n">
        <v>4.2</v>
      </c>
      <c r="J221" t="n">
        <v>0</v>
      </c>
      <c r="K221" t="n">
        <v>0</v>
      </c>
      <c r="L221" t="n">
        <v>0</v>
      </c>
      <c r="M221" t="n">
        <v>0</v>
      </c>
      <c r="N221" t="n">
        <v>0</v>
      </c>
      <c r="O221" t="n">
        <v>0</v>
      </c>
      <c r="P221" t="n">
        <v>0</v>
      </c>
      <c r="Q221" t="n">
        <v>0</v>
      </c>
      <c r="R221" t="n">
        <v>0</v>
      </c>
      <c r="S221" t="n">
        <v>0</v>
      </c>
      <c r="T221" t="n">
        <v>0</v>
      </c>
      <c r="U221" s="2" t="inlineStr"/>
    </row>
    <row r="222" ht="15" customHeight="1">
      <c r="A222" t="inlineStr">
        <is>
          <t>A 23911-2026</t>
        </is>
      </c>
      <c r="B222" t="inlineStr">
        <is>
          <t>avverkningsanmälan</t>
        </is>
      </c>
      <c r="C222" t="inlineStr">
        <is>
          <t>Föryngringsavverkning</t>
        </is>
      </c>
      <c r="D222" s="1" t="n">
        <v>46167</v>
      </c>
      <c r="E222" s="1" t="n">
        <v>46219</v>
      </c>
      <c r="F222" t="inlineStr">
        <is>
          <t>NORRBOTTENS LÄN</t>
        </is>
      </c>
      <c r="G222" t="inlineStr">
        <is>
          <t>ÖVERTORNEÅ</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23954-2026</t>
        </is>
      </c>
      <c r="B223" t="inlineStr">
        <is>
          <t>avverkningsanmälan</t>
        </is>
      </c>
      <c r="C223" t="inlineStr">
        <is>
          <t>Föryngringsavverkning</t>
        </is>
      </c>
      <c r="D223" s="1" t="n">
        <v>46167</v>
      </c>
      <c r="E223" s="1" t="n">
        <v>46219</v>
      </c>
      <c r="F223" t="inlineStr">
        <is>
          <t>NORRBOTTENS LÄN</t>
        </is>
      </c>
      <c r="G223" t="inlineStr">
        <is>
          <t>ÖVERTORNEÅ</t>
        </is>
      </c>
      <c r="I223" t="n">
        <v>12.2</v>
      </c>
      <c r="J223" t="n">
        <v>0</v>
      </c>
      <c r="K223" t="n">
        <v>0</v>
      </c>
      <c r="L223" t="n">
        <v>0</v>
      </c>
      <c r="M223" t="n">
        <v>0</v>
      </c>
      <c r="N223" t="n">
        <v>0</v>
      </c>
      <c r="O223" t="n">
        <v>0</v>
      </c>
      <c r="P223" t="n">
        <v>0</v>
      </c>
      <c r="Q223" t="n">
        <v>0</v>
      </c>
      <c r="R223" t="n">
        <v>0</v>
      </c>
      <c r="S223" t="n">
        <v>0</v>
      </c>
      <c r="T223" t="n">
        <v>0</v>
      </c>
      <c r="U223" s="2" t="inlineStr"/>
    </row>
    <row r="224" ht="15" customHeight="1">
      <c r="A224" t="inlineStr">
        <is>
          <t>A 60537-2022</t>
        </is>
      </c>
      <c r="B224" t="inlineStr">
        <is>
          <t>avverkningsanmälan</t>
        </is>
      </c>
      <c r="C224" t="inlineStr">
        <is>
          <t>Föryngringsavverkning</t>
        </is>
      </c>
      <c r="D224" s="1" t="n">
        <v>44904</v>
      </c>
      <c r="E224" s="1" t="n">
        <v>46219</v>
      </c>
      <c r="F224" t="inlineStr">
        <is>
          <t>NORRBOTTENS LÄN</t>
        </is>
      </c>
      <c r="G224" t="inlineStr">
        <is>
          <t>ÖVERTORNEÅ</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23955-2026</t>
        </is>
      </c>
      <c r="B225" t="inlineStr">
        <is>
          <t>avverkningsanmälan</t>
        </is>
      </c>
      <c r="C225" t="inlineStr">
        <is>
          <t>Föryngringsavverkning</t>
        </is>
      </c>
      <c r="D225" s="1" t="n">
        <v>46167</v>
      </c>
      <c r="E225" s="1" t="n">
        <v>46219</v>
      </c>
      <c r="F225" t="inlineStr">
        <is>
          <t>NORRBOTTENS LÄN</t>
        </is>
      </c>
      <c r="G225" t="inlineStr">
        <is>
          <t>ÖVERTORNEÅ</t>
        </is>
      </c>
      <c r="I225" t="n">
        <v>4.2</v>
      </c>
      <c r="J225" t="n">
        <v>0</v>
      </c>
      <c r="K225" t="n">
        <v>0</v>
      </c>
      <c r="L225" t="n">
        <v>0</v>
      </c>
      <c r="M225" t="n">
        <v>0</v>
      </c>
      <c r="N225" t="n">
        <v>0</v>
      </c>
      <c r="O225" t="n">
        <v>0</v>
      </c>
      <c r="P225" t="n">
        <v>0</v>
      </c>
      <c r="Q225" t="n">
        <v>0</v>
      </c>
      <c r="R225" t="n">
        <v>0</v>
      </c>
      <c r="S225" t="n">
        <v>0</v>
      </c>
      <c r="T225" t="n">
        <v>0</v>
      </c>
      <c r="U225" s="2" t="inlineStr"/>
    </row>
    <row r="226" ht="15" customHeight="1">
      <c r="A226" t="inlineStr">
        <is>
          <t>A 15043-2025</t>
        </is>
      </c>
      <c r="B226" t="inlineStr">
        <is>
          <t>avverkningsanmälan</t>
        </is>
      </c>
      <c r="C226" t="inlineStr">
        <is>
          <t>Föryngringsavverkning</t>
        </is>
      </c>
      <c r="D226" s="1" t="n">
        <v>45743</v>
      </c>
      <c r="E226" s="1" t="n">
        <v>46219</v>
      </c>
      <c r="F226" t="inlineStr">
        <is>
          <t>NORRBOTTENS LÄN</t>
        </is>
      </c>
      <c r="G226" t="inlineStr">
        <is>
          <t>ÖVERTORNEÅ</t>
        </is>
      </c>
      <c r="I226" t="n">
        <v>3.9</v>
      </c>
      <c r="J226" t="n">
        <v>0</v>
      </c>
      <c r="K226" t="n">
        <v>0</v>
      </c>
      <c r="L226" t="n">
        <v>0</v>
      </c>
      <c r="M226" t="n">
        <v>0</v>
      </c>
      <c r="N226" t="n">
        <v>0</v>
      </c>
      <c r="O226" t="n">
        <v>0</v>
      </c>
      <c r="P226" t="n">
        <v>0</v>
      </c>
      <c r="Q226" t="n">
        <v>0</v>
      </c>
      <c r="R226" t="n">
        <v>0</v>
      </c>
      <c r="S226" t="n">
        <v>0</v>
      </c>
      <c r="T226" t="n">
        <v>0</v>
      </c>
      <c r="U226" s="2" t="inlineStr"/>
    </row>
    <row r="227" ht="15" customHeight="1">
      <c r="A227" t="inlineStr">
        <is>
          <t>A 26299-2024</t>
        </is>
      </c>
      <c r="B227" t="inlineStr">
        <is>
          <t>avverkningsanmälan</t>
        </is>
      </c>
      <c r="C227" t="inlineStr">
        <is>
          <t>Föryngringsavverkning</t>
        </is>
      </c>
      <c r="D227" s="1" t="n">
        <v>45468</v>
      </c>
      <c r="E227" s="1" t="n">
        <v>46219</v>
      </c>
      <c r="F227" t="inlineStr">
        <is>
          <t>NORRBOTTENS LÄN</t>
        </is>
      </c>
      <c r="G227" t="inlineStr">
        <is>
          <t>ÖVERTORNEÅ</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24388-2026</t>
        </is>
      </c>
      <c r="B228" t="inlineStr">
        <is>
          <t>avverkningsanmälan</t>
        </is>
      </c>
      <c r="C228" t="inlineStr">
        <is>
          <t>Föryngringsavverkning</t>
        </is>
      </c>
      <c r="D228" s="1" t="n">
        <v>46167</v>
      </c>
      <c r="E228" s="1" t="n">
        <v>46219</v>
      </c>
      <c r="F228" t="inlineStr">
        <is>
          <t>NORRBOTTENS LÄN</t>
        </is>
      </c>
      <c r="G228" t="inlineStr">
        <is>
          <t>ÖVERTORNEÅ</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1469-2025</t>
        </is>
      </c>
      <c r="B229" t="inlineStr">
        <is>
          <t>avverkningsanmälan</t>
        </is>
      </c>
      <c r="C229" t="inlineStr">
        <is>
          <t>Föryngringsavverkning</t>
        </is>
      </c>
      <c r="D229" s="1" t="n">
        <v>45670</v>
      </c>
      <c r="E229" s="1" t="n">
        <v>46219</v>
      </c>
      <c r="F229" t="inlineStr">
        <is>
          <t>NORRBOTTENS LÄN</t>
        </is>
      </c>
      <c r="G229" t="inlineStr">
        <is>
          <t>ÖVERTORNEÅ</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69898-2021</t>
        </is>
      </c>
      <c r="B230" t="inlineStr">
        <is>
          <t>avverkningsanmälan</t>
        </is>
      </c>
      <c r="C230" t="inlineStr">
        <is>
          <t>Föryngringsavverkning</t>
        </is>
      </c>
      <c r="D230" s="1" t="n">
        <v>44532</v>
      </c>
      <c r="E230" s="1" t="n">
        <v>46219</v>
      </c>
      <c r="F230" t="inlineStr">
        <is>
          <t>NORRBOTTENS LÄN</t>
        </is>
      </c>
      <c r="G230" t="inlineStr">
        <is>
          <t>ÖVERTORNEÅ</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24381-2026</t>
        </is>
      </c>
      <c r="B231" t="inlineStr">
        <is>
          <t>avverkningsanmälan</t>
        </is>
      </c>
      <c r="C231" t="inlineStr">
        <is>
          <t>Föryngringsavverkning</t>
        </is>
      </c>
      <c r="D231" s="1" t="n">
        <v>46167</v>
      </c>
      <c r="E231" s="1" t="n">
        <v>46219</v>
      </c>
      <c r="F231" t="inlineStr">
        <is>
          <t>NORRBOTTENS LÄN</t>
        </is>
      </c>
      <c r="G231" t="inlineStr">
        <is>
          <t>ÖVERTORNEÅ</t>
        </is>
      </c>
      <c r="I231" t="n">
        <v>6.8</v>
      </c>
      <c r="J231" t="n">
        <v>0</v>
      </c>
      <c r="K231" t="n">
        <v>0</v>
      </c>
      <c r="L231" t="n">
        <v>0</v>
      </c>
      <c r="M231" t="n">
        <v>0</v>
      </c>
      <c r="N231" t="n">
        <v>0</v>
      </c>
      <c r="O231" t="n">
        <v>0</v>
      </c>
      <c r="P231" t="n">
        <v>0</v>
      </c>
      <c r="Q231" t="n">
        <v>0</v>
      </c>
      <c r="R231" t="n">
        <v>0</v>
      </c>
      <c r="S231" t="n">
        <v>0</v>
      </c>
      <c r="T231" t="n">
        <v>0</v>
      </c>
      <c r="U231" s="2" t="inlineStr"/>
    </row>
    <row r="232" ht="15" customHeight="1">
      <c r="A232" t="inlineStr">
        <is>
          <t>A 24396-2026</t>
        </is>
      </c>
      <c r="B232" t="inlineStr">
        <is>
          <t>avverkningsanmälan</t>
        </is>
      </c>
      <c r="C232" t="inlineStr">
        <is>
          <t>Föryngringsavverkning</t>
        </is>
      </c>
      <c r="D232" s="1" t="n">
        <v>46167</v>
      </c>
      <c r="E232" s="1" t="n">
        <v>46219</v>
      </c>
      <c r="F232" t="inlineStr">
        <is>
          <t>NORRBOTTENS LÄN</t>
        </is>
      </c>
      <c r="G232" t="inlineStr">
        <is>
          <t>ÖVERTORNEÅ</t>
        </is>
      </c>
      <c r="I232" t="n">
        <v>4.5</v>
      </c>
      <c r="J232" t="n">
        <v>0</v>
      </c>
      <c r="K232" t="n">
        <v>0</v>
      </c>
      <c r="L232" t="n">
        <v>0</v>
      </c>
      <c r="M232" t="n">
        <v>0</v>
      </c>
      <c r="N232" t="n">
        <v>0</v>
      </c>
      <c r="O232" t="n">
        <v>0</v>
      </c>
      <c r="P232" t="n">
        <v>0</v>
      </c>
      <c r="Q232" t="n">
        <v>0</v>
      </c>
      <c r="R232" t="n">
        <v>0</v>
      </c>
      <c r="S232" t="n">
        <v>0</v>
      </c>
      <c r="T232" t="n">
        <v>0</v>
      </c>
      <c r="U232" s="2" t="inlineStr"/>
    </row>
    <row r="233" ht="15" customHeight="1">
      <c r="A233" t="inlineStr">
        <is>
          <t>A 24401-2026</t>
        </is>
      </c>
      <c r="B233" t="inlineStr">
        <is>
          <t>avverkningsanmälan</t>
        </is>
      </c>
      <c r="C233" t="inlineStr">
        <is>
          <t>Föryngringsavverkning</t>
        </is>
      </c>
      <c r="D233" s="1" t="n">
        <v>46167</v>
      </c>
      <c r="E233" s="1" t="n">
        <v>46219</v>
      </c>
      <c r="F233" t="inlineStr">
        <is>
          <t>NORRBOTTENS LÄN</t>
        </is>
      </c>
      <c r="G233" t="inlineStr">
        <is>
          <t>ÖVERTORNEÅ</t>
        </is>
      </c>
      <c r="I233" t="n">
        <v>16.5</v>
      </c>
      <c r="J233" t="n">
        <v>0</v>
      </c>
      <c r="K233" t="n">
        <v>0</v>
      </c>
      <c r="L233" t="n">
        <v>0</v>
      </c>
      <c r="M233" t="n">
        <v>0</v>
      </c>
      <c r="N233" t="n">
        <v>0</v>
      </c>
      <c r="O233" t="n">
        <v>0</v>
      </c>
      <c r="P233" t="n">
        <v>0</v>
      </c>
      <c r="Q233" t="n">
        <v>0</v>
      </c>
      <c r="R233" t="n">
        <v>0</v>
      </c>
      <c r="S233" t="n">
        <v>0</v>
      </c>
      <c r="T233" t="n">
        <v>0</v>
      </c>
      <c r="U233" s="2" t="inlineStr"/>
    </row>
    <row r="234" ht="15" customHeight="1">
      <c r="A234" t="inlineStr">
        <is>
          <t>A 56952-2025</t>
        </is>
      </c>
      <c r="B234" t="inlineStr">
        <is>
          <t>avverkningsanmälan</t>
        </is>
      </c>
      <c r="C234" t="inlineStr">
        <is>
          <t>Föryngringsavverkning</t>
        </is>
      </c>
      <c r="D234" s="1" t="n">
        <v>45978</v>
      </c>
      <c r="E234" s="1" t="n">
        <v>46219</v>
      </c>
      <c r="F234" t="inlineStr">
        <is>
          <t>NORRBOTTENS LÄN</t>
        </is>
      </c>
      <c r="G234" t="inlineStr">
        <is>
          <t>ÖVERTORNEÅ</t>
        </is>
      </c>
      <c r="I234" t="n">
        <v>5.9</v>
      </c>
      <c r="J234" t="n">
        <v>0</v>
      </c>
      <c r="K234" t="n">
        <v>0</v>
      </c>
      <c r="L234" t="n">
        <v>0</v>
      </c>
      <c r="M234" t="n">
        <v>0</v>
      </c>
      <c r="N234" t="n">
        <v>0</v>
      </c>
      <c r="O234" t="n">
        <v>0</v>
      </c>
      <c r="P234" t="n">
        <v>0</v>
      </c>
      <c r="Q234" t="n">
        <v>0</v>
      </c>
      <c r="R234" t="n">
        <v>0</v>
      </c>
      <c r="S234" t="n">
        <v>0</v>
      </c>
      <c r="T234" t="n">
        <v>0</v>
      </c>
      <c r="U234" s="2" t="inlineStr"/>
    </row>
    <row r="235" ht="15" customHeight="1">
      <c r="A235" t="inlineStr">
        <is>
          <t>A 30567-2026</t>
        </is>
      </c>
      <c r="B235" t="inlineStr">
        <is>
          <t>avverkningsanmälan</t>
        </is>
      </c>
      <c r="C235" t="inlineStr">
        <is>
          <t>Föryngringsavverkning</t>
        </is>
      </c>
      <c r="D235" s="1" t="n">
        <v>46210</v>
      </c>
      <c r="E235" s="1" t="n">
        <v>46219</v>
      </c>
      <c r="F235" t="inlineStr">
        <is>
          <t>NORRBOTTENS LÄN</t>
        </is>
      </c>
      <c r="G235" t="inlineStr">
        <is>
          <t>ÖVERTORNEÅ</t>
        </is>
      </c>
      <c r="I235" t="n">
        <v>20.4</v>
      </c>
      <c r="J235" t="n">
        <v>0</v>
      </c>
      <c r="K235" t="n">
        <v>0</v>
      </c>
      <c r="L235" t="n">
        <v>0</v>
      </c>
      <c r="M235" t="n">
        <v>0</v>
      </c>
      <c r="N235" t="n">
        <v>0</v>
      </c>
      <c r="O235" t="n">
        <v>0</v>
      </c>
      <c r="P235" t="n">
        <v>0</v>
      </c>
      <c r="Q235" t="n">
        <v>0</v>
      </c>
      <c r="R235" t="n">
        <v>0</v>
      </c>
      <c r="S235" t="n">
        <v>0</v>
      </c>
      <c r="T235" t="n">
        <v>0</v>
      </c>
      <c r="U235" s="2" t="inlineStr"/>
    </row>
    <row r="236" ht="15" customHeight="1">
      <c r="A236" t="inlineStr">
        <is>
          <t>A 31329-2024</t>
        </is>
      </c>
      <c r="B236" t="inlineStr">
        <is>
          <t>avverkningsanmälan</t>
        </is>
      </c>
      <c r="C236" t="inlineStr">
        <is>
          <t>Föryngringsavverkning</t>
        </is>
      </c>
      <c r="D236" s="1" t="n">
        <v>45504</v>
      </c>
      <c r="E236" s="1" t="n">
        <v>46219</v>
      </c>
      <c r="F236" t="inlineStr">
        <is>
          <t>NORRBOTTENS LÄN</t>
        </is>
      </c>
      <c r="G236" t="inlineStr">
        <is>
          <t>ÖVERTORNEÅ</t>
        </is>
      </c>
      <c r="H236" t="inlineStr">
        <is>
          <t>Sveaskog</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24653-2024</t>
        </is>
      </c>
      <c r="B237" t="inlineStr">
        <is>
          <t>avverkningsanmälan</t>
        </is>
      </c>
      <c r="C237" t="inlineStr">
        <is>
          <t>Föryngringsavverkning</t>
        </is>
      </c>
      <c r="D237" s="1" t="n">
        <v>45460</v>
      </c>
      <c r="E237" s="1" t="n">
        <v>46219</v>
      </c>
      <c r="F237" t="inlineStr">
        <is>
          <t>NORRBOTTENS LÄN</t>
        </is>
      </c>
      <c r="G237" t="inlineStr">
        <is>
          <t>ÖVERTORNEÅ</t>
        </is>
      </c>
      <c r="H237" t="inlineStr">
        <is>
          <t>Sveaskog</t>
        </is>
      </c>
      <c r="I237" t="n">
        <v>9.699999999999999</v>
      </c>
      <c r="J237" t="n">
        <v>0</v>
      </c>
      <c r="K237" t="n">
        <v>0</v>
      </c>
      <c r="L237" t="n">
        <v>0</v>
      </c>
      <c r="M237" t="n">
        <v>0</v>
      </c>
      <c r="N237" t="n">
        <v>0</v>
      </c>
      <c r="O237" t="n">
        <v>0</v>
      </c>
      <c r="P237" t="n">
        <v>0</v>
      </c>
      <c r="Q237" t="n">
        <v>0</v>
      </c>
      <c r="R237" t="n">
        <v>0</v>
      </c>
      <c r="S237" t="n">
        <v>0</v>
      </c>
      <c r="T237" t="n">
        <v>0</v>
      </c>
      <c r="U237" s="2" t="inlineStr"/>
    </row>
    <row r="238" ht="15" customHeight="1">
      <c r="A238" t="inlineStr">
        <is>
          <t>A 57031-2025</t>
        </is>
      </c>
      <c r="B238" t="inlineStr">
        <is>
          <t>avverkningsanmälan</t>
        </is>
      </c>
      <c r="C238" t="inlineStr">
        <is>
          <t>Avverkning för annat ändamål</t>
        </is>
      </c>
      <c r="D238" s="1" t="n">
        <v>45979</v>
      </c>
      <c r="E238" s="1" t="n">
        <v>46219</v>
      </c>
      <c r="F238" t="inlineStr">
        <is>
          <t>NORRBOTTENS LÄN</t>
        </is>
      </c>
      <c r="G238" t="inlineStr">
        <is>
          <t>ÖVERTORNEÅ</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597-2023</t>
        </is>
      </c>
      <c r="B239" t="inlineStr">
        <is>
          <t>avverkningsanmälan</t>
        </is>
      </c>
      <c r="C239" t="inlineStr">
        <is>
          <t>Föryngringsavverkning</t>
        </is>
      </c>
      <c r="D239" s="1" t="n">
        <v>44930</v>
      </c>
      <c r="E239" s="1" t="n">
        <v>46219</v>
      </c>
      <c r="F239" t="inlineStr">
        <is>
          <t>NORRBOTTENS LÄN</t>
        </is>
      </c>
      <c r="G239" t="inlineStr">
        <is>
          <t>ÖVERTORNEÅ</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35593-2025</t>
        </is>
      </c>
      <c r="B240" t="inlineStr">
        <is>
          <t>avverkningsanmälan</t>
        </is>
      </c>
      <c r="C240" t="inlineStr">
        <is>
          <t>Föryngringsavverkning</t>
        </is>
      </c>
      <c r="D240" s="1" t="n">
        <v>45857</v>
      </c>
      <c r="E240" s="1" t="n">
        <v>46219</v>
      </c>
      <c r="F240" t="inlineStr">
        <is>
          <t>NORRBOTTENS LÄN</t>
        </is>
      </c>
      <c r="G240" t="inlineStr">
        <is>
          <t>ÖVERTORNEÅ</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57027-2025</t>
        </is>
      </c>
      <c r="B241" t="inlineStr">
        <is>
          <t>avverkningsanmälan</t>
        </is>
      </c>
      <c r="C241" t="inlineStr">
        <is>
          <t>Avverkning för annat ändamål</t>
        </is>
      </c>
      <c r="D241" s="1" t="n">
        <v>45979</v>
      </c>
      <c r="E241" s="1" t="n">
        <v>46219</v>
      </c>
      <c r="F241" t="inlineStr">
        <is>
          <t>NORRBOTTENS LÄN</t>
        </is>
      </c>
      <c r="G241" t="inlineStr">
        <is>
          <t>ÖVERTORNEÅ</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57028-2025</t>
        </is>
      </c>
      <c r="B242" t="inlineStr">
        <is>
          <t>avverkningsanmälan</t>
        </is>
      </c>
      <c r="C242" t="inlineStr">
        <is>
          <t>Avverkning för annat ändamål</t>
        </is>
      </c>
      <c r="D242" s="1" t="n">
        <v>45979</v>
      </c>
      <c r="E242" s="1" t="n">
        <v>46219</v>
      </c>
      <c r="F242" t="inlineStr">
        <is>
          <t>NORRBOTTENS LÄN</t>
        </is>
      </c>
      <c r="G242" t="inlineStr">
        <is>
          <t>ÖVERTORNEÅ</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57032-2025</t>
        </is>
      </c>
      <c r="B243" t="inlineStr">
        <is>
          <t>avverkningsanmälan</t>
        </is>
      </c>
      <c r="C243" t="inlineStr">
        <is>
          <t>Avverkning för annat ändamål</t>
        </is>
      </c>
      <c r="D243" s="1" t="n">
        <v>45979</v>
      </c>
      <c r="E243" s="1" t="n">
        <v>46219</v>
      </c>
      <c r="F243" t="inlineStr">
        <is>
          <t>NORRBOTTENS LÄN</t>
        </is>
      </c>
      <c r="G243" t="inlineStr">
        <is>
          <t>ÖVERTORNEÅ</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57968-2025</t>
        </is>
      </c>
      <c r="B244" t="inlineStr">
        <is>
          <t>avverkningsanmälan</t>
        </is>
      </c>
      <c r="C244" t="inlineStr">
        <is>
          <t>Avverkning för annat ändamål</t>
        </is>
      </c>
      <c r="D244" s="1" t="n">
        <v>45982</v>
      </c>
      <c r="E244" s="1" t="n">
        <v>46219</v>
      </c>
      <c r="F244" t="inlineStr">
        <is>
          <t>NORRBOTTENS LÄN</t>
        </is>
      </c>
      <c r="G244" t="inlineStr">
        <is>
          <t>ÖVERTORNEÅ</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58424-2025</t>
        </is>
      </c>
      <c r="B245" t="inlineStr">
        <is>
          <t>avverkningsanmälan</t>
        </is>
      </c>
      <c r="C245" t="inlineStr">
        <is>
          <t>Föryngringsavverkning</t>
        </is>
      </c>
      <c r="D245" s="1" t="n">
        <v>45985</v>
      </c>
      <c r="E245" s="1" t="n">
        <v>46219</v>
      </c>
      <c r="F245" t="inlineStr">
        <is>
          <t>NORRBOTTENS LÄN</t>
        </is>
      </c>
      <c r="G245" t="inlineStr">
        <is>
          <t>ÖVERTORNEÅ</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24972-2026</t>
        </is>
      </c>
      <c r="B246" t="inlineStr">
        <is>
          <t>avverkningsanmälan</t>
        </is>
      </c>
      <c r="C246" t="inlineStr">
        <is>
          <t>Föryngringsavverkning</t>
        </is>
      </c>
      <c r="D246" s="1" t="n">
        <v>46174</v>
      </c>
      <c r="E246" s="1" t="n">
        <v>46219</v>
      </c>
      <c r="F246" t="inlineStr">
        <is>
          <t>NORRBOTTENS LÄN</t>
        </is>
      </c>
      <c r="G246" t="inlineStr">
        <is>
          <t>ÖVERTORNEÅ</t>
        </is>
      </c>
      <c r="I246" t="n">
        <v>10.1</v>
      </c>
      <c r="J246" t="n">
        <v>0</v>
      </c>
      <c r="K246" t="n">
        <v>0</v>
      </c>
      <c r="L246" t="n">
        <v>0</v>
      </c>
      <c r="M246" t="n">
        <v>0</v>
      </c>
      <c r="N246" t="n">
        <v>0</v>
      </c>
      <c r="O246" t="n">
        <v>0</v>
      </c>
      <c r="P246" t="n">
        <v>0</v>
      </c>
      <c r="Q246" t="n">
        <v>0</v>
      </c>
      <c r="R246" t="n">
        <v>0</v>
      </c>
      <c r="S246" t="n">
        <v>0</v>
      </c>
      <c r="T246" t="n">
        <v>0</v>
      </c>
      <c r="U246" s="2" t="inlineStr"/>
    </row>
    <row r="247" ht="15" customHeight="1">
      <c r="A247" t="inlineStr">
        <is>
          <t>A 24785-2024</t>
        </is>
      </c>
      <c r="B247" t="inlineStr">
        <is>
          <t>avverkningsanmälan</t>
        </is>
      </c>
      <c r="C247" t="inlineStr">
        <is>
          <t>Föryngringsavverkning</t>
        </is>
      </c>
      <c r="D247" s="1" t="n">
        <v>45460</v>
      </c>
      <c r="E247" s="1" t="n">
        <v>46219</v>
      </c>
      <c r="F247" t="inlineStr">
        <is>
          <t>NORRBOTTENS LÄN</t>
        </is>
      </c>
      <c r="G247" t="inlineStr">
        <is>
          <t>ÖVERTORNEÅ</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26162-2024</t>
        </is>
      </c>
      <c r="B248" t="inlineStr">
        <is>
          <t>avverkningsanmälan</t>
        </is>
      </c>
      <c r="C248" t="inlineStr">
        <is>
          <t>Föryngringsavverkning</t>
        </is>
      </c>
      <c r="D248" s="1" t="n">
        <v>45467</v>
      </c>
      <c r="E248" s="1" t="n">
        <v>46219</v>
      </c>
      <c r="F248" t="inlineStr">
        <is>
          <t>NORRBOTTENS LÄN</t>
        </is>
      </c>
      <c r="G248" t="inlineStr">
        <is>
          <t>ÖVERTORNEÅ</t>
        </is>
      </c>
      <c r="I248" t="n">
        <v>5.5</v>
      </c>
      <c r="J248" t="n">
        <v>0</v>
      </c>
      <c r="K248" t="n">
        <v>0</v>
      </c>
      <c r="L248" t="n">
        <v>0</v>
      </c>
      <c r="M248" t="n">
        <v>0</v>
      </c>
      <c r="N248" t="n">
        <v>0</v>
      </c>
      <c r="O248" t="n">
        <v>0</v>
      </c>
      <c r="P248" t="n">
        <v>0</v>
      </c>
      <c r="Q248" t="n">
        <v>0</v>
      </c>
      <c r="R248" t="n">
        <v>0</v>
      </c>
      <c r="S248" t="n">
        <v>0</v>
      </c>
      <c r="T248" t="n">
        <v>0</v>
      </c>
      <c r="U248" s="2" t="inlineStr"/>
    </row>
    <row r="249" ht="15" customHeight="1">
      <c r="A249" t="inlineStr">
        <is>
          <t>A 34579-2024</t>
        </is>
      </c>
      <c r="B249" t="inlineStr">
        <is>
          <t>avverkningsanmälan</t>
        </is>
      </c>
      <c r="C249" t="inlineStr">
        <is>
          <t>Föryngringsavverkning</t>
        </is>
      </c>
      <c r="D249" s="1" t="n">
        <v>45526</v>
      </c>
      <c r="E249" s="1" t="n">
        <v>46219</v>
      </c>
      <c r="F249" t="inlineStr">
        <is>
          <t>NORRBOTTENS LÄN</t>
        </is>
      </c>
      <c r="G249" t="inlineStr">
        <is>
          <t>ÖVERTORNEÅ</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53810-2025</t>
        </is>
      </c>
      <c r="B250" t="inlineStr">
        <is>
          <t>avverkningsanmälan</t>
        </is>
      </c>
      <c r="C250" t="inlineStr">
        <is>
          <t>Föryngringsavverkning</t>
        </is>
      </c>
      <c r="D250" s="1" t="n">
        <v>45960</v>
      </c>
      <c r="E250" s="1" t="n">
        <v>46219</v>
      </c>
      <c r="F250" t="inlineStr">
        <is>
          <t>NORRBOTTENS LÄN</t>
        </is>
      </c>
      <c r="G250" t="inlineStr">
        <is>
          <t>ÖVERTORNEÅ</t>
        </is>
      </c>
      <c r="I250" t="n">
        <v>5.6</v>
      </c>
      <c r="J250" t="n">
        <v>0</v>
      </c>
      <c r="K250" t="n">
        <v>0</v>
      </c>
      <c r="L250" t="n">
        <v>0</v>
      </c>
      <c r="M250" t="n">
        <v>0</v>
      </c>
      <c r="N250" t="n">
        <v>0</v>
      </c>
      <c r="O250" t="n">
        <v>0</v>
      </c>
      <c r="P250" t="n">
        <v>0</v>
      </c>
      <c r="Q250" t="n">
        <v>0</v>
      </c>
      <c r="R250" t="n">
        <v>0</v>
      </c>
      <c r="S250" t="n">
        <v>0</v>
      </c>
      <c r="T250" t="n">
        <v>0</v>
      </c>
      <c r="U250" s="2" t="inlineStr"/>
    </row>
    <row r="251" ht="15" customHeight="1">
      <c r="A251" t="inlineStr">
        <is>
          <t>A 10528-2023</t>
        </is>
      </c>
      <c r="B251" t="inlineStr">
        <is>
          <t>avverkningsanmälan</t>
        </is>
      </c>
      <c r="C251" t="inlineStr">
        <is>
          <t>Avverkning för annat ändamål</t>
        </is>
      </c>
      <c r="D251" s="1" t="n">
        <v>44987</v>
      </c>
      <c r="E251" s="1" t="n">
        <v>46219</v>
      </c>
      <c r="F251" t="inlineStr">
        <is>
          <t>NORRBOTTENS LÄN</t>
        </is>
      </c>
      <c r="G251" t="inlineStr">
        <is>
          <t>ÖVERTORNEÅ</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24803-2026</t>
        </is>
      </c>
      <c r="B252" t="inlineStr">
        <is>
          <t>avverkningsanmälan</t>
        </is>
      </c>
      <c r="C252" t="inlineStr">
        <is>
          <t>Föryngringsavverkning</t>
        </is>
      </c>
      <c r="D252" s="1" t="n">
        <v>46171</v>
      </c>
      <c r="E252" s="1" t="n">
        <v>46219</v>
      </c>
      <c r="F252" t="inlineStr">
        <is>
          <t>NORRBOTTENS LÄN</t>
        </is>
      </c>
      <c r="G252" t="inlineStr">
        <is>
          <t>ÖVERTORNEÅ</t>
        </is>
      </c>
      <c r="H252" t="inlineStr">
        <is>
          <t>Sveaskog</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49299-2024</t>
        </is>
      </c>
      <c r="B253" t="inlineStr">
        <is>
          <t>avverkningsanmälan</t>
        </is>
      </c>
      <c r="C253" t="inlineStr">
        <is>
          <t>Föryngringsavverkning</t>
        </is>
      </c>
      <c r="D253" s="1" t="n">
        <v>45595</v>
      </c>
      <c r="E253" s="1" t="n">
        <v>46219</v>
      </c>
      <c r="F253" t="inlineStr">
        <is>
          <t>NORRBOTTENS LÄN</t>
        </is>
      </c>
      <c r="G253" t="inlineStr">
        <is>
          <t>ÖVERTORNEÅ</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14392-2024</t>
        </is>
      </c>
      <c r="B254" t="inlineStr">
        <is>
          <t>avverkningsanmälan</t>
        </is>
      </c>
      <c r="C254" t="inlineStr">
        <is>
          <t>Föryngringsavverkning</t>
        </is>
      </c>
      <c r="D254" s="1" t="n">
        <v>45394</v>
      </c>
      <c r="E254" s="1" t="n">
        <v>46219</v>
      </c>
      <c r="F254" t="inlineStr">
        <is>
          <t>NORRBOTTENS LÄN</t>
        </is>
      </c>
      <c r="G254" t="inlineStr">
        <is>
          <t>ÖVERTORNEÅ</t>
        </is>
      </c>
      <c r="I254" t="n">
        <v>5.7</v>
      </c>
      <c r="J254" t="n">
        <v>0</v>
      </c>
      <c r="K254" t="n">
        <v>0</v>
      </c>
      <c r="L254" t="n">
        <v>0</v>
      </c>
      <c r="M254" t="n">
        <v>0</v>
      </c>
      <c r="N254" t="n">
        <v>0</v>
      </c>
      <c r="O254" t="n">
        <v>0</v>
      </c>
      <c r="P254" t="n">
        <v>0</v>
      </c>
      <c r="Q254" t="n">
        <v>0</v>
      </c>
      <c r="R254" t="n">
        <v>0</v>
      </c>
      <c r="S254" t="n">
        <v>0</v>
      </c>
      <c r="T254" t="n">
        <v>0</v>
      </c>
      <c r="U254" s="2" t="inlineStr"/>
    </row>
    <row r="255" ht="15" customHeight="1">
      <c r="A255" t="inlineStr">
        <is>
          <t>A 8125-2025</t>
        </is>
      </c>
      <c r="B255" t="inlineStr">
        <is>
          <t>avverkningsanmälan</t>
        </is>
      </c>
      <c r="C255" t="inlineStr">
        <is>
          <t>Föryngringsavverkning</t>
        </is>
      </c>
      <c r="D255" s="1" t="n">
        <v>45707</v>
      </c>
      <c r="E255" s="1" t="n">
        <v>46219</v>
      </c>
      <c r="F255" t="inlineStr">
        <is>
          <t>NORRBOTTENS LÄN</t>
        </is>
      </c>
      <c r="G255" t="inlineStr">
        <is>
          <t>ÖVERTORNEÅ</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4250-2025</t>
        </is>
      </c>
      <c r="B256" t="inlineStr">
        <is>
          <t>avverkningsanmälan</t>
        </is>
      </c>
      <c r="C256" t="inlineStr">
        <is>
          <t>Föryngringsavverkning</t>
        </is>
      </c>
      <c r="D256" s="1" t="n">
        <v>45685</v>
      </c>
      <c r="E256" s="1" t="n">
        <v>46219</v>
      </c>
      <c r="F256" t="inlineStr">
        <is>
          <t>NORRBOTTENS LÄN</t>
        </is>
      </c>
      <c r="G256" t="inlineStr">
        <is>
          <t>ÖVERTORNEÅ</t>
        </is>
      </c>
      <c r="I256" t="n">
        <v>2.3</v>
      </c>
      <c r="J256" t="n">
        <v>0</v>
      </c>
      <c r="K256" t="n">
        <v>0</v>
      </c>
      <c r="L256" t="n">
        <v>0</v>
      </c>
      <c r="M256" t="n">
        <v>0</v>
      </c>
      <c r="N256" t="n">
        <v>0</v>
      </c>
      <c r="O256" t="n">
        <v>0</v>
      </c>
      <c r="P256" t="n">
        <v>0</v>
      </c>
      <c r="Q256" t="n">
        <v>0</v>
      </c>
      <c r="R256" t="n">
        <v>0</v>
      </c>
      <c r="S256" t="n">
        <v>0</v>
      </c>
      <c r="T256" t="n">
        <v>0</v>
      </c>
      <c r="U256" s="2" t="inlineStr"/>
    </row>
    <row r="257" ht="15" customHeight="1">
      <c r="A257" t="inlineStr">
        <is>
          <t>A 44096-2023</t>
        </is>
      </c>
      <c r="B257" t="inlineStr">
        <is>
          <t>avverkningsanmälan</t>
        </is>
      </c>
      <c r="C257" t="inlineStr">
        <is>
          <t>Föryngringsavverkning</t>
        </is>
      </c>
      <c r="D257" s="1" t="n">
        <v>45188</v>
      </c>
      <c r="E257" s="1" t="n">
        <v>46219</v>
      </c>
      <c r="F257" t="inlineStr">
        <is>
          <t>NORRBOTTENS LÄN</t>
        </is>
      </c>
      <c r="G257" t="inlineStr">
        <is>
          <t>ÖVERTORNEÅ</t>
        </is>
      </c>
      <c r="I257" t="n">
        <v>16.2</v>
      </c>
      <c r="J257" t="n">
        <v>0</v>
      </c>
      <c r="K257" t="n">
        <v>0</v>
      </c>
      <c r="L257" t="n">
        <v>0</v>
      </c>
      <c r="M257" t="n">
        <v>0</v>
      </c>
      <c r="N257" t="n">
        <v>0</v>
      </c>
      <c r="O257" t="n">
        <v>0</v>
      </c>
      <c r="P257" t="n">
        <v>0</v>
      </c>
      <c r="Q257" t="n">
        <v>0</v>
      </c>
      <c r="R257" t="n">
        <v>0</v>
      </c>
      <c r="S257" t="n">
        <v>0</v>
      </c>
      <c r="T257" t="n">
        <v>0</v>
      </c>
      <c r="U257" s="2" t="inlineStr"/>
    </row>
    <row r="258" ht="15" customHeight="1">
      <c r="A258" t="inlineStr">
        <is>
          <t>A 35995-2023</t>
        </is>
      </c>
      <c r="B258" t="inlineStr">
        <is>
          <t>avverkningsanmälan</t>
        </is>
      </c>
      <c r="C258" t="inlineStr">
        <is>
          <t>Föryngringsavverkning</t>
        </is>
      </c>
      <c r="D258" s="1" t="n">
        <v>45149</v>
      </c>
      <c r="E258" s="1" t="n">
        <v>46219</v>
      </c>
      <c r="F258" t="inlineStr">
        <is>
          <t>NORRBOTTENS LÄN</t>
        </is>
      </c>
      <c r="G258" t="inlineStr">
        <is>
          <t>ÖVERTORNEÅ</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31196-2026</t>
        </is>
      </c>
      <c r="B259" t="inlineStr">
        <is>
          <t>avverkningsanmälan</t>
        </is>
      </c>
      <c r="C259" t="inlineStr">
        <is>
          <t>Föryngringsavverkning</t>
        </is>
      </c>
      <c r="D259" s="1" t="n">
        <v>46217</v>
      </c>
      <c r="E259" s="1" t="n">
        <v>46219</v>
      </c>
      <c r="F259" t="inlineStr">
        <is>
          <t>NORRBOTTENS LÄN</t>
        </is>
      </c>
      <c r="G259" t="inlineStr">
        <is>
          <t>ÖVERTORNEÅ</t>
        </is>
      </c>
      <c r="I259" t="n">
        <v>8.4</v>
      </c>
      <c r="J259" t="n">
        <v>0</v>
      </c>
      <c r="K259" t="n">
        <v>0</v>
      </c>
      <c r="L259" t="n">
        <v>0</v>
      </c>
      <c r="M259" t="n">
        <v>0</v>
      </c>
      <c r="N259" t="n">
        <v>0</v>
      </c>
      <c r="O259" t="n">
        <v>0</v>
      </c>
      <c r="P259" t="n">
        <v>0</v>
      </c>
      <c r="Q259" t="n">
        <v>0</v>
      </c>
      <c r="R259" t="n">
        <v>0</v>
      </c>
      <c r="S259" t="n">
        <v>0</v>
      </c>
      <c r="T259" t="n">
        <v>0</v>
      </c>
      <c r="U259" s="2" t="inlineStr"/>
    </row>
    <row r="260" ht="15" customHeight="1">
      <c r="A260" t="inlineStr">
        <is>
          <t>A 60675-2025</t>
        </is>
      </c>
      <c r="B260" t="inlineStr">
        <is>
          <t>avverkningsanmälan</t>
        </is>
      </c>
      <c r="C260" t="inlineStr">
        <is>
          <t>Föryngringsavverkning</t>
        </is>
      </c>
      <c r="D260" s="1" t="n">
        <v>45996</v>
      </c>
      <c r="E260" s="1" t="n">
        <v>46219</v>
      </c>
      <c r="F260" t="inlineStr">
        <is>
          <t>NORRBOTTENS LÄN</t>
        </is>
      </c>
      <c r="G260" t="inlineStr">
        <is>
          <t>ÖVERTORNEÅ</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60522-2025</t>
        </is>
      </c>
      <c r="B261" t="inlineStr">
        <is>
          <t>avverkningsanmälan</t>
        </is>
      </c>
      <c r="C261" t="inlineStr">
        <is>
          <t>Föryngringsavverkning</t>
        </is>
      </c>
      <c r="D261" s="1" t="n">
        <v>45995</v>
      </c>
      <c r="E261" s="1" t="n">
        <v>46219</v>
      </c>
      <c r="F261" t="inlineStr">
        <is>
          <t>NORRBOTTENS LÄN</t>
        </is>
      </c>
      <c r="G261" t="inlineStr">
        <is>
          <t>ÖVERTORNEÅ</t>
        </is>
      </c>
      <c r="I261" t="n">
        <v>2.6</v>
      </c>
      <c r="J261" t="n">
        <v>0</v>
      </c>
      <c r="K261" t="n">
        <v>0</v>
      </c>
      <c r="L261" t="n">
        <v>0</v>
      </c>
      <c r="M261" t="n">
        <v>0</v>
      </c>
      <c r="N261" t="n">
        <v>0</v>
      </c>
      <c r="O261" t="n">
        <v>0</v>
      </c>
      <c r="P261" t="n">
        <v>0</v>
      </c>
      <c r="Q261" t="n">
        <v>0</v>
      </c>
      <c r="R261" t="n">
        <v>0</v>
      </c>
      <c r="S261" t="n">
        <v>0</v>
      </c>
      <c r="T261" t="n">
        <v>0</v>
      </c>
      <c r="U261" s="2" t="inlineStr"/>
    </row>
    <row r="262" ht="15" customHeight="1">
      <c r="A262" t="inlineStr">
        <is>
          <t>A 23055-2024</t>
        </is>
      </c>
      <c r="B262" t="inlineStr">
        <is>
          <t>avverkningsanmälan</t>
        </is>
      </c>
      <c r="C262" t="inlineStr">
        <is>
          <t>Föryngringsavverkning</t>
        </is>
      </c>
      <c r="D262" s="1" t="n">
        <v>45449</v>
      </c>
      <c r="E262" s="1" t="n">
        <v>46219</v>
      </c>
      <c r="F262" t="inlineStr">
        <is>
          <t>NORRBOTTENS LÄN</t>
        </is>
      </c>
      <c r="G262" t="inlineStr">
        <is>
          <t>ÖVERTORNEÅ</t>
        </is>
      </c>
      <c r="I262" t="n">
        <v>4.2</v>
      </c>
      <c r="J262" t="n">
        <v>0</v>
      </c>
      <c r="K262" t="n">
        <v>0</v>
      </c>
      <c r="L262" t="n">
        <v>0</v>
      </c>
      <c r="M262" t="n">
        <v>0</v>
      </c>
      <c r="N262" t="n">
        <v>0</v>
      </c>
      <c r="O262" t="n">
        <v>0</v>
      </c>
      <c r="P262" t="n">
        <v>0</v>
      </c>
      <c r="Q262" t="n">
        <v>0</v>
      </c>
      <c r="R262" t="n">
        <v>0</v>
      </c>
      <c r="S262" t="n">
        <v>0</v>
      </c>
      <c r="T262" t="n">
        <v>0</v>
      </c>
      <c r="U262" s="2" t="inlineStr"/>
    </row>
    <row r="263" ht="15" customHeight="1">
      <c r="A263" t="inlineStr">
        <is>
          <t>A 48036-2024</t>
        </is>
      </c>
      <c r="B263" t="inlineStr">
        <is>
          <t>avverkningsanmälan</t>
        </is>
      </c>
      <c r="C263" t="inlineStr">
        <is>
          <t>Föryngringsavverkning</t>
        </is>
      </c>
      <c r="D263" s="1" t="n">
        <v>45589</v>
      </c>
      <c r="E263" s="1" t="n">
        <v>46219</v>
      </c>
      <c r="F263" t="inlineStr">
        <is>
          <t>NORRBOTTENS LÄN</t>
        </is>
      </c>
      <c r="G263" t="inlineStr">
        <is>
          <t>ÖVERTORNEÅ</t>
        </is>
      </c>
      <c r="H263" t="inlineStr">
        <is>
          <t>Kommuner</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16028-2024</t>
        </is>
      </c>
      <c r="B264" t="inlineStr">
        <is>
          <t>avverkningsanmälan</t>
        </is>
      </c>
      <c r="C264" t="inlineStr">
        <is>
          <t>Föryngringsavverkning</t>
        </is>
      </c>
      <c r="D264" s="1" t="n">
        <v>45405</v>
      </c>
      <c r="E264" s="1" t="n">
        <v>46219</v>
      </c>
      <c r="F264" t="inlineStr">
        <is>
          <t>NORRBOTTENS LÄN</t>
        </is>
      </c>
      <c r="G264" t="inlineStr">
        <is>
          <t>ÖVERTORNEÅ</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28927-2024</t>
        </is>
      </c>
      <c r="B265" t="inlineStr">
        <is>
          <t>avverkningsanmälan</t>
        </is>
      </c>
      <c r="C265" t="inlineStr">
        <is>
          <t>Föryngringsavverkning</t>
        </is>
      </c>
      <c r="D265" s="1" t="n">
        <v>45481</v>
      </c>
      <c r="E265" s="1" t="n">
        <v>46219</v>
      </c>
      <c r="F265" t="inlineStr">
        <is>
          <t>NORRBOTTENS LÄN</t>
        </is>
      </c>
      <c r="G265" t="inlineStr">
        <is>
          <t>ÖVERTORNEÅ</t>
        </is>
      </c>
      <c r="H265" t="inlineStr">
        <is>
          <t>Sveaskog</t>
        </is>
      </c>
      <c r="I265" t="n">
        <v>7.8</v>
      </c>
      <c r="J265" t="n">
        <v>0</v>
      </c>
      <c r="K265" t="n">
        <v>0</v>
      </c>
      <c r="L265" t="n">
        <v>0</v>
      </c>
      <c r="M265" t="n">
        <v>0</v>
      </c>
      <c r="N265" t="n">
        <v>0</v>
      </c>
      <c r="O265" t="n">
        <v>0</v>
      </c>
      <c r="P265" t="n">
        <v>0</v>
      </c>
      <c r="Q265" t="n">
        <v>0</v>
      </c>
      <c r="R265" t="n">
        <v>0</v>
      </c>
      <c r="S265" t="n">
        <v>0</v>
      </c>
      <c r="T265" t="n">
        <v>0</v>
      </c>
      <c r="U265" s="2" t="inlineStr"/>
    </row>
    <row r="266" ht="15" customHeight="1">
      <c r="A266" t="inlineStr">
        <is>
          <t>A 17068-2024</t>
        </is>
      </c>
      <c r="B266" t="inlineStr">
        <is>
          <t>avverkningsanmälan</t>
        </is>
      </c>
      <c r="C266" t="inlineStr">
        <is>
          <t>Avverkning för att bevara och utveckla /försöksver</t>
        </is>
      </c>
      <c r="D266" s="1" t="n">
        <v>45412</v>
      </c>
      <c r="E266" s="1" t="n">
        <v>46219</v>
      </c>
      <c r="F266" t="inlineStr">
        <is>
          <t>NORRBOTTENS LÄN</t>
        </is>
      </c>
      <c r="G266" t="inlineStr">
        <is>
          <t>ÖVERTORNEÅ</t>
        </is>
      </c>
      <c r="H266" t="inlineStr">
        <is>
          <t>Naturvårdsverket</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61921-2025</t>
        </is>
      </c>
      <c r="B267" t="inlineStr">
        <is>
          <t>avverkningsanmälan</t>
        </is>
      </c>
      <c r="C267" t="inlineStr">
        <is>
          <t>Föryngringsavverkning</t>
        </is>
      </c>
      <c r="D267" s="1" t="n">
        <v>46003</v>
      </c>
      <c r="E267" s="1" t="n">
        <v>46219</v>
      </c>
      <c r="F267" t="inlineStr">
        <is>
          <t>NORRBOTTENS LÄN</t>
        </is>
      </c>
      <c r="G267" t="inlineStr">
        <is>
          <t>ÖVERTORNEÅ</t>
        </is>
      </c>
      <c r="I267" t="n">
        <v>18.4</v>
      </c>
      <c r="J267" t="n">
        <v>0</v>
      </c>
      <c r="K267" t="n">
        <v>0</v>
      </c>
      <c r="L267" t="n">
        <v>0</v>
      </c>
      <c r="M267" t="n">
        <v>0</v>
      </c>
      <c r="N267" t="n">
        <v>0</v>
      </c>
      <c r="O267" t="n">
        <v>0</v>
      </c>
      <c r="P267" t="n">
        <v>0</v>
      </c>
      <c r="Q267" t="n">
        <v>0</v>
      </c>
      <c r="R267" t="n">
        <v>0</v>
      </c>
      <c r="S267" t="n">
        <v>0</v>
      </c>
      <c r="T267" t="n">
        <v>0</v>
      </c>
      <c r="U267" s="2" t="inlineStr"/>
    </row>
    <row r="268" ht="15" customHeight="1">
      <c r="A268" t="inlineStr">
        <is>
          <t>A 12653-2025</t>
        </is>
      </c>
      <c r="B268" t="inlineStr">
        <is>
          <t>avverkningsanmälan</t>
        </is>
      </c>
      <c r="C268" t="inlineStr">
        <is>
          <t>Föryngringsavverkning</t>
        </is>
      </c>
      <c r="D268" s="1" t="n">
        <v>45733</v>
      </c>
      <c r="E268" s="1" t="n">
        <v>46219</v>
      </c>
      <c r="F268" t="inlineStr">
        <is>
          <t>NORRBOTTENS LÄN</t>
        </is>
      </c>
      <c r="G268" t="inlineStr">
        <is>
          <t>ÖVERTORNEÅ</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33518-2023</t>
        </is>
      </c>
      <c r="B269" t="inlineStr">
        <is>
          <t>avverkningsanmälan</t>
        </is>
      </c>
      <c r="C269" t="inlineStr">
        <is>
          <t>Föryngringsavverkning</t>
        </is>
      </c>
      <c r="D269" s="1" t="n">
        <v>45118</v>
      </c>
      <c r="E269" s="1" t="n">
        <v>46219</v>
      </c>
      <c r="F269" t="inlineStr">
        <is>
          <t>NORRBOTTENS LÄN</t>
        </is>
      </c>
      <c r="G269" t="inlineStr">
        <is>
          <t>ÖVERTORNEÅ</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61923-2025</t>
        </is>
      </c>
      <c r="B270" t="inlineStr">
        <is>
          <t>avverkningsanmälan</t>
        </is>
      </c>
      <c r="C270" t="inlineStr">
        <is>
          <t>Föryngringsavverkning</t>
        </is>
      </c>
      <c r="D270" s="1" t="n">
        <v>46003</v>
      </c>
      <c r="E270" s="1" t="n">
        <v>46219</v>
      </c>
      <c r="F270" t="inlineStr">
        <is>
          <t>NORRBOTTENS LÄN</t>
        </is>
      </c>
      <c r="G270" t="inlineStr">
        <is>
          <t>ÖVERTORNEÅ</t>
        </is>
      </c>
      <c r="I270" t="n">
        <v>13.5</v>
      </c>
      <c r="J270" t="n">
        <v>0</v>
      </c>
      <c r="K270" t="n">
        <v>0</v>
      </c>
      <c r="L270" t="n">
        <v>0</v>
      </c>
      <c r="M270" t="n">
        <v>0</v>
      </c>
      <c r="N270" t="n">
        <v>0</v>
      </c>
      <c r="O270" t="n">
        <v>0</v>
      </c>
      <c r="P270" t="n">
        <v>0</v>
      </c>
      <c r="Q270" t="n">
        <v>0</v>
      </c>
      <c r="R270" t="n">
        <v>0</v>
      </c>
      <c r="S270" t="n">
        <v>0</v>
      </c>
      <c r="T270" t="n">
        <v>0</v>
      </c>
      <c r="U270" s="2" t="inlineStr"/>
    </row>
    <row r="271" ht="15" customHeight="1">
      <c r="A271" t="inlineStr">
        <is>
          <t>A 62669-2025</t>
        </is>
      </c>
      <c r="B271" t="inlineStr">
        <is>
          <t>avverkningsanmälan</t>
        </is>
      </c>
      <c r="C271" t="inlineStr">
        <is>
          <t>Föryngringsavverkning</t>
        </is>
      </c>
      <c r="D271" s="1" t="n">
        <v>46008</v>
      </c>
      <c r="E271" s="1" t="n">
        <v>46219</v>
      </c>
      <c r="F271" t="inlineStr">
        <is>
          <t>NORRBOTTENS LÄN</t>
        </is>
      </c>
      <c r="G271" t="inlineStr">
        <is>
          <t>ÖVERTORNEÅ</t>
        </is>
      </c>
      <c r="I271" t="n">
        <v>3.9</v>
      </c>
      <c r="J271" t="n">
        <v>0</v>
      </c>
      <c r="K271" t="n">
        <v>0</v>
      </c>
      <c r="L271" t="n">
        <v>0</v>
      </c>
      <c r="M271" t="n">
        <v>0</v>
      </c>
      <c r="N271" t="n">
        <v>0</v>
      </c>
      <c r="O271" t="n">
        <v>0</v>
      </c>
      <c r="P271" t="n">
        <v>0</v>
      </c>
      <c r="Q271" t="n">
        <v>0</v>
      </c>
      <c r="R271" t="n">
        <v>0</v>
      </c>
      <c r="S271" t="n">
        <v>0</v>
      </c>
      <c r="T271" t="n">
        <v>0</v>
      </c>
      <c r="U271" s="2" t="inlineStr"/>
    </row>
    <row r="272" ht="15" customHeight="1">
      <c r="A272" t="inlineStr">
        <is>
          <t>A 31827-2024</t>
        </is>
      </c>
      <c r="B272" t="inlineStr">
        <is>
          <t>avverkningsanmälan</t>
        </is>
      </c>
      <c r="C272" t="inlineStr">
        <is>
          <t>Föryngringsavverkning</t>
        </is>
      </c>
      <c r="D272" s="1" t="n">
        <v>45509</v>
      </c>
      <c r="E272" s="1" t="n">
        <v>46219</v>
      </c>
      <c r="F272" t="inlineStr">
        <is>
          <t>NORRBOTTENS LÄN</t>
        </is>
      </c>
      <c r="G272" t="inlineStr">
        <is>
          <t>ÖVERTORNEÅ</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12164-2024</t>
        </is>
      </c>
      <c r="B273" t="inlineStr">
        <is>
          <t>avverkningsanmälan</t>
        </is>
      </c>
      <c r="C273" t="inlineStr">
        <is>
          <t>Föryngringsavverkning</t>
        </is>
      </c>
      <c r="D273" s="1" t="n">
        <v>45377</v>
      </c>
      <c r="E273" s="1" t="n">
        <v>46219</v>
      </c>
      <c r="F273" t="inlineStr">
        <is>
          <t>NORRBOTTENS LÄN</t>
        </is>
      </c>
      <c r="G273" t="inlineStr">
        <is>
          <t>ÖVERTORNEÅ</t>
        </is>
      </c>
      <c r="I273" t="n">
        <v>3.5</v>
      </c>
      <c r="J273" t="n">
        <v>0</v>
      </c>
      <c r="K273" t="n">
        <v>0</v>
      </c>
      <c r="L273" t="n">
        <v>0</v>
      </c>
      <c r="M273" t="n">
        <v>0</v>
      </c>
      <c r="N273" t="n">
        <v>0</v>
      </c>
      <c r="O273" t="n">
        <v>0</v>
      </c>
      <c r="P273" t="n">
        <v>0</v>
      </c>
      <c r="Q273" t="n">
        <v>0</v>
      </c>
      <c r="R273" t="n">
        <v>0</v>
      </c>
      <c r="S273" t="n">
        <v>0</v>
      </c>
      <c r="T273" t="n">
        <v>0</v>
      </c>
      <c r="U273" s="2" t="inlineStr"/>
    </row>
    <row r="274" ht="15" customHeight="1">
      <c r="A274" t="inlineStr">
        <is>
          <t>A 62786-2025</t>
        </is>
      </c>
      <c r="B274" t="inlineStr">
        <is>
          <t>avverkningsanmälan</t>
        </is>
      </c>
      <c r="C274" t="inlineStr">
        <is>
          <t>Föryngringsavverkning</t>
        </is>
      </c>
      <c r="D274" s="1" t="n">
        <v>46008</v>
      </c>
      <c r="E274" s="1" t="n">
        <v>46219</v>
      </c>
      <c r="F274" t="inlineStr">
        <is>
          <t>NORRBOTTENS LÄN</t>
        </is>
      </c>
      <c r="G274" t="inlineStr">
        <is>
          <t>ÖVERTORNEÅ</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62658-2025</t>
        </is>
      </c>
      <c r="B275" t="inlineStr">
        <is>
          <t>avverkningsanmälan</t>
        </is>
      </c>
      <c r="C275" t="inlineStr">
        <is>
          <t>Föryngringsavverkning</t>
        </is>
      </c>
      <c r="D275" s="1" t="n">
        <v>46008</v>
      </c>
      <c r="E275" s="1" t="n">
        <v>46219</v>
      </c>
      <c r="F275" t="inlineStr">
        <is>
          <t>NORRBOTTENS LÄN</t>
        </is>
      </c>
      <c r="G275" t="inlineStr">
        <is>
          <t>ÖVERTORNEÅ</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59662-2024</t>
        </is>
      </c>
      <c r="B276" t="inlineStr">
        <is>
          <t>avverkningsanmälan</t>
        </is>
      </c>
      <c r="C276" t="inlineStr">
        <is>
          <t>Föryngringsavverkning</t>
        </is>
      </c>
      <c r="D276" s="1" t="n">
        <v>45639</v>
      </c>
      <c r="E276" s="1" t="n">
        <v>46219</v>
      </c>
      <c r="F276" t="inlineStr">
        <is>
          <t>NORRBOTTENS LÄN</t>
        </is>
      </c>
      <c r="G276" t="inlineStr">
        <is>
          <t>ÖVERTORNEÅ</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62653-2025</t>
        </is>
      </c>
      <c r="B277" t="inlineStr">
        <is>
          <t>avverkningsanmälan</t>
        </is>
      </c>
      <c r="C277" t="inlineStr">
        <is>
          <t>Föryngringsavverkning</t>
        </is>
      </c>
      <c r="D277" s="1" t="n">
        <v>46008</v>
      </c>
      <c r="E277" s="1" t="n">
        <v>46219</v>
      </c>
      <c r="F277" t="inlineStr">
        <is>
          <t>NORRBOTTENS LÄN</t>
        </is>
      </c>
      <c r="G277" t="inlineStr">
        <is>
          <t>ÖVERTORNEÅ</t>
        </is>
      </c>
      <c r="I277" t="n">
        <v>8</v>
      </c>
      <c r="J277" t="n">
        <v>0</v>
      </c>
      <c r="K277" t="n">
        <v>0</v>
      </c>
      <c r="L277" t="n">
        <v>0</v>
      </c>
      <c r="M277" t="n">
        <v>0</v>
      </c>
      <c r="N277" t="n">
        <v>0</v>
      </c>
      <c r="O277" t="n">
        <v>0</v>
      </c>
      <c r="P277" t="n">
        <v>0</v>
      </c>
      <c r="Q277" t="n">
        <v>0</v>
      </c>
      <c r="R277" t="n">
        <v>0</v>
      </c>
      <c r="S277" t="n">
        <v>0</v>
      </c>
      <c r="T277" t="n">
        <v>0</v>
      </c>
      <c r="U277" s="2" t="inlineStr"/>
    </row>
    <row r="278" ht="15" customHeight="1">
      <c r="A278" t="inlineStr">
        <is>
          <t>A 63174-2025</t>
        </is>
      </c>
      <c r="B278" t="inlineStr">
        <is>
          <t>avverkningsanmälan</t>
        </is>
      </c>
      <c r="C278" t="inlineStr">
        <is>
          <t>Föryngringsavverkning</t>
        </is>
      </c>
      <c r="D278" s="1" t="n">
        <v>46010</v>
      </c>
      <c r="E278" s="1" t="n">
        <v>46219</v>
      </c>
      <c r="F278" t="inlineStr">
        <is>
          <t>NORRBOTTENS LÄN</t>
        </is>
      </c>
      <c r="G278" t="inlineStr">
        <is>
          <t>ÖVERTORNEÅ</t>
        </is>
      </c>
      <c r="I278" t="n">
        <v>8.800000000000001</v>
      </c>
      <c r="J278" t="n">
        <v>0</v>
      </c>
      <c r="K278" t="n">
        <v>0</v>
      </c>
      <c r="L278" t="n">
        <v>0</v>
      </c>
      <c r="M278" t="n">
        <v>0</v>
      </c>
      <c r="N278" t="n">
        <v>0</v>
      </c>
      <c r="O278" t="n">
        <v>0</v>
      </c>
      <c r="P278" t="n">
        <v>0</v>
      </c>
      <c r="Q278" t="n">
        <v>0</v>
      </c>
      <c r="R278" t="n">
        <v>0</v>
      </c>
      <c r="S278" t="n">
        <v>0</v>
      </c>
      <c r="T278" t="n">
        <v>0</v>
      </c>
      <c r="U278" s="2" t="inlineStr"/>
    </row>
    <row r="279" ht="15" customHeight="1">
      <c r="A279" t="inlineStr">
        <is>
          <t>A 57111-2024</t>
        </is>
      </c>
      <c r="B279" t="inlineStr">
        <is>
          <t>avverkningsanmälan</t>
        </is>
      </c>
      <c r="C279" t="inlineStr">
        <is>
          <t>Föryngringsavverkning</t>
        </is>
      </c>
      <c r="D279" s="1" t="n">
        <v>45629</v>
      </c>
      <c r="E279" s="1" t="n">
        <v>46219</v>
      </c>
      <c r="F279" t="inlineStr">
        <is>
          <t>NORRBOTTENS LÄN</t>
        </is>
      </c>
      <c r="G279" t="inlineStr">
        <is>
          <t>ÖVERTORNEÅ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3982-2025</t>
        </is>
      </c>
      <c r="B280" t="inlineStr">
        <is>
          <t>avverkningsanmälan</t>
        </is>
      </c>
      <c r="C280" t="inlineStr">
        <is>
          <t>Avverkning för annat ändamål</t>
        </is>
      </c>
      <c r="D280" s="1" t="n">
        <v>45684</v>
      </c>
      <c r="E280" s="1" t="n">
        <v>46219</v>
      </c>
      <c r="F280" t="inlineStr">
        <is>
          <t>NORRBOTTENS LÄN</t>
        </is>
      </c>
      <c r="G280" t="inlineStr">
        <is>
          <t>ÖVERTORNEÅ</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17896-2023</t>
        </is>
      </c>
      <c r="B281" t="inlineStr">
        <is>
          <t>avverkningsanmälan</t>
        </is>
      </c>
      <c r="C281" t="inlineStr">
        <is>
          <t>Föryngringsavverkning</t>
        </is>
      </c>
      <c r="D281" s="1" t="n">
        <v>45039</v>
      </c>
      <c r="E281" s="1" t="n">
        <v>46219</v>
      </c>
      <c r="F281" t="inlineStr">
        <is>
          <t>NORRBOTTENS LÄN</t>
        </is>
      </c>
      <c r="G281" t="inlineStr">
        <is>
          <t>ÖVERTORNEÅ</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23259-2024</t>
        </is>
      </c>
      <c r="B282" t="inlineStr">
        <is>
          <t>avverkningsanmälan</t>
        </is>
      </c>
      <c r="C282" t="inlineStr">
        <is>
          <t>Föryngringsavverkning</t>
        </is>
      </c>
      <c r="D282" s="1" t="n">
        <v>45453</v>
      </c>
      <c r="E282" s="1" t="n">
        <v>46219</v>
      </c>
      <c r="F282" t="inlineStr">
        <is>
          <t>NORRBOTTENS LÄN</t>
        </is>
      </c>
      <c r="G282" t="inlineStr">
        <is>
          <t>ÖVERTORNEÅ</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74228-2021</t>
        </is>
      </c>
      <c r="B283" t="inlineStr">
        <is>
          <t>avverkningsanmälan</t>
        </is>
      </c>
      <c r="C283" t="inlineStr">
        <is>
          <t>Föryngringsavverkning</t>
        </is>
      </c>
      <c r="D283" s="1" t="n">
        <v>44553</v>
      </c>
      <c r="E283" s="1" t="n">
        <v>46219</v>
      </c>
      <c r="F283" t="inlineStr">
        <is>
          <t>NORRBOTTENS LÄN</t>
        </is>
      </c>
      <c r="G283" t="inlineStr">
        <is>
          <t>ÖVERTORNEÅ</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34798-2025</t>
        </is>
      </c>
      <c r="B284" t="inlineStr">
        <is>
          <t>avverkningsanmälan</t>
        </is>
      </c>
      <c r="C284" t="inlineStr">
        <is>
          <t>Föryngringsavverkning</t>
        </is>
      </c>
      <c r="D284" s="1" t="n">
        <v>45848</v>
      </c>
      <c r="E284" s="1" t="n">
        <v>46219</v>
      </c>
      <c r="F284" t="inlineStr">
        <is>
          <t>NORRBOTTENS LÄN</t>
        </is>
      </c>
      <c r="G284" t="inlineStr">
        <is>
          <t>ÖVERTORNEÅ</t>
        </is>
      </c>
      <c r="I284" t="n">
        <v>3.2</v>
      </c>
      <c r="J284" t="n">
        <v>0</v>
      </c>
      <c r="K284" t="n">
        <v>0</v>
      </c>
      <c r="L284" t="n">
        <v>0</v>
      </c>
      <c r="M284" t="n">
        <v>0</v>
      </c>
      <c r="N284" t="n">
        <v>0</v>
      </c>
      <c r="O284" t="n">
        <v>0</v>
      </c>
      <c r="P284" t="n">
        <v>0</v>
      </c>
      <c r="Q284" t="n">
        <v>0</v>
      </c>
      <c r="R284" t="n">
        <v>0</v>
      </c>
      <c r="S284" t="n">
        <v>0</v>
      </c>
      <c r="T284" t="n">
        <v>0</v>
      </c>
      <c r="U284" s="2" t="inlineStr"/>
    </row>
    <row r="285" ht="15" customHeight="1">
      <c r="A285" t="inlineStr">
        <is>
          <t>A 11622-2025</t>
        </is>
      </c>
      <c r="B285" t="inlineStr">
        <is>
          <t>avverkningsanmälan</t>
        </is>
      </c>
      <c r="C285" t="inlineStr">
        <is>
          <t>Föryngringsavverkning</t>
        </is>
      </c>
      <c r="D285" s="1" t="n">
        <v>45727</v>
      </c>
      <c r="E285" s="1" t="n">
        <v>46219</v>
      </c>
      <c r="F285" t="inlineStr">
        <is>
          <t>NORRBOTTENS LÄN</t>
        </is>
      </c>
      <c r="G285" t="inlineStr">
        <is>
          <t>ÖVERTORNEÅ</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33600-2024</t>
        </is>
      </c>
      <c r="B286" t="inlineStr">
        <is>
          <t>avverkningsanmälan</t>
        </is>
      </c>
      <c r="C286" t="inlineStr">
        <is>
          <t>Föryngringsavverkning</t>
        </is>
      </c>
      <c r="D286" s="1" t="n">
        <v>45520</v>
      </c>
      <c r="E286" s="1" t="n">
        <v>46219</v>
      </c>
      <c r="F286" t="inlineStr">
        <is>
          <t>NORRBOTTENS LÄN</t>
        </is>
      </c>
      <c r="G286" t="inlineStr">
        <is>
          <t>ÖVERTORNEÅ</t>
        </is>
      </c>
      <c r="I286" t="n">
        <v>4.3</v>
      </c>
      <c r="J286" t="n">
        <v>0</v>
      </c>
      <c r="K286" t="n">
        <v>0</v>
      </c>
      <c r="L286" t="n">
        <v>0</v>
      </c>
      <c r="M286" t="n">
        <v>0</v>
      </c>
      <c r="N286" t="n">
        <v>0</v>
      </c>
      <c r="O286" t="n">
        <v>0</v>
      </c>
      <c r="P286" t="n">
        <v>0</v>
      </c>
      <c r="Q286" t="n">
        <v>0</v>
      </c>
      <c r="R286" t="n">
        <v>0</v>
      </c>
      <c r="S286" t="n">
        <v>0</v>
      </c>
      <c r="T286" t="n">
        <v>0</v>
      </c>
      <c r="U286" s="2" t="inlineStr"/>
    </row>
    <row r="287" ht="15" customHeight="1">
      <c r="A287" t="inlineStr">
        <is>
          <t>A 26181-2024</t>
        </is>
      </c>
      <c r="B287" t="inlineStr">
        <is>
          <t>avverkningsanmälan</t>
        </is>
      </c>
      <c r="C287" t="inlineStr">
        <is>
          <t>Föryngringsavverkning</t>
        </is>
      </c>
      <c r="D287" s="1" t="n">
        <v>45467</v>
      </c>
      <c r="E287" s="1" t="n">
        <v>46219</v>
      </c>
      <c r="F287" t="inlineStr">
        <is>
          <t>NORRBOTTENS LÄN</t>
        </is>
      </c>
      <c r="G287" t="inlineStr">
        <is>
          <t>ÖVERTORNEÅ</t>
        </is>
      </c>
      <c r="I287" t="n">
        <v>6</v>
      </c>
      <c r="J287" t="n">
        <v>0</v>
      </c>
      <c r="K287" t="n">
        <v>0</v>
      </c>
      <c r="L287" t="n">
        <v>0</v>
      </c>
      <c r="M287" t="n">
        <v>0</v>
      </c>
      <c r="N287" t="n">
        <v>0</v>
      </c>
      <c r="O287" t="n">
        <v>0</v>
      </c>
      <c r="P287" t="n">
        <v>0</v>
      </c>
      <c r="Q287" t="n">
        <v>0</v>
      </c>
      <c r="R287" t="n">
        <v>0</v>
      </c>
      <c r="S287" t="n">
        <v>0</v>
      </c>
      <c r="T287" t="n">
        <v>0</v>
      </c>
      <c r="U287" s="2" t="inlineStr"/>
    </row>
    <row r="288" ht="15" customHeight="1">
      <c r="A288" t="inlineStr">
        <is>
          <t>A 1775-2026</t>
        </is>
      </c>
      <c r="B288" t="inlineStr">
        <is>
          <t>avverkningsanmälan</t>
        </is>
      </c>
      <c r="C288" t="inlineStr">
        <is>
          <t>Avverkning för annat ändamål</t>
        </is>
      </c>
      <c r="D288" s="1" t="n">
        <v>46034</v>
      </c>
      <c r="E288" s="1" t="n">
        <v>46219</v>
      </c>
      <c r="F288" t="inlineStr">
        <is>
          <t>NORRBOTTENS LÄN</t>
        </is>
      </c>
      <c r="G288" t="inlineStr">
        <is>
          <t>ÖVERTORNEÅ</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1779-2026</t>
        </is>
      </c>
      <c r="B289" t="inlineStr">
        <is>
          <t>avverkningsanmälan</t>
        </is>
      </c>
      <c r="C289" t="inlineStr">
        <is>
          <t>Föryngringsavverkning</t>
        </is>
      </c>
      <c r="D289" s="1" t="n">
        <v>46034</v>
      </c>
      <c r="E289" s="1" t="n">
        <v>46219</v>
      </c>
      <c r="F289" t="inlineStr">
        <is>
          <t>NORRBOTTENS LÄN</t>
        </is>
      </c>
      <c r="G289" t="inlineStr">
        <is>
          <t>ÖVERTORNEÅ</t>
        </is>
      </c>
      <c r="I289" t="n">
        <v>4.6</v>
      </c>
      <c r="J289" t="n">
        <v>0</v>
      </c>
      <c r="K289" t="n">
        <v>0</v>
      </c>
      <c r="L289" t="n">
        <v>0</v>
      </c>
      <c r="M289" t="n">
        <v>0</v>
      </c>
      <c r="N289" t="n">
        <v>0</v>
      </c>
      <c r="O289" t="n">
        <v>0</v>
      </c>
      <c r="P289" t="n">
        <v>0</v>
      </c>
      <c r="Q289" t="n">
        <v>0</v>
      </c>
      <c r="R289" t="n">
        <v>0</v>
      </c>
      <c r="S289" t="n">
        <v>0</v>
      </c>
      <c r="T289" t="n">
        <v>0</v>
      </c>
      <c r="U289" s="2" t="inlineStr"/>
    </row>
    <row r="290" ht="15" customHeight="1">
      <c r="A290" t="inlineStr">
        <is>
          <t>A 2421-2026</t>
        </is>
      </c>
      <c r="B290" t="inlineStr">
        <is>
          <t>avverkningsanmälan</t>
        </is>
      </c>
      <c r="C290" t="inlineStr">
        <is>
          <t>Föryngringsavverkning</t>
        </is>
      </c>
      <c r="D290" s="1" t="n">
        <v>46034</v>
      </c>
      <c r="E290" s="1" t="n">
        <v>46219</v>
      </c>
      <c r="F290" t="inlineStr">
        <is>
          <t>NORRBOTTENS LÄN</t>
        </is>
      </c>
      <c r="G290" t="inlineStr">
        <is>
          <t>ÖVERTORNEÅ</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2422-2026</t>
        </is>
      </c>
      <c r="B291" t="inlineStr">
        <is>
          <t>avverkningsanmälan</t>
        </is>
      </c>
      <c r="C291" t="inlineStr">
        <is>
          <t>Föryngringsavverkning</t>
        </is>
      </c>
      <c r="D291" s="1" t="n">
        <v>46034</v>
      </c>
      <c r="E291" s="1" t="n">
        <v>46219</v>
      </c>
      <c r="F291" t="inlineStr">
        <is>
          <t>NORRBOTTENS LÄN</t>
        </is>
      </c>
      <c r="G291" t="inlineStr">
        <is>
          <t>ÖVERTORNEÅ</t>
        </is>
      </c>
      <c r="I291" t="n">
        <v>2.4</v>
      </c>
      <c r="J291" t="n">
        <v>0</v>
      </c>
      <c r="K291" t="n">
        <v>0</v>
      </c>
      <c r="L291" t="n">
        <v>0</v>
      </c>
      <c r="M291" t="n">
        <v>0</v>
      </c>
      <c r="N291" t="n">
        <v>0</v>
      </c>
      <c r="O291" t="n">
        <v>0</v>
      </c>
      <c r="P291" t="n">
        <v>0</v>
      </c>
      <c r="Q291" t="n">
        <v>0</v>
      </c>
      <c r="R291" t="n">
        <v>0</v>
      </c>
      <c r="S291" t="n">
        <v>0</v>
      </c>
      <c r="T291" t="n">
        <v>0</v>
      </c>
      <c r="U291" s="2" t="inlineStr"/>
    </row>
    <row r="292" ht="15" customHeight="1">
      <c r="A292" t="inlineStr">
        <is>
          <t>A 1783-2026</t>
        </is>
      </c>
      <c r="B292" t="inlineStr">
        <is>
          <t>avverkningsanmälan</t>
        </is>
      </c>
      <c r="C292" t="inlineStr">
        <is>
          <t>Föryngringsavverkning</t>
        </is>
      </c>
      <c r="D292" s="1" t="n">
        <v>46034</v>
      </c>
      <c r="E292" s="1" t="n">
        <v>46219</v>
      </c>
      <c r="F292" t="inlineStr">
        <is>
          <t>NORRBOTTENS LÄN</t>
        </is>
      </c>
      <c r="G292" t="inlineStr">
        <is>
          <t>ÖVERTORNEÅ</t>
        </is>
      </c>
      <c r="I292" t="n">
        <v>3.8</v>
      </c>
      <c r="J292" t="n">
        <v>0</v>
      </c>
      <c r="K292" t="n">
        <v>0</v>
      </c>
      <c r="L292" t="n">
        <v>0</v>
      </c>
      <c r="M292" t="n">
        <v>0</v>
      </c>
      <c r="N292" t="n">
        <v>0</v>
      </c>
      <c r="O292" t="n">
        <v>0</v>
      </c>
      <c r="P292" t="n">
        <v>0</v>
      </c>
      <c r="Q292" t="n">
        <v>0</v>
      </c>
      <c r="R292" t="n">
        <v>0</v>
      </c>
      <c r="S292" t="n">
        <v>0</v>
      </c>
      <c r="T292" t="n">
        <v>0</v>
      </c>
      <c r="U292" s="2" t="inlineStr"/>
    </row>
    <row r="293" ht="15" customHeight="1">
      <c r="A293" t="inlineStr">
        <is>
          <t>A 1444-2026</t>
        </is>
      </c>
      <c r="B293" t="inlineStr">
        <is>
          <t>avverkningsanmälan</t>
        </is>
      </c>
      <c r="C293" t="inlineStr">
        <is>
          <t>Föryngringsavverkning</t>
        </is>
      </c>
      <c r="D293" s="1" t="n">
        <v>46032</v>
      </c>
      <c r="E293" s="1" t="n">
        <v>46219</v>
      </c>
      <c r="F293" t="inlineStr">
        <is>
          <t>NORRBOTTENS LÄN</t>
        </is>
      </c>
      <c r="G293" t="inlineStr">
        <is>
          <t>ÖVERTORNEÅ</t>
        </is>
      </c>
      <c r="I293" t="n">
        <v>6</v>
      </c>
      <c r="J293" t="n">
        <v>0</v>
      </c>
      <c r="K293" t="n">
        <v>0</v>
      </c>
      <c r="L293" t="n">
        <v>0</v>
      </c>
      <c r="M293" t="n">
        <v>0</v>
      </c>
      <c r="N293" t="n">
        <v>0</v>
      </c>
      <c r="O293" t="n">
        <v>0</v>
      </c>
      <c r="P293" t="n">
        <v>0</v>
      </c>
      <c r="Q293" t="n">
        <v>0</v>
      </c>
      <c r="R293" t="n">
        <v>0</v>
      </c>
      <c r="S293" t="n">
        <v>0</v>
      </c>
      <c r="T293" t="n">
        <v>0</v>
      </c>
      <c r="U293" s="2" t="inlineStr"/>
    </row>
    <row r="294" ht="15" customHeight="1">
      <c r="A294" t="inlineStr">
        <is>
          <t>A 1558-2026</t>
        </is>
      </c>
      <c r="B294" t="inlineStr">
        <is>
          <t>avverkningsanmälan</t>
        </is>
      </c>
      <c r="C294" t="inlineStr">
        <is>
          <t>Föryngringsavverkning</t>
        </is>
      </c>
      <c r="D294" s="1" t="n">
        <v>46034</v>
      </c>
      <c r="E294" s="1" t="n">
        <v>46219</v>
      </c>
      <c r="F294" t="inlineStr">
        <is>
          <t>NORRBOTTENS LÄN</t>
        </is>
      </c>
      <c r="G294" t="inlineStr">
        <is>
          <t>ÖVERTORNEÅ</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55545-2024</t>
        </is>
      </c>
      <c r="B295" t="inlineStr">
        <is>
          <t>avverkningsanmälan</t>
        </is>
      </c>
      <c r="C295" t="inlineStr">
        <is>
          <t>Föryngringsavverkning</t>
        </is>
      </c>
      <c r="D295" s="1" t="n">
        <v>45622</v>
      </c>
      <c r="E295" s="1" t="n">
        <v>46219</v>
      </c>
      <c r="F295" t="inlineStr">
        <is>
          <t>NORRBOTTENS LÄN</t>
        </is>
      </c>
      <c r="G295" t="inlineStr">
        <is>
          <t>ÖVERTORNEÅ</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1782-2026</t>
        </is>
      </c>
      <c r="B296" t="inlineStr">
        <is>
          <t>avverkningsanmälan</t>
        </is>
      </c>
      <c r="C296" t="inlineStr">
        <is>
          <t>Föryngringsavverkning</t>
        </is>
      </c>
      <c r="D296" s="1" t="n">
        <v>46034</v>
      </c>
      <c r="E296" s="1" t="n">
        <v>46219</v>
      </c>
      <c r="F296" t="inlineStr">
        <is>
          <t>NORRBOTTENS LÄN</t>
        </is>
      </c>
      <c r="G296" t="inlineStr">
        <is>
          <t>ÖVERTORNEÅ</t>
        </is>
      </c>
      <c r="I296" t="n">
        <v>5.2</v>
      </c>
      <c r="J296" t="n">
        <v>0</v>
      </c>
      <c r="K296" t="n">
        <v>0</v>
      </c>
      <c r="L296" t="n">
        <v>0</v>
      </c>
      <c r="M296" t="n">
        <v>0</v>
      </c>
      <c r="N296" t="n">
        <v>0</v>
      </c>
      <c r="O296" t="n">
        <v>0</v>
      </c>
      <c r="P296" t="n">
        <v>0</v>
      </c>
      <c r="Q296" t="n">
        <v>0</v>
      </c>
      <c r="R296" t="n">
        <v>0</v>
      </c>
      <c r="S296" t="n">
        <v>0</v>
      </c>
      <c r="T296" t="n">
        <v>0</v>
      </c>
      <c r="U296" s="2" t="inlineStr"/>
    </row>
    <row r="297" ht="15" customHeight="1">
      <c r="A297" t="inlineStr">
        <is>
          <t>A 47475-2023</t>
        </is>
      </c>
      <c r="B297" t="inlineStr">
        <is>
          <t>avverkningsanmälan</t>
        </is>
      </c>
      <c r="C297" t="inlineStr">
        <is>
          <t>Föryngringsavverkning</t>
        </is>
      </c>
      <c r="D297" s="1" t="n">
        <v>45202</v>
      </c>
      <c r="E297" s="1" t="n">
        <v>46219</v>
      </c>
      <c r="F297" t="inlineStr">
        <is>
          <t>NORRBOTTENS LÄN</t>
        </is>
      </c>
      <c r="G297" t="inlineStr">
        <is>
          <t>ÖVERTORNEÅ</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2904-2026</t>
        </is>
      </c>
      <c r="B298" t="inlineStr">
        <is>
          <t>avverkningsanmälan</t>
        </is>
      </c>
      <c r="C298" t="inlineStr">
        <is>
          <t>Föryngringsavverkning</t>
        </is>
      </c>
      <c r="D298" s="1" t="n">
        <v>46038</v>
      </c>
      <c r="E298" s="1" t="n">
        <v>46219</v>
      </c>
      <c r="F298" t="inlineStr">
        <is>
          <t>NORRBOTTENS LÄN</t>
        </is>
      </c>
      <c r="G298" t="inlineStr">
        <is>
          <t>ÖVERTORNEÅ</t>
        </is>
      </c>
      <c r="I298" t="n">
        <v>7.3</v>
      </c>
      <c r="J298" t="n">
        <v>0</v>
      </c>
      <c r="K298" t="n">
        <v>0</v>
      </c>
      <c r="L298" t="n">
        <v>0</v>
      </c>
      <c r="M298" t="n">
        <v>0</v>
      </c>
      <c r="N298" t="n">
        <v>0</v>
      </c>
      <c r="O298" t="n">
        <v>0</v>
      </c>
      <c r="P298" t="n">
        <v>0</v>
      </c>
      <c r="Q298" t="n">
        <v>0</v>
      </c>
      <c r="R298" t="n">
        <v>0</v>
      </c>
      <c r="S298" t="n">
        <v>0</v>
      </c>
      <c r="T298" t="n">
        <v>0</v>
      </c>
      <c r="U298" s="2" t="inlineStr"/>
    </row>
    <row r="299" ht="15" customHeight="1">
      <c r="A299" t="inlineStr">
        <is>
          <t>A 2894-2026</t>
        </is>
      </c>
      <c r="B299" t="inlineStr">
        <is>
          <t>avverkningsanmälan</t>
        </is>
      </c>
      <c r="C299" t="inlineStr">
        <is>
          <t>Föryngringsavverkning</t>
        </is>
      </c>
      <c r="D299" s="1" t="n">
        <v>46038</v>
      </c>
      <c r="E299" s="1" t="n">
        <v>46219</v>
      </c>
      <c r="F299" t="inlineStr">
        <is>
          <t>NORRBOTTENS LÄN</t>
        </is>
      </c>
      <c r="G299" t="inlineStr">
        <is>
          <t>ÖVERTORNEÅ</t>
        </is>
      </c>
      <c r="I299" t="n">
        <v>6.6</v>
      </c>
      <c r="J299" t="n">
        <v>0</v>
      </c>
      <c r="K299" t="n">
        <v>0</v>
      </c>
      <c r="L299" t="n">
        <v>0</v>
      </c>
      <c r="M299" t="n">
        <v>0</v>
      </c>
      <c r="N299" t="n">
        <v>0</v>
      </c>
      <c r="O299" t="n">
        <v>0</v>
      </c>
      <c r="P299" t="n">
        <v>0</v>
      </c>
      <c r="Q299" t="n">
        <v>0</v>
      </c>
      <c r="R299" t="n">
        <v>0</v>
      </c>
      <c r="S299" t="n">
        <v>0</v>
      </c>
      <c r="T299" t="n">
        <v>0</v>
      </c>
      <c r="U299" s="2" t="inlineStr"/>
    </row>
    <row r="300" ht="15" customHeight="1">
      <c r="A300" t="inlineStr">
        <is>
          <t>A 2918-2026</t>
        </is>
      </c>
      <c r="B300" t="inlineStr">
        <is>
          <t>avverkningsanmälan</t>
        </is>
      </c>
      <c r="C300" t="inlineStr">
        <is>
          <t>Föryngringsavverkning</t>
        </is>
      </c>
      <c r="D300" s="1" t="n">
        <v>46038</v>
      </c>
      <c r="E300" s="1" t="n">
        <v>46219</v>
      </c>
      <c r="F300" t="inlineStr">
        <is>
          <t>NORRBOTTENS LÄN</t>
        </is>
      </c>
      <c r="G300" t="inlineStr">
        <is>
          <t>ÖVERTORNEÅ</t>
        </is>
      </c>
      <c r="I300" t="n">
        <v>4</v>
      </c>
      <c r="J300" t="n">
        <v>0</v>
      </c>
      <c r="K300" t="n">
        <v>0</v>
      </c>
      <c r="L300" t="n">
        <v>0</v>
      </c>
      <c r="M300" t="n">
        <v>0</v>
      </c>
      <c r="N300" t="n">
        <v>0</v>
      </c>
      <c r="O300" t="n">
        <v>0</v>
      </c>
      <c r="P300" t="n">
        <v>0</v>
      </c>
      <c r="Q300" t="n">
        <v>0</v>
      </c>
      <c r="R300" t="n">
        <v>0</v>
      </c>
      <c r="S300" t="n">
        <v>0</v>
      </c>
      <c r="T300" t="n">
        <v>0</v>
      </c>
      <c r="U300" s="2" t="inlineStr"/>
    </row>
    <row r="301" ht="15" customHeight="1">
      <c r="A301" t="inlineStr">
        <is>
          <t>A 21386-2025</t>
        </is>
      </c>
      <c r="B301" t="inlineStr">
        <is>
          <t>avverkningsanmälan</t>
        </is>
      </c>
      <c r="C301" t="inlineStr">
        <is>
          <t>Föryngringsavverkning</t>
        </is>
      </c>
      <c r="D301" s="1" t="n">
        <v>45782</v>
      </c>
      <c r="E301" s="1" t="n">
        <v>46219</v>
      </c>
      <c r="F301" t="inlineStr">
        <is>
          <t>NORRBOTTENS LÄN</t>
        </is>
      </c>
      <c r="G301" t="inlineStr">
        <is>
          <t>ÖVERTORNEÅ</t>
        </is>
      </c>
      <c r="I301" t="n">
        <v>30</v>
      </c>
      <c r="J301" t="n">
        <v>0</v>
      </c>
      <c r="K301" t="n">
        <v>0</v>
      </c>
      <c r="L301" t="n">
        <v>0</v>
      </c>
      <c r="M301" t="n">
        <v>0</v>
      </c>
      <c r="N301" t="n">
        <v>0</v>
      </c>
      <c r="O301" t="n">
        <v>0</v>
      </c>
      <c r="P301" t="n">
        <v>0</v>
      </c>
      <c r="Q301" t="n">
        <v>0</v>
      </c>
      <c r="R301" t="n">
        <v>0</v>
      </c>
      <c r="S301" t="n">
        <v>0</v>
      </c>
      <c r="T301" t="n">
        <v>0</v>
      </c>
      <c r="U301" s="2" t="inlineStr"/>
    </row>
    <row r="302" ht="15" customHeight="1">
      <c r="A302" t="inlineStr">
        <is>
          <t>A 2883-2026</t>
        </is>
      </c>
      <c r="B302" t="inlineStr">
        <is>
          <t>avverkningsanmälan</t>
        </is>
      </c>
      <c r="C302" t="inlineStr">
        <is>
          <t>Föryngringsavverkning</t>
        </is>
      </c>
      <c r="D302" s="1" t="n">
        <v>46038</v>
      </c>
      <c r="E302" s="1" t="n">
        <v>46219</v>
      </c>
      <c r="F302" t="inlineStr">
        <is>
          <t>NORRBOTTENS LÄN</t>
        </is>
      </c>
      <c r="G302" t="inlineStr">
        <is>
          <t>ÖVERTORNEÅ</t>
        </is>
      </c>
      <c r="I302" t="n">
        <v>5.6</v>
      </c>
      <c r="J302" t="n">
        <v>0</v>
      </c>
      <c r="K302" t="n">
        <v>0</v>
      </c>
      <c r="L302" t="n">
        <v>0</v>
      </c>
      <c r="M302" t="n">
        <v>0</v>
      </c>
      <c r="N302" t="n">
        <v>0</v>
      </c>
      <c r="O302" t="n">
        <v>0</v>
      </c>
      <c r="P302" t="n">
        <v>0</v>
      </c>
      <c r="Q302" t="n">
        <v>0</v>
      </c>
      <c r="R302" t="n">
        <v>0</v>
      </c>
      <c r="S302" t="n">
        <v>0</v>
      </c>
      <c r="T302" t="n">
        <v>0</v>
      </c>
      <c r="U302" s="2" t="inlineStr"/>
    </row>
    <row r="303" ht="15" customHeight="1">
      <c r="A303" t="inlineStr">
        <is>
          <t>A 2887-2026</t>
        </is>
      </c>
      <c r="B303" t="inlineStr">
        <is>
          <t>avverkningsanmälan</t>
        </is>
      </c>
      <c r="C303" t="inlineStr">
        <is>
          <t>Föryngringsavverkning</t>
        </is>
      </c>
      <c r="D303" s="1" t="n">
        <v>46038</v>
      </c>
      <c r="E303" s="1" t="n">
        <v>46219</v>
      </c>
      <c r="F303" t="inlineStr">
        <is>
          <t>NORRBOTTENS LÄN</t>
        </is>
      </c>
      <c r="G303" t="inlineStr">
        <is>
          <t>ÖVERTORNEÅ</t>
        </is>
      </c>
      <c r="I303" t="n">
        <v>5</v>
      </c>
      <c r="J303" t="n">
        <v>0</v>
      </c>
      <c r="K303" t="n">
        <v>0</v>
      </c>
      <c r="L303" t="n">
        <v>0</v>
      </c>
      <c r="M303" t="n">
        <v>0</v>
      </c>
      <c r="N303" t="n">
        <v>0</v>
      </c>
      <c r="O303" t="n">
        <v>0</v>
      </c>
      <c r="P303" t="n">
        <v>0</v>
      </c>
      <c r="Q303" t="n">
        <v>0</v>
      </c>
      <c r="R303" t="n">
        <v>0</v>
      </c>
      <c r="S303" t="n">
        <v>0</v>
      </c>
      <c r="T303" t="n">
        <v>0</v>
      </c>
      <c r="U303" s="2" t="inlineStr"/>
    </row>
    <row r="304" ht="15" customHeight="1">
      <c r="A304" t="inlineStr">
        <is>
          <t>A 5095-2025</t>
        </is>
      </c>
      <c r="B304" t="inlineStr">
        <is>
          <t>avverkningsanmälan</t>
        </is>
      </c>
      <c r="C304" t="inlineStr">
        <is>
          <t>Avverkning för annat ändamål</t>
        </is>
      </c>
      <c r="D304" s="1" t="n">
        <v>45691</v>
      </c>
      <c r="E304" s="1" t="n">
        <v>46219</v>
      </c>
      <c r="F304" t="inlineStr">
        <is>
          <t>NORRBOTTENS LÄN</t>
        </is>
      </c>
      <c r="G304" t="inlineStr">
        <is>
          <t>ÖVERTORNEÅ</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55245-2024</t>
        </is>
      </c>
      <c r="B305" t="inlineStr">
        <is>
          <t>avverkningsanmälan</t>
        </is>
      </c>
      <c r="C305" t="inlineStr">
        <is>
          <t>Föryngringsavverkning</t>
        </is>
      </c>
      <c r="D305" s="1" t="n">
        <v>45621</v>
      </c>
      <c r="E305" s="1" t="n">
        <v>46219</v>
      </c>
      <c r="F305" t="inlineStr">
        <is>
          <t>NORRBOTTENS LÄN</t>
        </is>
      </c>
      <c r="G305" t="inlineStr">
        <is>
          <t>ÖVERTORNEÅ</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4688-2026</t>
        </is>
      </c>
      <c r="B306" t="inlineStr">
        <is>
          <t>avverkningsanmälan</t>
        </is>
      </c>
      <c r="C306" t="inlineStr">
        <is>
          <t>Föryngringsavverkning</t>
        </is>
      </c>
      <c r="D306" s="1" t="n">
        <v>46048</v>
      </c>
      <c r="E306" s="1" t="n">
        <v>46219</v>
      </c>
      <c r="F306" t="inlineStr">
        <is>
          <t>NORRBOTTENS LÄN</t>
        </is>
      </c>
      <c r="G306" t="inlineStr">
        <is>
          <t>ÖVERTORNEÅ</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22481-2025</t>
        </is>
      </c>
      <c r="B307" t="inlineStr">
        <is>
          <t>avverkningsanmälan</t>
        </is>
      </c>
      <c r="C307" t="inlineStr">
        <is>
          <t>Föryngringsavverkning</t>
        </is>
      </c>
      <c r="D307" s="1" t="n">
        <v>45786</v>
      </c>
      <c r="E307" s="1" t="n">
        <v>46219</v>
      </c>
      <c r="F307" t="inlineStr">
        <is>
          <t>NORRBOTTENS LÄN</t>
        </is>
      </c>
      <c r="G307" t="inlineStr">
        <is>
          <t>ÖVERTORNEÅ</t>
        </is>
      </c>
      <c r="H307" t="inlineStr">
        <is>
          <t>Sveaskog</t>
        </is>
      </c>
      <c r="I307" t="n">
        <v>24</v>
      </c>
      <c r="J307" t="n">
        <v>0</v>
      </c>
      <c r="K307" t="n">
        <v>0</v>
      </c>
      <c r="L307" t="n">
        <v>0</v>
      </c>
      <c r="M307" t="n">
        <v>0</v>
      </c>
      <c r="N307" t="n">
        <v>0</v>
      </c>
      <c r="O307" t="n">
        <v>0</v>
      </c>
      <c r="P307" t="n">
        <v>0</v>
      </c>
      <c r="Q307" t="n">
        <v>0</v>
      </c>
      <c r="R307" t="n">
        <v>0</v>
      </c>
      <c r="S307" t="n">
        <v>0</v>
      </c>
      <c r="T307" t="n">
        <v>0</v>
      </c>
      <c r="U307" s="2" t="inlineStr"/>
    </row>
    <row r="308" ht="15" customHeight="1">
      <c r="A308" t="inlineStr">
        <is>
          <t>A 11831-2022</t>
        </is>
      </c>
      <c r="B308" t="inlineStr">
        <is>
          <t>avverkningsanmälan</t>
        </is>
      </c>
      <c r="C308" t="inlineStr">
        <is>
          <t>Föryngringsavverkning</t>
        </is>
      </c>
      <c r="D308" s="1" t="n">
        <v>44634</v>
      </c>
      <c r="E308" s="1" t="n">
        <v>46219</v>
      </c>
      <c r="F308" t="inlineStr">
        <is>
          <t>NORRBOTTENS LÄN</t>
        </is>
      </c>
      <c r="G308" t="inlineStr">
        <is>
          <t>ÖVERTORNEÅ</t>
        </is>
      </c>
      <c r="I308" t="n">
        <v>2.7</v>
      </c>
      <c r="J308" t="n">
        <v>0</v>
      </c>
      <c r="K308" t="n">
        <v>0</v>
      </c>
      <c r="L308" t="n">
        <v>0</v>
      </c>
      <c r="M308" t="n">
        <v>0</v>
      </c>
      <c r="N308" t="n">
        <v>0</v>
      </c>
      <c r="O308" t="n">
        <v>0</v>
      </c>
      <c r="P308" t="n">
        <v>0</v>
      </c>
      <c r="Q308" t="n">
        <v>0</v>
      </c>
      <c r="R308" t="n">
        <v>0</v>
      </c>
      <c r="S308" t="n">
        <v>0</v>
      </c>
      <c r="T308" t="n">
        <v>0</v>
      </c>
      <c r="U308" s="2" t="inlineStr"/>
    </row>
    <row r="309" ht="15" customHeight="1">
      <c r="A309" t="inlineStr">
        <is>
          <t>A 51272-2024</t>
        </is>
      </c>
      <c r="B309" t="inlineStr">
        <is>
          <t>avverkningsanmälan</t>
        </is>
      </c>
      <c r="C309" t="inlineStr">
        <is>
          <t>Föryngringsavverkning</t>
        </is>
      </c>
      <c r="D309" s="1" t="n">
        <v>45602</v>
      </c>
      <c r="E309" s="1" t="n">
        <v>46219</v>
      </c>
      <c r="F309" t="inlineStr">
        <is>
          <t>NORRBOTTENS LÄN</t>
        </is>
      </c>
      <c r="G309" t="inlineStr">
        <is>
          <t>ÖVERTORNEÅ</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5922-2026</t>
        </is>
      </c>
      <c r="B310" t="inlineStr">
        <is>
          <t>avverkningsanmälan</t>
        </is>
      </c>
      <c r="C310" t="inlineStr">
        <is>
          <t>Föryngringsavverkning</t>
        </is>
      </c>
      <c r="D310" s="1" t="n">
        <v>46049</v>
      </c>
      <c r="E310" s="1" t="n">
        <v>46219</v>
      </c>
      <c r="F310" t="inlineStr">
        <is>
          <t>NORRBOTTENS LÄN</t>
        </is>
      </c>
      <c r="G310" t="inlineStr">
        <is>
          <t>ÖVERTORNEÅ</t>
        </is>
      </c>
      <c r="I310" t="n">
        <v>7.6</v>
      </c>
      <c r="J310" t="n">
        <v>0</v>
      </c>
      <c r="K310" t="n">
        <v>0</v>
      </c>
      <c r="L310" t="n">
        <v>0</v>
      </c>
      <c r="M310" t="n">
        <v>0</v>
      </c>
      <c r="N310" t="n">
        <v>0</v>
      </c>
      <c r="O310" t="n">
        <v>0</v>
      </c>
      <c r="P310" t="n">
        <v>0</v>
      </c>
      <c r="Q310" t="n">
        <v>0</v>
      </c>
      <c r="R310" t="n">
        <v>0</v>
      </c>
      <c r="S310" t="n">
        <v>0</v>
      </c>
      <c r="T310" t="n">
        <v>0</v>
      </c>
      <c r="U310" s="2" t="inlineStr"/>
    </row>
    <row r="311" ht="15" customHeight="1">
      <c r="A311" t="inlineStr">
        <is>
          <t>A 46644-2023</t>
        </is>
      </c>
      <c r="B311" t="inlineStr">
        <is>
          <t>avverkningsanmälan</t>
        </is>
      </c>
      <c r="C311" t="inlineStr">
        <is>
          <t>Föryngringsavverkning</t>
        </is>
      </c>
      <c r="D311" s="1" t="n">
        <v>45194</v>
      </c>
      <c r="E311" s="1" t="n">
        <v>46219</v>
      </c>
      <c r="F311" t="inlineStr">
        <is>
          <t>NORRBOTTENS LÄN</t>
        </is>
      </c>
      <c r="G311" t="inlineStr">
        <is>
          <t>ÖVERTORNEÅ</t>
        </is>
      </c>
      <c r="I311" t="n">
        <v>5.3</v>
      </c>
      <c r="J311" t="n">
        <v>0</v>
      </c>
      <c r="K311" t="n">
        <v>0</v>
      </c>
      <c r="L311" t="n">
        <v>0</v>
      </c>
      <c r="M311" t="n">
        <v>0</v>
      </c>
      <c r="N311" t="n">
        <v>0</v>
      </c>
      <c r="O311" t="n">
        <v>0</v>
      </c>
      <c r="P311" t="n">
        <v>0</v>
      </c>
      <c r="Q311" t="n">
        <v>0</v>
      </c>
      <c r="R311" t="n">
        <v>0</v>
      </c>
      <c r="S311" t="n">
        <v>0</v>
      </c>
      <c r="T311" t="n">
        <v>0</v>
      </c>
      <c r="U311" s="2" t="inlineStr"/>
    </row>
    <row r="312" ht="15" customHeight="1">
      <c r="A312" t="inlineStr">
        <is>
          <t>A 5937-2026</t>
        </is>
      </c>
      <c r="B312" t="inlineStr">
        <is>
          <t>avverkningsanmälan</t>
        </is>
      </c>
      <c r="C312" t="inlineStr">
        <is>
          <t>Föryngringsavverkning</t>
        </is>
      </c>
      <c r="D312" s="1" t="n">
        <v>46049</v>
      </c>
      <c r="E312" s="1" t="n">
        <v>46219</v>
      </c>
      <c r="F312" t="inlineStr">
        <is>
          <t>NORRBOTTENS LÄN</t>
        </is>
      </c>
      <c r="G312" t="inlineStr">
        <is>
          <t>ÖVERTORNEÅ</t>
        </is>
      </c>
      <c r="I312" t="n">
        <v>7.4</v>
      </c>
      <c r="J312" t="n">
        <v>0</v>
      </c>
      <c r="K312" t="n">
        <v>0</v>
      </c>
      <c r="L312" t="n">
        <v>0</v>
      </c>
      <c r="M312" t="n">
        <v>0</v>
      </c>
      <c r="N312" t="n">
        <v>0</v>
      </c>
      <c r="O312" t="n">
        <v>0</v>
      </c>
      <c r="P312" t="n">
        <v>0</v>
      </c>
      <c r="Q312" t="n">
        <v>0</v>
      </c>
      <c r="R312" t="n">
        <v>0</v>
      </c>
      <c r="S312" t="n">
        <v>0</v>
      </c>
      <c r="T312" t="n">
        <v>0</v>
      </c>
      <c r="U312" s="2" t="inlineStr"/>
    </row>
    <row r="313" ht="15" customHeight="1">
      <c r="A313" t="inlineStr">
        <is>
          <t>A 10753-2024</t>
        </is>
      </c>
      <c r="B313" t="inlineStr">
        <is>
          <t>avverkningsanmälan</t>
        </is>
      </c>
      <c r="C313" t="inlineStr">
        <is>
          <t>Föryngringsavverkning</t>
        </is>
      </c>
      <c r="D313" s="1" t="n">
        <v>45369</v>
      </c>
      <c r="E313" s="1" t="n">
        <v>46219</v>
      </c>
      <c r="F313" t="inlineStr">
        <is>
          <t>NORRBOTTENS LÄN</t>
        </is>
      </c>
      <c r="G313" t="inlineStr">
        <is>
          <t>ÖVERTORNEÅ</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6722-2026</t>
        </is>
      </c>
      <c r="B314" t="inlineStr">
        <is>
          <t>avverkningsanmälan</t>
        </is>
      </c>
      <c r="C314" t="inlineStr">
        <is>
          <t>Föryngringsavverkning</t>
        </is>
      </c>
      <c r="D314" s="1" t="n">
        <v>46056</v>
      </c>
      <c r="E314" s="1" t="n">
        <v>46219</v>
      </c>
      <c r="F314" t="inlineStr">
        <is>
          <t>NORRBOTTENS LÄN</t>
        </is>
      </c>
      <c r="G314" t="inlineStr">
        <is>
          <t>ÖVERTORNEÅ</t>
        </is>
      </c>
      <c r="I314" t="n">
        <v>5.6</v>
      </c>
      <c r="J314" t="n">
        <v>0</v>
      </c>
      <c r="K314" t="n">
        <v>0</v>
      </c>
      <c r="L314" t="n">
        <v>0</v>
      </c>
      <c r="M314" t="n">
        <v>0</v>
      </c>
      <c r="N314" t="n">
        <v>0</v>
      </c>
      <c r="O314" t="n">
        <v>0</v>
      </c>
      <c r="P314" t="n">
        <v>0</v>
      </c>
      <c r="Q314" t="n">
        <v>0</v>
      </c>
      <c r="R314" t="n">
        <v>0</v>
      </c>
      <c r="S314" t="n">
        <v>0</v>
      </c>
      <c r="T314" t="n">
        <v>0</v>
      </c>
      <c r="U314" s="2" t="inlineStr"/>
    </row>
    <row r="315" ht="15" customHeight="1">
      <c r="A315" t="inlineStr">
        <is>
          <t>A 1319-2025</t>
        </is>
      </c>
      <c r="B315" t="inlineStr">
        <is>
          <t>avverkningsanmälan</t>
        </is>
      </c>
      <c r="C315" t="inlineStr">
        <is>
          <t>Föryngringsavverkning</t>
        </is>
      </c>
      <c r="D315" s="1" t="n">
        <v>45667</v>
      </c>
      <c r="E315" s="1" t="n">
        <v>46219</v>
      </c>
      <c r="F315" t="inlineStr">
        <is>
          <t>NORRBOTTENS LÄN</t>
        </is>
      </c>
      <c r="G315" t="inlineStr">
        <is>
          <t>ÖVERTORNEÅ</t>
        </is>
      </c>
      <c r="I315" t="n">
        <v>5.5</v>
      </c>
      <c r="J315" t="n">
        <v>0</v>
      </c>
      <c r="K315" t="n">
        <v>0</v>
      </c>
      <c r="L315" t="n">
        <v>0</v>
      </c>
      <c r="M315" t="n">
        <v>0</v>
      </c>
      <c r="N315" t="n">
        <v>0</v>
      </c>
      <c r="O315" t="n">
        <v>0</v>
      </c>
      <c r="P315" t="n">
        <v>0</v>
      </c>
      <c r="Q315" t="n">
        <v>0</v>
      </c>
      <c r="R315" t="n">
        <v>0</v>
      </c>
      <c r="S315" t="n">
        <v>0</v>
      </c>
      <c r="T315" t="n">
        <v>0</v>
      </c>
      <c r="U315" s="2" t="inlineStr"/>
    </row>
    <row r="316" ht="15" customHeight="1">
      <c r="A316" t="inlineStr">
        <is>
          <t>A 7136-2026</t>
        </is>
      </c>
      <c r="B316" t="inlineStr">
        <is>
          <t>avverkningsanmälan</t>
        </is>
      </c>
      <c r="C316" t="inlineStr">
        <is>
          <t>Föryngringsavverkning</t>
        </is>
      </c>
      <c r="D316" s="1" t="n">
        <v>46058</v>
      </c>
      <c r="E316" s="1" t="n">
        <v>46219</v>
      </c>
      <c r="F316" t="inlineStr">
        <is>
          <t>NORRBOTTENS LÄN</t>
        </is>
      </c>
      <c r="G316" t="inlineStr">
        <is>
          <t>ÖVERTORNEÅ</t>
        </is>
      </c>
      <c r="I316" t="n">
        <v>8.6</v>
      </c>
      <c r="J316" t="n">
        <v>0</v>
      </c>
      <c r="K316" t="n">
        <v>0</v>
      </c>
      <c r="L316" t="n">
        <v>0</v>
      </c>
      <c r="M316" t="n">
        <v>0</v>
      </c>
      <c r="N316" t="n">
        <v>0</v>
      </c>
      <c r="O316" t="n">
        <v>0</v>
      </c>
      <c r="P316" t="n">
        <v>0</v>
      </c>
      <c r="Q316" t="n">
        <v>0</v>
      </c>
      <c r="R316" t="n">
        <v>0</v>
      </c>
      <c r="S316" t="n">
        <v>0</v>
      </c>
      <c r="T316" t="n">
        <v>0</v>
      </c>
      <c r="U316" s="2" t="inlineStr"/>
    </row>
    <row r="317" ht="15" customHeight="1">
      <c r="A317" t="inlineStr">
        <is>
          <t>A 34702-2024</t>
        </is>
      </c>
      <c r="B317" t="inlineStr">
        <is>
          <t>avverkningsanmälan</t>
        </is>
      </c>
      <c r="C317" t="inlineStr">
        <is>
          <t>Föryngringsavverkning</t>
        </is>
      </c>
      <c r="D317" s="1" t="n">
        <v>45526</v>
      </c>
      <c r="E317" s="1" t="n">
        <v>46219</v>
      </c>
      <c r="F317" t="inlineStr">
        <is>
          <t>NORRBOTTENS LÄN</t>
        </is>
      </c>
      <c r="G317" t="inlineStr">
        <is>
          <t>ÖVERTORNEÅ</t>
        </is>
      </c>
      <c r="I317" t="n">
        <v>5.6</v>
      </c>
      <c r="J317" t="n">
        <v>0</v>
      </c>
      <c r="K317" t="n">
        <v>0</v>
      </c>
      <c r="L317" t="n">
        <v>0</v>
      </c>
      <c r="M317" t="n">
        <v>0</v>
      </c>
      <c r="N317" t="n">
        <v>0</v>
      </c>
      <c r="O317" t="n">
        <v>0</v>
      </c>
      <c r="P317" t="n">
        <v>0</v>
      </c>
      <c r="Q317" t="n">
        <v>0</v>
      </c>
      <c r="R317" t="n">
        <v>0</v>
      </c>
      <c r="S317" t="n">
        <v>0</v>
      </c>
      <c r="T317" t="n">
        <v>0</v>
      </c>
      <c r="U317" s="2" t="inlineStr"/>
    </row>
    <row r="318" ht="15" customHeight="1">
      <c r="A318" t="inlineStr">
        <is>
          <t>A 24647-2024</t>
        </is>
      </c>
      <c r="B318" t="inlineStr">
        <is>
          <t>avverkningsanmälan</t>
        </is>
      </c>
      <c r="C318" t="inlineStr">
        <is>
          <t>Föryngringsavverkning</t>
        </is>
      </c>
      <c r="D318" s="1" t="n">
        <v>45460</v>
      </c>
      <c r="E318" s="1" t="n">
        <v>46219</v>
      </c>
      <c r="F318" t="inlineStr">
        <is>
          <t>NORRBOTTENS LÄN</t>
        </is>
      </c>
      <c r="G318" t="inlineStr">
        <is>
          <t>ÖVERTORNEÅ</t>
        </is>
      </c>
      <c r="H318" t="inlineStr">
        <is>
          <t>Sveaskog</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14264-2024</t>
        </is>
      </c>
      <c r="B319" t="inlineStr">
        <is>
          <t>avverkningsanmälan</t>
        </is>
      </c>
      <c r="C319" t="inlineStr">
        <is>
          <t>Avverkning för annat ändamål</t>
        </is>
      </c>
      <c r="D319" s="1" t="n">
        <v>45393</v>
      </c>
      <c r="E319" s="1" t="n">
        <v>46219</v>
      </c>
      <c r="F319" t="inlineStr">
        <is>
          <t>NORRBOTTENS LÄN</t>
        </is>
      </c>
      <c r="G319" t="inlineStr">
        <is>
          <t>ÖVERTORNEÅ</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6922-2026</t>
        </is>
      </c>
      <c r="B320" t="inlineStr">
        <is>
          <t>avverkningsanmälan</t>
        </is>
      </c>
      <c r="C320" t="inlineStr">
        <is>
          <t>Föryngringsavverkning</t>
        </is>
      </c>
      <c r="D320" s="1" t="n">
        <v>46057</v>
      </c>
      <c r="E320" s="1" t="n">
        <v>46219</v>
      </c>
      <c r="F320" t="inlineStr">
        <is>
          <t>NORRBOTTENS LÄN</t>
        </is>
      </c>
      <c r="G320" t="inlineStr">
        <is>
          <t>ÖVERTORNEÅ</t>
        </is>
      </c>
      <c r="I320" t="n">
        <v>7.3</v>
      </c>
      <c r="J320" t="n">
        <v>0</v>
      </c>
      <c r="K320" t="n">
        <v>0</v>
      </c>
      <c r="L320" t="n">
        <v>0</v>
      </c>
      <c r="M320" t="n">
        <v>0</v>
      </c>
      <c r="N320" t="n">
        <v>0</v>
      </c>
      <c r="O320" t="n">
        <v>0</v>
      </c>
      <c r="P320" t="n">
        <v>0</v>
      </c>
      <c r="Q320" t="n">
        <v>0</v>
      </c>
      <c r="R320" t="n">
        <v>0</v>
      </c>
      <c r="S320" t="n">
        <v>0</v>
      </c>
      <c r="T320" t="n">
        <v>0</v>
      </c>
      <c r="U320" s="2" t="inlineStr"/>
    </row>
    <row r="321" ht="15" customHeight="1">
      <c r="A321" t="inlineStr">
        <is>
          <t>A 32741-2024</t>
        </is>
      </c>
      <c r="B321" t="inlineStr">
        <is>
          <t>avverkningsanmälan</t>
        </is>
      </c>
      <c r="C321" t="inlineStr">
        <is>
          <t>Föryngringsavverkning</t>
        </is>
      </c>
      <c r="D321" s="1" t="n">
        <v>45516</v>
      </c>
      <c r="E321" s="1" t="n">
        <v>46219</v>
      </c>
      <c r="F321" t="inlineStr">
        <is>
          <t>NORRBOTTENS LÄN</t>
        </is>
      </c>
      <c r="G321" t="inlineStr">
        <is>
          <t>ÖVERTORNEÅ</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7539-2026</t>
        </is>
      </c>
      <c r="B322" t="inlineStr">
        <is>
          <t>avverkningsanmälan</t>
        </is>
      </c>
      <c r="C322" t="inlineStr">
        <is>
          <t>Föryngringsavverkning</t>
        </is>
      </c>
      <c r="D322" s="1" t="n">
        <v>46059</v>
      </c>
      <c r="E322" s="1" t="n">
        <v>46219</v>
      </c>
      <c r="F322" t="inlineStr">
        <is>
          <t>NORRBOTTENS LÄN</t>
        </is>
      </c>
      <c r="G322" t="inlineStr">
        <is>
          <t>ÖVERTORNEÅ</t>
        </is>
      </c>
      <c r="I322" t="n">
        <v>6.5</v>
      </c>
      <c r="J322" t="n">
        <v>0</v>
      </c>
      <c r="K322" t="n">
        <v>0</v>
      </c>
      <c r="L322" t="n">
        <v>0</v>
      </c>
      <c r="M322" t="n">
        <v>0</v>
      </c>
      <c r="N322" t="n">
        <v>0</v>
      </c>
      <c r="O322" t="n">
        <v>0</v>
      </c>
      <c r="P322" t="n">
        <v>0</v>
      </c>
      <c r="Q322" t="n">
        <v>0</v>
      </c>
      <c r="R322" t="n">
        <v>0</v>
      </c>
      <c r="S322" t="n">
        <v>0</v>
      </c>
      <c r="T322" t="n">
        <v>0</v>
      </c>
      <c r="U322" s="2" t="inlineStr"/>
    </row>
    <row r="323" ht="15" customHeight="1">
      <c r="A323" t="inlineStr">
        <is>
          <t>A 7804-2026</t>
        </is>
      </c>
      <c r="B323" t="inlineStr">
        <is>
          <t>avverkningsanmälan</t>
        </is>
      </c>
      <c r="C323" t="inlineStr">
        <is>
          <t>Föryngringsavverkning</t>
        </is>
      </c>
      <c r="D323" s="1" t="n">
        <v>46062</v>
      </c>
      <c r="E323" s="1" t="n">
        <v>46219</v>
      </c>
      <c r="F323" t="inlineStr">
        <is>
          <t>NORRBOTTENS LÄN</t>
        </is>
      </c>
      <c r="G323" t="inlineStr">
        <is>
          <t>ÖVERTORNEÅ</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8062-2026</t>
        </is>
      </c>
      <c r="B324" t="inlineStr">
        <is>
          <t>avverkningsanmälan</t>
        </is>
      </c>
      <c r="C324" t="inlineStr">
        <is>
          <t>Föryngringsavverkning</t>
        </is>
      </c>
      <c r="D324" s="1" t="n">
        <v>46062</v>
      </c>
      <c r="E324" s="1" t="n">
        <v>46219</v>
      </c>
      <c r="F324" t="inlineStr">
        <is>
          <t>NORRBOTTENS LÄN</t>
        </is>
      </c>
      <c r="G324" t="inlineStr">
        <is>
          <t>ÖVERTORNEÅ</t>
        </is>
      </c>
      <c r="I324" t="n">
        <v>6.8</v>
      </c>
      <c r="J324" t="n">
        <v>0</v>
      </c>
      <c r="K324" t="n">
        <v>0</v>
      </c>
      <c r="L324" t="n">
        <v>0</v>
      </c>
      <c r="M324" t="n">
        <v>0</v>
      </c>
      <c r="N324" t="n">
        <v>0</v>
      </c>
      <c r="O324" t="n">
        <v>0</v>
      </c>
      <c r="P324" t="n">
        <v>0</v>
      </c>
      <c r="Q324" t="n">
        <v>0</v>
      </c>
      <c r="R324" t="n">
        <v>0</v>
      </c>
      <c r="S324" t="n">
        <v>0</v>
      </c>
      <c r="T324" t="n">
        <v>0</v>
      </c>
      <c r="U324" s="2" t="inlineStr"/>
    </row>
    <row r="325" ht="15" customHeight="1">
      <c r="A325" t="inlineStr">
        <is>
          <t>A 7534-2026</t>
        </is>
      </c>
      <c r="B325" t="inlineStr">
        <is>
          <t>avverkningsanmälan</t>
        </is>
      </c>
      <c r="C325" t="inlineStr">
        <is>
          <t>Föryngringsavverkning</t>
        </is>
      </c>
      <c r="D325" s="1" t="n">
        <v>46059</v>
      </c>
      <c r="E325" s="1" t="n">
        <v>46219</v>
      </c>
      <c r="F325" t="inlineStr">
        <is>
          <t>NORRBOTTENS LÄN</t>
        </is>
      </c>
      <c r="G325" t="inlineStr">
        <is>
          <t>ÖVERTORNEÅ</t>
        </is>
      </c>
      <c r="I325" t="n">
        <v>3.2</v>
      </c>
      <c r="J325" t="n">
        <v>0</v>
      </c>
      <c r="K325" t="n">
        <v>0</v>
      </c>
      <c r="L325" t="n">
        <v>0</v>
      </c>
      <c r="M325" t="n">
        <v>0</v>
      </c>
      <c r="N325" t="n">
        <v>0</v>
      </c>
      <c r="O325" t="n">
        <v>0</v>
      </c>
      <c r="P325" t="n">
        <v>0</v>
      </c>
      <c r="Q325" t="n">
        <v>0</v>
      </c>
      <c r="R325" t="n">
        <v>0</v>
      </c>
      <c r="S325" t="n">
        <v>0</v>
      </c>
      <c r="T325" t="n">
        <v>0</v>
      </c>
      <c r="U325" s="2" t="inlineStr"/>
    </row>
    <row r="326" ht="15" customHeight="1">
      <c r="A326" t="inlineStr">
        <is>
          <t>A 7536-2026</t>
        </is>
      </c>
      <c r="B326" t="inlineStr">
        <is>
          <t>avverkningsanmälan</t>
        </is>
      </c>
      <c r="C326" t="inlineStr">
        <is>
          <t>Föryngringsavverkning</t>
        </is>
      </c>
      <c r="D326" s="1" t="n">
        <v>46059</v>
      </c>
      <c r="E326" s="1" t="n">
        <v>46219</v>
      </c>
      <c r="F326" t="inlineStr">
        <is>
          <t>NORRBOTTENS LÄN</t>
        </is>
      </c>
      <c r="G326" t="inlineStr">
        <is>
          <t>ÖVERTORNEÅ</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19358-2022</t>
        </is>
      </c>
      <c r="B327" t="inlineStr">
        <is>
          <t>avverkningsanmälan</t>
        </is>
      </c>
      <c r="C327" t="inlineStr">
        <is>
          <t>Avverkning för annat ändamål</t>
        </is>
      </c>
      <c r="D327" s="1" t="n">
        <v>44692</v>
      </c>
      <c r="E327" s="1" t="n">
        <v>46219</v>
      </c>
      <c r="F327" t="inlineStr">
        <is>
          <t>NORRBOTTENS LÄN</t>
        </is>
      </c>
      <c r="G327" t="inlineStr">
        <is>
          <t>ÖVERTORNEÅ</t>
        </is>
      </c>
      <c r="H327" t="inlineStr">
        <is>
          <t>Sveaskog</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7505-2025</t>
        </is>
      </c>
      <c r="B328" t="inlineStr">
        <is>
          <t>avverkningsanmälan</t>
        </is>
      </c>
      <c r="C328" t="inlineStr">
        <is>
          <t>Föryngringsavverkning</t>
        </is>
      </c>
      <c r="D328" s="1" t="n">
        <v>45705</v>
      </c>
      <c r="E328" s="1" t="n">
        <v>46219</v>
      </c>
      <c r="F328" t="inlineStr">
        <is>
          <t>NORRBOTTENS LÄN</t>
        </is>
      </c>
      <c r="G328" t="inlineStr">
        <is>
          <t>ÖVERTORNEÅ</t>
        </is>
      </c>
      <c r="I328" t="n">
        <v>8.6</v>
      </c>
      <c r="J328" t="n">
        <v>0</v>
      </c>
      <c r="K328" t="n">
        <v>0</v>
      </c>
      <c r="L328" t="n">
        <v>0</v>
      </c>
      <c r="M328" t="n">
        <v>0</v>
      </c>
      <c r="N328" t="n">
        <v>0</v>
      </c>
      <c r="O328" t="n">
        <v>0</v>
      </c>
      <c r="P328" t="n">
        <v>0</v>
      </c>
      <c r="Q328" t="n">
        <v>0</v>
      </c>
      <c r="R328" t="n">
        <v>0</v>
      </c>
      <c r="S328" t="n">
        <v>0</v>
      </c>
      <c r="T328" t="n">
        <v>0</v>
      </c>
      <c r="U328" s="2" t="inlineStr"/>
    </row>
    <row r="329" ht="15" customHeight="1">
      <c r="A329" t="inlineStr">
        <is>
          <t>A 46037-2021</t>
        </is>
      </c>
      <c r="B329" t="inlineStr">
        <is>
          <t>avverkningsanmälan</t>
        </is>
      </c>
      <c r="C329" t="inlineStr">
        <is>
          <t>Föryngringsavverkning</t>
        </is>
      </c>
      <c r="D329" s="1" t="n">
        <v>44441</v>
      </c>
      <c r="E329" s="1" t="n">
        <v>46219</v>
      </c>
      <c r="F329" t="inlineStr">
        <is>
          <t>NORRBOTTENS LÄN</t>
        </is>
      </c>
      <c r="G329" t="inlineStr">
        <is>
          <t>ÖVERTORNEÅ</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25149-2022</t>
        </is>
      </c>
      <c r="B330" t="inlineStr">
        <is>
          <t>avverkningsanmälan</t>
        </is>
      </c>
      <c r="C330" t="inlineStr">
        <is>
          <t>Föryngringsavverkning</t>
        </is>
      </c>
      <c r="D330" s="1" t="n">
        <v>44729</v>
      </c>
      <c r="E330" s="1" t="n">
        <v>46219</v>
      </c>
      <c r="F330" t="inlineStr">
        <is>
          <t>NORRBOTTENS LÄN</t>
        </is>
      </c>
      <c r="G330" t="inlineStr">
        <is>
          <t>ÖVERTORNEÅ</t>
        </is>
      </c>
      <c r="I330" t="n">
        <v>7</v>
      </c>
      <c r="J330" t="n">
        <v>0</v>
      </c>
      <c r="K330" t="n">
        <v>0</v>
      </c>
      <c r="L330" t="n">
        <v>0</v>
      </c>
      <c r="M330" t="n">
        <v>0</v>
      </c>
      <c r="N330" t="n">
        <v>0</v>
      </c>
      <c r="O330" t="n">
        <v>0</v>
      </c>
      <c r="P330" t="n">
        <v>0</v>
      </c>
      <c r="Q330" t="n">
        <v>0</v>
      </c>
      <c r="R330" t="n">
        <v>0</v>
      </c>
      <c r="S330" t="n">
        <v>0</v>
      </c>
      <c r="T330" t="n">
        <v>0</v>
      </c>
      <c r="U330" s="2" t="inlineStr"/>
    </row>
    <row r="331" ht="15" customHeight="1">
      <c r="A331" t="inlineStr">
        <is>
          <t>A 23613-2025</t>
        </is>
      </c>
      <c r="B331" t="inlineStr">
        <is>
          <t>avverkningsanmälan</t>
        </is>
      </c>
      <c r="C331" t="inlineStr">
        <is>
          <t>Föryngringsavverkning</t>
        </is>
      </c>
      <c r="D331" s="1" t="n">
        <v>45792</v>
      </c>
      <c r="E331" s="1" t="n">
        <v>46219</v>
      </c>
      <c r="F331" t="inlineStr">
        <is>
          <t>NORRBOTTENS LÄN</t>
        </is>
      </c>
      <c r="G331" t="inlineStr">
        <is>
          <t>ÖVERTORNEÅ</t>
        </is>
      </c>
      <c r="I331" t="n">
        <v>2.6</v>
      </c>
      <c r="J331" t="n">
        <v>0</v>
      </c>
      <c r="K331" t="n">
        <v>0</v>
      </c>
      <c r="L331" t="n">
        <v>0</v>
      </c>
      <c r="M331" t="n">
        <v>0</v>
      </c>
      <c r="N331" t="n">
        <v>0</v>
      </c>
      <c r="O331" t="n">
        <v>0</v>
      </c>
      <c r="P331" t="n">
        <v>0</v>
      </c>
      <c r="Q331" t="n">
        <v>0</v>
      </c>
      <c r="R331" t="n">
        <v>0</v>
      </c>
      <c r="S331" t="n">
        <v>0</v>
      </c>
      <c r="T331" t="n">
        <v>0</v>
      </c>
      <c r="U331" s="2" t="inlineStr"/>
    </row>
    <row r="332" ht="15" customHeight="1">
      <c r="A332" t="inlineStr">
        <is>
          <t>A 6423-2025</t>
        </is>
      </c>
      <c r="B332" t="inlineStr">
        <is>
          <t>avverkningsanmälan</t>
        </is>
      </c>
      <c r="C332" t="inlineStr">
        <is>
          <t>Föryngringsavverkning</t>
        </is>
      </c>
      <c r="D332" s="1" t="n">
        <v>45699</v>
      </c>
      <c r="E332" s="1" t="n">
        <v>46219</v>
      </c>
      <c r="F332" t="inlineStr">
        <is>
          <t>NORRBOTTENS LÄN</t>
        </is>
      </c>
      <c r="G332" t="inlineStr">
        <is>
          <t>ÖVERTORNEÅ</t>
        </is>
      </c>
      <c r="I332" t="n">
        <v>16.5</v>
      </c>
      <c r="J332" t="n">
        <v>0</v>
      </c>
      <c r="K332" t="n">
        <v>0</v>
      </c>
      <c r="L332" t="n">
        <v>0</v>
      </c>
      <c r="M332" t="n">
        <v>0</v>
      </c>
      <c r="N332" t="n">
        <v>0</v>
      </c>
      <c r="O332" t="n">
        <v>0</v>
      </c>
      <c r="P332" t="n">
        <v>0</v>
      </c>
      <c r="Q332" t="n">
        <v>0</v>
      </c>
      <c r="R332" t="n">
        <v>0</v>
      </c>
      <c r="S332" t="n">
        <v>0</v>
      </c>
      <c r="T332" t="n">
        <v>0</v>
      </c>
      <c r="U332" s="2" t="inlineStr"/>
    </row>
    <row r="333" ht="15" customHeight="1">
      <c r="A333" t="inlineStr">
        <is>
          <t>A 16471-2022</t>
        </is>
      </c>
      <c r="B333" t="inlineStr">
        <is>
          <t>avverkningsanmälan</t>
        </is>
      </c>
      <c r="C333" t="inlineStr">
        <is>
          <t>Föryngringsavverkning</t>
        </is>
      </c>
      <c r="D333" s="1" t="n">
        <v>44671</v>
      </c>
      <c r="E333" s="1" t="n">
        <v>46219</v>
      </c>
      <c r="F333" t="inlineStr">
        <is>
          <t>NORRBOTTENS LÄN</t>
        </is>
      </c>
      <c r="G333" t="inlineStr">
        <is>
          <t>ÖVERTORNEÅ</t>
        </is>
      </c>
      <c r="I333" t="n">
        <v>4.2</v>
      </c>
      <c r="J333" t="n">
        <v>0</v>
      </c>
      <c r="K333" t="n">
        <v>0</v>
      </c>
      <c r="L333" t="n">
        <v>0</v>
      </c>
      <c r="M333" t="n">
        <v>0</v>
      </c>
      <c r="N333" t="n">
        <v>0</v>
      </c>
      <c r="O333" t="n">
        <v>0</v>
      </c>
      <c r="P333" t="n">
        <v>0</v>
      </c>
      <c r="Q333" t="n">
        <v>0</v>
      </c>
      <c r="R333" t="n">
        <v>0</v>
      </c>
      <c r="S333" t="n">
        <v>0</v>
      </c>
      <c r="T333" t="n">
        <v>0</v>
      </c>
      <c r="U333" s="2" t="inlineStr"/>
    </row>
    <row r="334" ht="15" customHeight="1">
      <c r="A334" t="inlineStr">
        <is>
          <t>A 16566-2022</t>
        </is>
      </c>
      <c r="B334" t="inlineStr">
        <is>
          <t>avverkningsanmälan</t>
        </is>
      </c>
      <c r="C334" t="inlineStr">
        <is>
          <t>Avverkning för annat ändamål</t>
        </is>
      </c>
      <c r="D334" s="1" t="n">
        <v>44672</v>
      </c>
      <c r="E334" s="1" t="n">
        <v>46219</v>
      </c>
      <c r="F334" t="inlineStr">
        <is>
          <t>NORRBOTTENS LÄN</t>
        </is>
      </c>
      <c r="G334" t="inlineStr">
        <is>
          <t>ÖVERTORNEÅ</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38500-2021</t>
        </is>
      </c>
      <c r="B335" t="inlineStr">
        <is>
          <t>avverkningsanmälan</t>
        </is>
      </c>
      <c r="C335" t="inlineStr">
        <is>
          <t>Föryngringsavverkning</t>
        </is>
      </c>
      <c r="D335" s="1" t="n">
        <v>44406</v>
      </c>
      <c r="E335" s="1" t="n">
        <v>46219</v>
      </c>
      <c r="F335" t="inlineStr">
        <is>
          <t>NORRBOTTENS LÄN</t>
        </is>
      </c>
      <c r="G335" t="inlineStr">
        <is>
          <t>ÖVERTORNEÅ</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28658-2022</t>
        </is>
      </c>
      <c r="B336" t="inlineStr">
        <is>
          <t>avverkningsanmälan</t>
        </is>
      </c>
      <c r="C336" t="inlineStr">
        <is>
          <t>Föryngringsavverkning</t>
        </is>
      </c>
      <c r="D336" s="1" t="n">
        <v>44748</v>
      </c>
      <c r="E336" s="1" t="n">
        <v>46219</v>
      </c>
      <c r="F336" t="inlineStr">
        <is>
          <t>NORRBOTTENS LÄN</t>
        </is>
      </c>
      <c r="G336" t="inlineStr">
        <is>
          <t>ÖVERTORNEÅ</t>
        </is>
      </c>
      <c r="I336" t="n">
        <v>2.9</v>
      </c>
      <c r="J336" t="n">
        <v>0</v>
      </c>
      <c r="K336" t="n">
        <v>0</v>
      </c>
      <c r="L336" t="n">
        <v>0</v>
      </c>
      <c r="M336" t="n">
        <v>0</v>
      </c>
      <c r="N336" t="n">
        <v>0</v>
      </c>
      <c r="O336" t="n">
        <v>0</v>
      </c>
      <c r="P336" t="n">
        <v>0</v>
      </c>
      <c r="Q336" t="n">
        <v>0</v>
      </c>
      <c r="R336" t="n">
        <v>0</v>
      </c>
      <c r="S336" t="n">
        <v>0</v>
      </c>
      <c r="T336" t="n">
        <v>0</v>
      </c>
      <c r="U336" s="2" t="inlineStr"/>
    </row>
    <row r="337" ht="15" customHeight="1">
      <c r="A337" t="inlineStr">
        <is>
          <t>A 63475-2023</t>
        </is>
      </c>
      <c r="B337" t="inlineStr">
        <is>
          <t>avverkningsanmälan</t>
        </is>
      </c>
      <c r="C337" t="inlineStr">
        <is>
          <t>Föryngringsavverkning</t>
        </is>
      </c>
      <c r="D337" s="1" t="n">
        <v>45274</v>
      </c>
      <c r="E337" s="1" t="n">
        <v>46219</v>
      </c>
      <c r="F337" t="inlineStr">
        <is>
          <t>NORRBOTTENS LÄN</t>
        </is>
      </c>
      <c r="G337" t="inlineStr">
        <is>
          <t>ÖVERTORNEÅ</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23423-2025</t>
        </is>
      </c>
      <c r="B338" t="inlineStr">
        <is>
          <t>avverkningsanmälan</t>
        </is>
      </c>
      <c r="C338" t="inlineStr">
        <is>
          <t>Föryngringsavverkning</t>
        </is>
      </c>
      <c r="D338" s="1" t="n">
        <v>45792</v>
      </c>
      <c r="E338" s="1" t="n">
        <v>46219</v>
      </c>
      <c r="F338" t="inlineStr">
        <is>
          <t>NORRBOTTENS LÄN</t>
        </is>
      </c>
      <c r="G338" t="inlineStr">
        <is>
          <t>ÖVERTORNEÅ</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10921-2026</t>
        </is>
      </c>
      <c r="B339" t="inlineStr">
        <is>
          <t>avverkningsanmälan</t>
        </is>
      </c>
      <c r="C339" t="inlineStr">
        <is>
          <t>Föryngringsavverkning</t>
        </is>
      </c>
      <c r="D339" s="1" t="n">
        <v>46079</v>
      </c>
      <c r="E339" s="1" t="n">
        <v>46219</v>
      </c>
      <c r="F339" t="inlineStr">
        <is>
          <t>NORRBOTTENS LÄN</t>
        </is>
      </c>
      <c r="G339" t="inlineStr">
        <is>
          <t>ÖVERTORNEÅ</t>
        </is>
      </c>
      <c r="I339" t="n">
        <v>5.4</v>
      </c>
      <c r="J339" t="n">
        <v>0</v>
      </c>
      <c r="K339" t="n">
        <v>0</v>
      </c>
      <c r="L339" t="n">
        <v>0</v>
      </c>
      <c r="M339" t="n">
        <v>0</v>
      </c>
      <c r="N339" t="n">
        <v>0</v>
      </c>
      <c r="O339" t="n">
        <v>0</v>
      </c>
      <c r="P339" t="n">
        <v>0</v>
      </c>
      <c r="Q339" t="n">
        <v>0</v>
      </c>
      <c r="R339" t="n">
        <v>0</v>
      </c>
      <c r="S339" t="n">
        <v>0</v>
      </c>
      <c r="T339" t="n">
        <v>0</v>
      </c>
      <c r="U339" s="2" t="inlineStr"/>
    </row>
    <row r="340" ht="15" customHeight="1">
      <c r="A340" t="inlineStr">
        <is>
          <t>A 24644-2024</t>
        </is>
      </c>
      <c r="B340" t="inlineStr">
        <is>
          <t>avverkningsanmälan</t>
        </is>
      </c>
      <c r="C340" t="inlineStr">
        <is>
          <t>Föryngringsavverkning</t>
        </is>
      </c>
      <c r="D340" s="1" t="n">
        <v>45460</v>
      </c>
      <c r="E340" s="1" t="n">
        <v>46219</v>
      </c>
      <c r="F340" t="inlineStr">
        <is>
          <t>NORRBOTTENS LÄN</t>
        </is>
      </c>
      <c r="G340" t="inlineStr">
        <is>
          <t>ÖVERTORNEÅ</t>
        </is>
      </c>
      <c r="H340" t="inlineStr">
        <is>
          <t>Sveaskog</t>
        </is>
      </c>
      <c r="I340" t="n">
        <v>5.4</v>
      </c>
      <c r="J340" t="n">
        <v>0</v>
      </c>
      <c r="K340" t="n">
        <v>0</v>
      </c>
      <c r="L340" t="n">
        <v>0</v>
      </c>
      <c r="M340" t="n">
        <v>0</v>
      </c>
      <c r="N340" t="n">
        <v>0</v>
      </c>
      <c r="O340" t="n">
        <v>0</v>
      </c>
      <c r="P340" t="n">
        <v>0</v>
      </c>
      <c r="Q340" t="n">
        <v>0</v>
      </c>
      <c r="R340" t="n">
        <v>0</v>
      </c>
      <c r="S340" t="n">
        <v>0</v>
      </c>
      <c r="T340" t="n">
        <v>0</v>
      </c>
      <c r="U340" s="2" t="inlineStr"/>
    </row>
    <row r="341" ht="15" customHeight="1">
      <c r="A341" t="inlineStr">
        <is>
          <t>A 11280-2026</t>
        </is>
      </c>
      <c r="B341" t="inlineStr">
        <is>
          <t>avverkningsanmälan</t>
        </is>
      </c>
      <c r="C341" t="inlineStr">
        <is>
          <t>Föryngringsavverkning</t>
        </is>
      </c>
      <c r="D341" s="1" t="n">
        <v>46080</v>
      </c>
      <c r="E341" s="1" t="n">
        <v>46219</v>
      </c>
      <c r="F341" t="inlineStr">
        <is>
          <t>NORRBOTTENS LÄN</t>
        </is>
      </c>
      <c r="G341" t="inlineStr">
        <is>
          <t>ÖVERTORNEÅ</t>
        </is>
      </c>
      <c r="I341" t="n">
        <v>7.8</v>
      </c>
      <c r="J341" t="n">
        <v>0</v>
      </c>
      <c r="K341" t="n">
        <v>0</v>
      </c>
      <c r="L341" t="n">
        <v>0</v>
      </c>
      <c r="M341" t="n">
        <v>0</v>
      </c>
      <c r="N341" t="n">
        <v>0</v>
      </c>
      <c r="O341" t="n">
        <v>0</v>
      </c>
      <c r="P341" t="n">
        <v>0</v>
      </c>
      <c r="Q341" t="n">
        <v>0</v>
      </c>
      <c r="R341" t="n">
        <v>0</v>
      </c>
      <c r="S341" t="n">
        <v>0</v>
      </c>
      <c r="T341" t="n">
        <v>0</v>
      </c>
      <c r="U341" s="2" t="inlineStr"/>
    </row>
    <row r="342" ht="15" customHeight="1">
      <c r="A342" t="inlineStr">
        <is>
          <t>A 11203-2026</t>
        </is>
      </c>
      <c r="B342" t="inlineStr">
        <is>
          <t>avverkningsanmälan</t>
        </is>
      </c>
      <c r="C342" t="inlineStr">
        <is>
          <t>Föryngringsavverkning</t>
        </is>
      </c>
      <c r="D342" s="1" t="n">
        <v>46080</v>
      </c>
      <c r="E342" s="1" t="n">
        <v>46219</v>
      </c>
      <c r="F342" t="inlineStr">
        <is>
          <t>NORRBOTTENS LÄN</t>
        </is>
      </c>
      <c r="G342" t="inlineStr">
        <is>
          <t>ÖVERTORNEÅ</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12456-2026</t>
        </is>
      </c>
      <c r="B343" t="inlineStr">
        <is>
          <t>avverkningsanmälan</t>
        </is>
      </c>
      <c r="C343" t="inlineStr">
        <is>
          <t>Föryngringsavverkning</t>
        </is>
      </c>
      <c r="D343" s="1" t="n">
        <v>46090</v>
      </c>
      <c r="E343" s="1" t="n">
        <v>46219</v>
      </c>
      <c r="F343" t="inlineStr">
        <is>
          <t>NORRBOTTENS LÄN</t>
        </is>
      </c>
      <c r="G343" t="inlineStr">
        <is>
          <t>ÖVERTORNEÅ</t>
        </is>
      </c>
      <c r="I343" t="n">
        <v>3.9</v>
      </c>
      <c r="J343" t="n">
        <v>0</v>
      </c>
      <c r="K343" t="n">
        <v>0</v>
      </c>
      <c r="L343" t="n">
        <v>0</v>
      </c>
      <c r="M343" t="n">
        <v>0</v>
      </c>
      <c r="N343" t="n">
        <v>0</v>
      </c>
      <c r="O343" t="n">
        <v>0</v>
      </c>
      <c r="P343" t="n">
        <v>0</v>
      </c>
      <c r="Q343" t="n">
        <v>0</v>
      </c>
      <c r="R343" t="n">
        <v>0</v>
      </c>
      <c r="S343" t="n">
        <v>0</v>
      </c>
      <c r="T343" t="n">
        <v>0</v>
      </c>
      <c r="U343" s="2" t="inlineStr"/>
    </row>
    <row r="344" ht="15" customHeight="1">
      <c r="A344" t="inlineStr">
        <is>
          <t>A 35218-2022</t>
        </is>
      </c>
      <c r="B344" t="inlineStr">
        <is>
          <t>avverkningsanmälan</t>
        </is>
      </c>
      <c r="C344" t="inlineStr">
        <is>
          <t>Föryngringsavverkning</t>
        </is>
      </c>
      <c r="D344" s="1" t="n">
        <v>44797</v>
      </c>
      <c r="E344" s="1" t="n">
        <v>46219</v>
      </c>
      <c r="F344" t="inlineStr">
        <is>
          <t>NORRBOTTENS LÄN</t>
        </is>
      </c>
      <c r="G344" t="inlineStr">
        <is>
          <t>ÖVERTORNEÅ</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23196-2024</t>
        </is>
      </c>
      <c r="B345" t="inlineStr">
        <is>
          <t>avverkningsanmälan</t>
        </is>
      </c>
      <c r="C345" t="inlineStr">
        <is>
          <t>Föryngringsavverkning</t>
        </is>
      </c>
      <c r="D345" s="1" t="n">
        <v>45451</v>
      </c>
      <c r="E345" s="1" t="n">
        <v>46219</v>
      </c>
      <c r="F345" t="inlineStr">
        <is>
          <t>NORRBOTTENS LÄN</t>
        </is>
      </c>
      <c r="G345" t="inlineStr">
        <is>
          <t>ÖVERTORNEÅ</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46026-2021</t>
        </is>
      </c>
      <c r="B346" t="inlineStr">
        <is>
          <t>avverkningsanmälan</t>
        </is>
      </c>
      <c r="C346" t="inlineStr">
        <is>
          <t>Föryngringsavverkning</t>
        </is>
      </c>
      <c r="D346" s="1" t="n">
        <v>44441</v>
      </c>
      <c r="E346" s="1" t="n">
        <v>46219</v>
      </c>
      <c r="F346" t="inlineStr">
        <is>
          <t>NORRBOTTENS LÄN</t>
        </is>
      </c>
      <c r="G346" t="inlineStr">
        <is>
          <t>ÖVERTORNEÅ</t>
        </is>
      </c>
      <c r="I346" t="n">
        <v>2.9</v>
      </c>
      <c r="J346" t="n">
        <v>0</v>
      </c>
      <c r="K346" t="n">
        <v>0</v>
      </c>
      <c r="L346" t="n">
        <v>0</v>
      </c>
      <c r="M346" t="n">
        <v>0</v>
      </c>
      <c r="N346" t="n">
        <v>0</v>
      </c>
      <c r="O346" t="n">
        <v>0</v>
      </c>
      <c r="P346" t="n">
        <v>0</v>
      </c>
      <c r="Q346" t="n">
        <v>0</v>
      </c>
      <c r="R346" t="n">
        <v>0</v>
      </c>
      <c r="S346" t="n">
        <v>0</v>
      </c>
      <c r="T346" t="n">
        <v>0</v>
      </c>
      <c r="U346" s="2" t="inlineStr"/>
    </row>
    <row r="347" ht="15" customHeight="1">
      <c r="A347" t="inlineStr">
        <is>
          <t>A 46035-2021</t>
        </is>
      </c>
      <c r="B347" t="inlineStr">
        <is>
          <t>avverkningsanmälan</t>
        </is>
      </c>
      <c r="C347" t="inlineStr">
        <is>
          <t>Föryngringsavverkning</t>
        </is>
      </c>
      <c r="D347" s="1" t="n">
        <v>44441</v>
      </c>
      <c r="E347" s="1" t="n">
        <v>46219</v>
      </c>
      <c r="F347" t="inlineStr">
        <is>
          <t>NORRBOTTENS LÄN</t>
        </is>
      </c>
      <c r="G347" t="inlineStr">
        <is>
          <t>ÖVERTORNEÅ</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13371-2026</t>
        </is>
      </c>
      <c r="B348" t="inlineStr">
        <is>
          <t>avverkningsanmälan</t>
        </is>
      </c>
      <c r="C348" t="inlineStr">
        <is>
          <t>Föryngringsavverkning</t>
        </is>
      </c>
      <c r="D348" s="1" t="n">
        <v>46094</v>
      </c>
      <c r="E348" s="1" t="n">
        <v>46219</v>
      </c>
      <c r="F348" t="inlineStr">
        <is>
          <t>NORRBOTTENS LÄN</t>
        </is>
      </c>
      <c r="G348" t="inlineStr">
        <is>
          <t>ÖVERTORNEÅ</t>
        </is>
      </c>
      <c r="I348" t="n">
        <v>6.9</v>
      </c>
      <c r="J348" t="n">
        <v>0</v>
      </c>
      <c r="K348" t="n">
        <v>0</v>
      </c>
      <c r="L348" t="n">
        <v>0</v>
      </c>
      <c r="M348" t="n">
        <v>0</v>
      </c>
      <c r="N348" t="n">
        <v>0</v>
      </c>
      <c r="O348" t="n">
        <v>0</v>
      </c>
      <c r="P348" t="n">
        <v>0</v>
      </c>
      <c r="Q348" t="n">
        <v>0</v>
      </c>
      <c r="R348" t="n">
        <v>0</v>
      </c>
      <c r="S348" t="n">
        <v>0</v>
      </c>
      <c r="T348" t="n">
        <v>0</v>
      </c>
      <c r="U348" s="2" t="inlineStr"/>
    </row>
    <row r="349" ht="15" customHeight="1">
      <c r="A349" t="inlineStr">
        <is>
          <t>A 13374-2026</t>
        </is>
      </c>
      <c r="B349" t="inlineStr">
        <is>
          <t>avverkningsanmälan</t>
        </is>
      </c>
      <c r="C349" t="inlineStr">
        <is>
          <t>Föryngringsavverkning</t>
        </is>
      </c>
      <c r="D349" s="1" t="n">
        <v>46094</v>
      </c>
      <c r="E349" s="1" t="n">
        <v>46219</v>
      </c>
      <c r="F349" t="inlineStr">
        <is>
          <t>NORRBOTTENS LÄN</t>
        </is>
      </c>
      <c r="G349" t="inlineStr">
        <is>
          <t>ÖVERTORNEÅ</t>
        </is>
      </c>
      <c r="I349" t="n">
        <v>3.5</v>
      </c>
      <c r="J349" t="n">
        <v>0</v>
      </c>
      <c r="K349" t="n">
        <v>0</v>
      </c>
      <c r="L349" t="n">
        <v>0</v>
      </c>
      <c r="M349" t="n">
        <v>0</v>
      </c>
      <c r="N349" t="n">
        <v>0</v>
      </c>
      <c r="O349" t="n">
        <v>0</v>
      </c>
      <c r="P349" t="n">
        <v>0</v>
      </c>
      <c r="Q349" t="n">
        <v>0</v>
      </c>
      <c r="R349" t="n">
        <v>0</v>
      </c>
      <c r="S349" t="n">
        <v>0</v>
      </c>
      <c r="T349" t="n">
        <v>0</v>
      </c>
      <c r="U349" s="2" t="inlineStr"/>
    </row>
    <row r="350" ht="15" customHeight="1">
      <c r="A350" t="inlineStr">
        <is>
          <t>A 13383-2026</t>
        </is>
      </c>
      <c r="B350" t="inlineStr">
        <is>
          <t>avverkningsanmälan</t>
        </is>
      </c>
      <c r="C350" t="inlineStr">
        <is>
          <t>Föryngringsavverkning</t>
        </is>
      </c>
      <c r="D350" s="1" t="n">
        <v>46094</v>
      </c>
      <c r="E350" s="1" t="n">
        <v>46219</v>
      </c>
      <c r="F350" t="inlineStr">
        <is>
          <t>NORRBOTTENS LÄN</t>
        </is>
      </c>
      <c r="G350" t="inlineStr">
        <is>
          <t>ÖVERTORNEÅ</t>
        </is>
      </c>
      <c r="I350" t="n">
        <v>16.5</v>
      </c>
      <c r="J350" t="n">
        <v>0</v>
      </c>
      <c r="K350" t="n">
        <v>0</v>
      </c>
      <c r="L350" t="n">
        <v>0</v>
      </c>
      <c r="M350" t="n">
        <v>0</v>
      </c>
      <c r="N350" t="n">
        <v>0</v>
      </c>
      <c r="O350" t="n">
        <v>0</v>
      </c>
      <c r="P350" t="n">
        <v>0</v>
      </c>
      <c r="Q350" t="n">
        <v>0</v>
      </c>
      <c r="R350" t="n">
        <v>0</v>
      </c>
      <c r="S350" t="n">
        <v>0</v>
      </c>
      <c r="T350" t="n">
        <v>0</v>
      </c>
      <c r="U350" s="2" t="inlineStr"/>
    </row>
    <row r="351" ht="15" customHeight="1">
      <c r="A351" t="inlineStr">
        <is>
          <t>A 25245-2025</t>
        </is>
      </c>
      <c r="B351" t="inlineStr">
        <is>
          <t>avverkningsanmälan</t>
        </is>
      </c>
      <c r="C351" t="inlineStr">
        <is>
          <t>Föryngringsavverkning</t>
        </is>
      </c>
      <c r="D351" s="1" t="n">
        <v>45799</v>
      </c>
      <c r="E351" s="1" t="n">
        <v>46219</v>
      </c>
      <c r="F351" t="inlineStr">
        <is>
          <t>NORRBOTTENS LÄN</t>
        </is>
      </c>
      <c r="G351" t="inlineStr">
        <is>
          <t>ÖVERTORNEÅ</t>
        </is>
      </c>
      <c r="I351" t="n">
        <v>3.1</v>
      </c>
      <c r="J351" t="n">
        <v>0</v>
      </c>
      <c r="K351" t="n">
        <v>0</v>
      </c>
      <c r="L351" t="n">
        <v>0</v>
      </c>
      <c r="M351" t="n">
        <v>0</v>
      </c>
      <c r="N351" t="n">
        <v>0</v>
      </c>
      <c r="O351" t="n">
        <v>0</v>
      </c>
      <c r="P351" t="n">
        <v>0</v>
      </c>
      <c r="Q351" t="n">
        <v>0</v>
      </c>
      <c r="R351" t="n">
        <v>0</v>
      </c>
      <c r="S351" t="n">
        <v>0</v>
      </c>
      <c r="T351" t="n">
        <v>0</v>
      </c>
      <c r="U351" s="2" t="inlineStr"/>
    </row>
    <row r="352" ht="15" customHeight="1">
      <c r="A352" t="inlineStr">
        <is>
          <t>A 14418-2026</t>
        </is>
      </c>
      <c r="B352" t="inlineStr">
        <is>
          <t>avverkningsanmälan</t>
        </is>
      </c>
      <c r="C352" t="inlineStr">
        <is>
          <t>Föryngringsavverkning</t>
        </is>
      </c>
      <c r="D352" s="1" t="n">
        <v>46100</v>
      </c>
      <c r="E352" s="1" t="n">
        <v>46219</v>
      </c>
      <c r="F352" t="inlineStr">
        <is>
          <t>NORRBOTTENS LÄN</t>
        </is>
      </c>
      <c r="G352" t="inlineStr">
        <is>
          <t>ÖVERTORNEÅ</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24877-2025</t>
        </is>
      </c>
      <c r="B353" t="inlineStr">
        <is>
          <t>avverkningsanmälan</t>
        </is>
      </c>
      <c r="C353" t="inlineStr">
        <is>
          <t>Föryngringsavverkning</t>
        </is>
      </c>
      <c r="D353" s="1" t="n">
        <v>45799</v>
      </c>
      <c r="E353" s="1" t="n">
        <v>46219</v>
      </c>
      <c r="F353" t="inlineStr">
        <is>
          <t>NORRBOTTENS LÄN</t>
        </is>
      </c>
      <c r="G353" t="inlineStr">
        <is>
          <t>ÖVERTORNEÅ</t>
        </is>
      </c>
      <c r="I353" t="n">
        <v>10.3</v>
      </c>
      <c r="J353" t="n">
        <v>0</v>
      </c>
      <c r="K353" t="n">
        <v>0</v>
      </c>
      <c r="L353" t="n">
        <v>0</v>
      </c>
      <c r="M353" t="n">
        <v>0</v>
      </c>
      <c r="N353" t="n">
        <v>0</v>
      </c>
      <c r="O353" t="n">
        <v>0</v>
      </c>
      <c r="P353" t="n">
        <v>0</v>
      </c>
      <c r="Q353" t="n">
        <v>0</v>
      </c>
      <c r="R353" t="n">
        <v>0</v>
      </c>
      <c r="S353" t="n">
        <v>0</v>
      </c>
      <c r="T353" t="n">
        <v>0</v>
      </c>
      <c r="U353" s="2" t="inlineStr"/>
    </row>
    <row r="354" ht="15" customHeight="1">
      <c r="A354" t="inlineStr">
        <is>
          <t>A 14591-2024</t>
        </is>
      </c>
      <c r="B354" t="inlineStr">
        <is>
          <t>avverkningsanmälan</t>
        </is>
      </c>
      <c r="C354" t="inlineStr">
        <is>
          <t>Föryngringsavverkning</t>
        </is>
      </c>
      <c r="D354" s="1" t="n">
        <v>45395</v>
      </c>
      <c r="E354" s="1" t="n">
        <v>46219</v>
      </c>
      <c r="F354" t="inlineStr">
        <is>
          <t>NORRBOTTENS LÄN</t>
        </is>
      </c>
      <c r="G354" t="inlineStr">
        <is>
          <t>ÖVERTORNEÅ</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51273-2024</t>
        </is>
      </c>
      <c r="B355" t="inlineStr">
        <is>
          <t>avverkningsanmälan</t>
        </is>
      </c>
      <c r="C355" t="inlineStr">
        <is>
          <t>Föryngringsavverkning</t>
        </is>
      </c>
      <c r="D355" s="1" t="n">
        <v>45602</v>
      </c>
      <c r="E355" s="1" t="n">
        <v>46219</v>
      </c>
      <c r="F355" t="inlineStr">
        <is>
          <t>NORRBOTTENS LÄN</t>
        </is>
      </c>
      <c r="G355" t="inlineStr">
        <is>
          <t>ÖVERTORNEÅ</t>
        </is>
      </c>
      <c r="I355" t="n">
        <v>13.6</v>
      </c>
      <c r="J355" t="n">
        <v>0</v>
      </c>
      <c r="K355" t="n">
        <v>0</v>
      </c>
      <c r="L355" t="n">
        <v>0</v>
      </c>
      <c r="M355" t="n">
        <v>0</v>
      </c>
      <c r="N355" t="n">
        <v>0</v>
      </c>
      <c r="O355" t="n">
        <v>0</v>
      </c>
      <c r="P355" t="n">
        <v>0</v>
      </c>
      <c r="Q355" t="n">
        <v>0</v>
      </c>
      <c r="R355" t="n">
        <v>0</v>
      </c>
      <c r="S355" t="n">
        <v>0</v>
      </c>
      <c r="T355" t="n">
        <v>0</v>
      </c>
      <c r="U355" s="2" t="inlineStr"/>
    </row>
    <row r="356" ht="15" customHeight="1">
      <c r="A356" t="inlineStr">
        <is>
          <t>A 34154-2023</t>
        </is>
      </c>
      <c r="B356" t="inlineStr">
        <is>
          <t>avverkningsanmälan</t>
        </is>
      </c>
      <c r="C356" t="inlineStr">
        <is>
          <t>Föryngringsavverkning</t>
        </is>
      </c>
      <c r="D356" s="1" t="n">
        <v>45137</v>
      </c>
      <c r="E356" s="1" t="n">
        <v>46219</v>
      </c>
      <c r="F356" t="inlineStr">
        <is>
          <t>NORRBOTTENS LÄN</t>
        </is>
      </c>
      <c r="G356" t="inlineStr">
        <is>
          <t>ÖVERTORNEÅ</t>
        </is>
      </c>
      <c r="I356" t="n">
        <v>37.1</v>
      </c>
      <c r="J356" t="n">
        <v>0</v>
      </c>
      <c r="K356" t="n">
        <v>0</v>
      </c>
      <c r="L356" t="n">
        <v>0</v>
      </c>
      <c r="M356" t="n">
        <v>0</v>
      </c>
      <c r="N356" t="n">
        <v>0</v>
      </c>
      <c r="O356" t="n">
        <v>0</v>
      </c>
      <c r="P356" t="n">
        <v>0</v>
      </c>
      <c r="Q356" t="n">
        <v>0</v>
      </c>
      <c r="R356" t="n">
        <v>0</v>
      </c>
      <c r="S356" t="n">
        <v>0</v>
      </c>
      <c r="T356" t="n">
        <v>0</v>
      </c>
      <c r="U356" s="2" t="inlineStr"/>
    </row>
    <row r="357" ht="15" customHeight="1">
      <c r="A357" t="inlineStr">
        <is>
          <t>A 14420-2026</t>
        </is>
      </c>
      <c r="B357" t="inlineStr">
        <is>
          <t>avverkningsanmälan</t>
        </is>
      </c>
      <c r="C357" t="inlineStr">
        <is>
          <t>Föryngringsavverkning</t>
        </is>
      </c>
      <c r="D357" s="1" t="n">
        <v>46100</v>
      </c>
      <c r="E357" s="1" t="n">
        <v>46219</v>
      </c>
      <c r="F357" t="inlineStr">
        <is>
          <t>NORRBOTTENS LÄN</t>
        </is>
      </c>
      <c r="G357" t="inlineStr">
        <is>
          <t>ÖVERTORNEÅ</t>
        </is>
      </c>
      <c r="I357" t="n">
        <v>4.5</v>
      </c>
      <c r="J357" t="n">
        <v>0</v>
      </c>
      <c r="K357" t="n">
        <v>0</v>
      </c>
      <c r="L357" t="n">
        <v>0</v>
      </c>
      <c r="M357" t="n">
        <v>0</v>
      </c>
      <c r="N357" t="n">
        <v>0</v>
      </c>
      <c r="O357" t="n">
        <v>0</v>
      </c>
      <c r="P357" t="n">
        <v>0</v>
      </c>
      <c r="Q357" t="n">
        <v>0</v>
      </c>
      <c r="R357" t="n">
        <v>0</v>
      </c>
      <c r="S357" t="n">
        <v>0</v>
      </c>
      <c r="T357" t="n">
        <v>0</v>
      </c>
      <c r="U357" s="2" t="inlineStr"/>
    </row>
    <row r="358" ht="15" customHeight="1">
      <c r="A358" t="inlineStr">
        <is>
          <t>A 15201-2023</t>
        </is>
      </c>
      <c r="B358" t="inlineStr">
        <is>
          <t>avverkningsanmälan</t>
        </is>
      </c>
      <c r="C358" t="inlineStr">
        <is>
          <t>Föryngringsavverkning</t>
        </is>
      </c>
      <c r="D358" s="1" t="n">
        <v>45017</v>
      </c>
      <c r="E358" s="1" t="n">
        <v>46219</v>
      </c>
      <c r="F358" t="inlineStr">
        <is>
          <t>NORRBOTTENS LÄN</t>
        </is>
      </c>
      <c r="G358" t="inlineStr">
        <is>
          <t>ÖVERTORNEÅ</t>
        </is>
      </c>
      <c r="I358" t="n">
        <v>6.9</v>
      </c>
      <c r="J358" t="n">
        <v>0</v>
      </c>
      <c r="K358" t="n">
        <v>0</v>
      </c>
      <c r="L358" t="n">
        <v>0</v>
      </c>
      <c r="M358" t="n">
        <v>0</v>
      </c>
      <c r="N358" t="n">
        <v>0</v>
      </c>
      <c r="O358" t="n">
        <v>0</v>
      </c>
      <c r="P358" t="n">
        <v>0</v>
      </c>
      <c r="Q358" t="n">
        <v>0</v>
      </c>
      <c r="R358" t="n">
        <v>0</v>
      </c>
      <c r="S358" t="n">
        <v>0</v>
      </c>
      <c r="T358" t="n">
        <v>0</v>
      </c>
      <c r="U358" s="2" t="inlineStr"/>
    </row>
    <row r="359" ht="15" customHeight="1">
      <c r="A359" t="inlineStr">
        <is>
          <t>A 51682-2023</t>
        </is>
      </c>
      <c r="B359" t="inlineStr">
        <is>
          <t>avverkningsanmälan</t>
        </is>
      </c>
      <c r="C359" t="inlineStr">
        <is>
          <t>Föryngringsavverkning</t>
        </is>
      </c>
      <c r="D359" s="1" t="n">
        <v>45222</v>
      </c>
      <c r="E359" s="1" t="n">
        <v>46219</v>
      </c>
      <c r="F359" t="inlineStr">
        <is>
          <t>NORRBOTTENS LÄN</t>
        </is>
      </c>
      <c r="G359" t="inlineStr">
        <is>
          <t>ÖVERTORNEÅ</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14985-2026</t>
        </is>
      </c>
      <c r="B360" t="inlineStr">
        <is>
          <t>avverkningsanmälan</t>
        </is>
      </c>
      <c r="C360" t="inlineStr">
        <is>
          <t>Föryngringsavverkning</t>
        </is>
      </c>
      <c r="D360" s="1" t="n">
        <v>46104</v>
      </c>
      <c r="E360" s="1" t="n">
        <v>46219</v>
      </c>
      <c r="F360" t="inlineStr">
        <is>
          <t>NORRBOTTENS LÄN</t>
        </is>
      </c>
      <c r="G360" t="inlineStr">
        <is>
          <t>ÖVERTORNEÅ</t>
        </is>
      </c>
      <c r="I360" t="n">
        <v>20</v>
      </c>
      <c r="J360" t="n">
        <v>0</v>
      </c>
      <c r="K360" t="n">
        <v>0</v>
      </c>
      <c r="L360" t="n">
        <v>0</v>
      </c>
      <c r="M360" t="n">
        <v>0</v>
      </c>
      <c r="N360" t="n">
        <v>0</v>
      </c>
      <c r="O360" t="n">
        <v>0</v>
      </c>
      <c r="P360" t="n">
        <v>0</v>
      </c>
      <c r="Q360" t="n">
        <v>0</v>
      </c>
      <c r="R360" t="n">
        <v>0</v>
      </c>
      <c r="S360" t="n">
        <v>0</v>
      </c>
      <c r="T360" t="n">
        <v>0</v>
      </c>
      <c r="U360" s="2" t="inlineStr"/>
    </row>
    <row r="361" ht="15" customHeight="1">
      <c r="A361" t="inlineStr">
        <is>
          <t>A 39775-2023</t>
        </is>
      </c>
      <c r="B361" t="inlineStr">
        <is>
          <t>avverkningsanmälan</t>
        </is>
      </c>
      <c r="C361" t="inlineStr">
        <is>
          <t>Avverkning för annat ändamål</t>
        </is>
      </c>
      <c r="D361" s="1" t="n">
        <v>45167</v>
      </c>
      <c r="E361" s="1" t="n">
        <v>46219</v>
      </c>
      <c r="F361" t="inlineStr">
        <is>
          <t>NORRBOTTENS LÄN</t>
        </is>
      </c>
      <c r="G361" t="inlineStr">
        <is>
          <t>ÖVERTORNEÅ</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34142-2023</t>
        </is>
      </c>
      <c r="B362" t="inlineStr">
        <is>
          <t>avverkningsanmälan</t>
        </is>
      </c>
      <c r="C362" t="inlineStr">
        <is>
          <t>Föryngringsavverkning</t>
        </is>
      </c>
      <c r="D362" s="1" t="n">
        <v>45136</v>
      </c>
      <c r="E362" s="1" t="n">
        <v>46219</v>
      </c>
      <c r="F362" t="inlineStr">
        <is>
          <t>NORRBOTTENS LÄN</t>
        </is>
      </c>
      <c r="G362" t="inlineStr">
        <is>
          <t>ÖVERTORNEÅ</t>
        </is>
      </c>
      <c r="I362" t="n">
        <v>22.5</v>
      </c>
      <c r="J362" t="n">
        <v>0</v>
      </c>
      <c r="K362" t="n">
        <v>0</v>
      </c>
      <c r="L362" t="n">
        <v>0</v>
      </c>
      <c r="M362" t="n">
        <v>0</v>
      </c>
      <c r="N362" t="n">
        <v>0</v>
      </c>
      <c r="O362" t="n">
        <v>0</v>
      </c>
      <c r="P362" t="n">
        <v>0</v>
      </c>
      <c r="Q362" t="n">
        <v>0</v>
      </c>
      <c r="R362" t="n">
        <v>0</v>
      </c>
      <c r="S362" t="n">
        <v>0</v>
      </c>
      <c r="T362" t="n">
        <v>0</v>
      </c>
      <c r="U362" s="2" t="inlineStr"/>
    </row>
    <row r="363" ht="15" customHeight="1">
      <c r="A363" t="inlineStr">
        <is>
          <t>A 23014-2024</t>
        </is>
      </c>
      <c r="B363" t="inlineStr">
        <is>
          <t>avverkningsanmälan</t>
        </is>
      </c>
      <c r="C363" t="inlineStr">
        <is>
          <t>Föryngringsavverkning</t>
        </is>
      </c>
      <c r="D363" s="1" t="n">
        <v>45449</v>
      </c>
      <c r="E363" s="1" t="n">
        <v>46219</v>
      </c>
      <c r="F363" t="inlineStr">
        <is>
          <t>NORRBOTTENS LÄN</t>
        </is>
      </c>
      <c r="G363" t="inlineStr">
        <is>
          <t>ÖVERTORNEÅ</t>
        </is>
      </c>
      <c r="I363" t="n">
        <v>13.8</v>
      </c>
      <c r="J363" t="n">
        <v>0</v>
      </c>
      <c r="K363" t="n">
        <v>0</v>
      </c>
      <c r="L363" t="n">
        <v>0</v>
      </c>
      <c r="M363" t="n">
        <v>0</v>
      </c>
      <c r="N363" t="n">
        <v>0</v>
      </c>
      <c r="O363" t="n">
        <v>0</v>
      </c>
      <c r="P363" t="n">
        <v>0</v>
      </c>
      <c r="Q363" t="n">
        <v>0</v>
      </c>
      <c r="R363" t="n">
        <v>0</v>
      </c>
      <c r="S363" t="n">
        <v>0</v>
      </c>
      <c r="T363" t="n">
        <v>0</v>
      </c>
      <c r="U363" s="2" t="inlineStr"/>
    </row>
    <row r="364" ht="15" customHeight="1">
      <c r="A364" t="inlineStr">
        <is>
          <t>A 34145-2023</t>
        </is>
      </c>
      <c r="B364" t="inlineStr">
        <is>
          <t>avverkningsanmälan</t>
        </is>
      </c>
      <c r="C364" t="inlineStr">
        <is>
          <t>Avverkning för annat ändamål</t>
        </is>
      </c>
      <c r="D364" s="1" t="n">
        <v>45136</v>
      </c>
      <c r="E364" s="1" t="n">
        <v>46219</v>
      </c>
      <c r="F364" t="inlineStr">
        <is>
          <t>NORRBOTTENS LÄN</t>
        </is>
      </c>
      <c r="G364" t="inlineStr">
        <is>
          <t>ÖVERTORNEÅ</t>
        </is>
      </c>
      <c r="I364" t="n">
        <v>0.2</v>
      </c>
      <c r="J364" t="n">
        <v>0</v>
      </c>
      <c r="K364" t="n">
        <v>0</v>
      </c>
      <c r="L364" t="n">
        <v>0</v>
      </c>
      <c r="M364" t="n">
        <v>0</v>
      </c>
      <c r="N364" t="n">
        <v>0</v>
      </c>
      <c r="O364" t="n">
        <v>0</v>
      </c>
      <c r="P364" t="n">
        <v>0</v>
      </c>
      <c r="Q364" t="n">
        <v>0</v>
      </c>
      <c r="R364" t="n">
        <v>0</v>
      </c>
      <c r="S364" t="n">
        <v>0</v>
      </c>
      <c r="T364" t="n">
        <v>0</v>
      </c>
      <c r="U364" s="2" t="inlineStr"/>
    </row>
    <row r="365" ht="15" customHeight="1">
      <c r="A365" t="inlineStr">
        <is>
          <t>A 16006-2024</t>
        </is>
      </c>
      <c r="B365" t="inlineStr">
        <is>
          <t>avverkningsanmälan</t>
        </is>
      </c>
      <c r="C365" t="inlineStr">
        <is>
          <t>Föryngringsavverkning</t>
        </is>
      </c>
      <c r="D365" s="1" t="n">
        <v>45405</v>
      </c>
      <c r="E365" s="1" t="n">
        <v>46219</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16152-2026</t>
        </is>
      </c>
      <c r="B366" t="inlineStr">
        <is>
          <t>avverkningsanmälan</t>
        </is>
      </c>
      <c r="C366" t="inlineStr">
        <is>
          <t>Föryngringsavverkning</t>
        </is>
      </c>
      <c r="D366" s="1" t="n">
        <v>46108</v>
      </c>
      <c r="E366" s="1" t="n">
        <v>46219</v>
      </c>
      <c r="F366" t="inlineStr">
        <is>
          <t>NORRBOTTENS LÄN</t>
        </is>
      </c>
      <c r="G366" t="inlineStr">
        <is>
          <t>ÖVERTORNEÅ</t>
        </is>
      </c>
      <c r="I366" t="n">
        <v>11.1</v>
      </c>
      <c r="J366" t="n">
        <v>0</v>
      </c>
      <c r="K366" t="n">
        <v>0</v>
      </c>
      <c r="L366" t="n">
        <v>0</v>
      </c>
      <c r="M366" t="n">
        <v>0</v>
      </c>
      <c r="N366" t="n">
        <v>0</v>
      </c>
      <c r="O366" t="n">
        <v>0</v>
      </c>
      <c r="P366" t="n">
        <v>0</v>
      </c>
      <c r="Q366" t="n">
        <v>0</v>
      </c>
      <c r="R366" t="n">
        <v>0</v>
      </c>
      <c r="S366" t="n">
        <v>0</v>
      </c>
      <c r="T366" t="n">
        <v>0</v>
      </c>
      <c r="U366" s="2" t="inlineStr"/>
    </row>
    <row r="367" ht="15" customHeight="1">
      <c r="A367" t="inlineStr">
        <is>
          <t>A 16148-2026</t>
        </is>
      </c>
      <c r="B367" t="inlineStr">
        <is>
          <t>avverkningsanmälan</t>
        </is>
      </c>
      <c r="C367" t="inlineStr">
        <is>
          <t>Föryngringsavverkning</t>
        </is>
      </c>
      <c r="D367" s="1" t="n">
        <v>46108</v>
      </c>
      <c r="E367" s="1" t="n">
        <v>46219</v>
      </c>
      <c r="F367" t="inlineStr">
        <is>
          <t>NORRBOTTENS LÄN</t>
        </is>
      </c>
      <c r="G367" t="inlineStr">
        <is>
          <t>ÖVERTORNEÅ</t>
        </is>
      </c>
      <c r="I367" t="n">
        <v>4.8</v>
      </c>
      <c r="J367" t="n">
        <v>0</v>
      </c>
      <c r="K367" t="n">
        <v>0</v>
      </c>
      <c r="L367" t="n">
        <v>0</v>
      </c>
      <c r="M367" t="n">
        <v>0</v>
      </c>
      <c r="N367" t="n">
        <v>0</v>
      </c>
      <c r="O367" t="n">
        <v>0</v>
      </c>
      <c r="P367" t="n">
        <v>0</v>
      </c>
      <c r="Q367" t="n">
        <v>0</v>
      </c>
      <c r="R367" t="n">
        <v>0</v>
      </c>
      <c r="S367" t="n">
        <v>0</v>
      </c>
      <c r="T367" t="n">
        <v>0</v>
      </c>
      <c r="U367" s="2" t="inlineStr"/>
    </row>
    <row r="368" ht="15" customHeight="1">
      <c r="A368" t="inlineStr">
        <is>
          <t>A 16150-2026</t>
        </is>
      </c>
      <c r="B368" t="inlineStr">
        <is>
          <t>avverkningsanmälan</t>
        </is>
      </c>
      <c r="C368" t="inlineStr">
        <is>
          <t>Föryngringsavverkning</t>
        </is>
      </c>
      <c r="D368" s="1" t="n">
        <v>46108</v>
      </c>
      <c r="E368" s="1" t="n">
        <v>46219</v>
      </c>
      <c r="F368" t="inlineStr">
        <is>
          <t>NORRBOTTENS LÄN</t>
        </is>
      </c>
      <c r="G368" t="inlineStr">
        <is>
          <t>ÖVERTORNEÅ</t>
        </is>
      </c>
      <c r="I368" t="n">
        <v>14.9</v>
      </c>
      <c r="J368" t="n">
        <v>0</v>
      </c>
      <c r="K368" t="n">
        <v>0</v>
      </c>
      <c r="L368" t="n">
        <v>0</v>
      </c>
      <c r="M368" t="n">
        <v>0</v>
      </c>
      <c r="N368" t="n">
        <v>0</v>
      </c>
      <c r="O368" t="n">
        <v>0</v>
      </c>
      <c r="P368" t="n">
        <v>0</v>
      </c>
      <c r="Q368" t="n">
        <v>0</v>
      </c>
      <c r="R368" t="n">
        <v>0</v>
      </c>
      <c r="S368" t="n">
        <v>0</v>
      </c>
      <c r="T368" t="n">
        <v>0</v>
      </c>
      <c r="U368" s="2" t="inlineStr"/>
    </row>
    <row r="369" ht="15" customHeight="1">
      <c r="A369" t="inlineStr">
        <is>
          <t>A 61040-2022</t>
        </is>
      </c>
      <c r="B369" t="inlineStr">
        <is>
          <t>avverkningsanmälan</t>
        </is>
      </c>
      <c r="C369" t="inlineStr">
        <is>
          <t>Föryngringsavverkning</t>
        </is>
      </c>
      <c r="D369" s="1" t="n">
        <v>44914</v>
      </c>
      <c r="E369" s="1" t="n">
        <v>46219</v>
      </c>
      <c r="F369" t="inlineStr">
        <is>
          <t>NORRBOTTENS LÄN</t>
        </is>
      </c>
      <c r="G369" t="inlineStr">
        <is>
          <t>ÖVERTORNEÅ</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34398-2023</t>
        </is>
      </c>
      <c r="B370" t="inlineStr">
        <is>
          <t>avverkningsanmälan</t>
        </is>
      </c>
      <c r="C370" t="inlineStr">
        <is>
          <t>Föryngringsavverkning</t>
        </is>
      </c>
      <c r="D370" s="1" t="n">
        <v>45139</v>
      </c>
      <c r="E370" s="1" t="n">
        <v>46219</v>
      </c>
      <c r="F370" t="inlineStr">
        <is>
          <t>NORRBOTTENS LÄN</t>
        </is>
      </c>
      <c r="G370" t="inlineStr">
        <is>
          <t>ÖVERTORNEÅ</t>
        </is>
      </c>
      <c r="I370" t="n">
        <v>8.9</v>
      </c>
      <c r="J370" t="n">
        <v>0</v>
      </c>
      <c r="K370" t="n">
        <v>0</v>
      </c>
      <c r="L370" t="n">
        <v>0</v>
      </c>
      <c r="M370" t="n">
        <v>0</v>
      </c>
      <c r="N370" t="n">
        <v>0</v>
      </c>
      <c r="O370" t="n">
        <v>0</v>
      </c>
      <c r="P370" t="n">
        <v>0</v>
      </c>
      <c r="Q370" t="n">
        <v>0</v>
      </c>
      <c r="R370" t="n">
        <v>0</v>
      </c>
      <c r="S370" t="n">
        <v>0</v>
      </c>
      <c r="T370" t="n">
        <v>0</v>
      </c>
      <c r="U370" s="2" t="inlineStr"/>
    </row>
    <row r="371" ht="15" customHeight="1">
      <c r="A371" t="inlineStr">
        <is>
          <t>A 12202-2025</t>
        </is>
      </c>
      <c r="B371" t="inlineStr">
        <is>
          <t>avverkningsanmälan</t>
        </is>
      </c>
      <c r="C371" t="inlineStr">
        <is>
          <t>Föryngringsavverkning</t>
        </is>
      </c>
      <c r="D371" s="1" t="n">
        <v>45729</v>
      </c>
      <c r="E371" s="1" t="n">
        <v>46219</v>
      </c>
      <c r="F371" t="inlineStr">
        <is>
          <t>NORRBOTTENS LÄN</t>
        </is>
      </c>
      <c r="G371" t="inlineStr">
        <is>
          <t>ÖVERTORNEÅ</t>
        </is>
      </c>
      <c r="I371" t="n">
        <v>3.1</v>
      </c>
      <c r="J371" t="n">
        <v>0</v>
      </c>
      <c r="K371" t="n">
        <v>0</v>
      </c>
      <c r="L371" t="n">
        <v>0</v>
      </c>
      <c r="M371" t="n">
        <v>0</v>
      </c>
      <c r="N371" t="n">
        <v>0</v>
      </c>
      <c r="O371" t="n">
        <v>0</v>
      </c>
      <c r="P371" t="n">
        <v>0</v>
      </c>
      <c r="Q371" t="n">
        <v>0</v>
      </c>
      <c r="R371" t="n">
        <v>0</v>
      </c>
      <c r="S371" t="n">
        <v>0</v>
      </c>
      <c r="T371" t="n">
        <v>0</v>
      </c>
      <c r="U371" s="2" t="inlineStr"/>
    </row>
    <row r="372" ht="15" customHeight="1">
      <c r="A372" t="inlineStr">
        <is>
          <t>A 16000-2024</t>
        </is>
      </c>
      <c r="B372" t="inlineStr">
        <is>
          <t>avverkningsanmälan</t>
        </is>
      </c>
      <c r="C372" t="inlineStr">
        <is>
          <t>Föryngringsavverkning</t>
        </is>
      </c>
      <c r="D372" s="1" t="n">
        <v>45405</v>
      </c>
      <c r="E372" s="1" t="n">
        <v>46219</v>
      </c>
      <c r="F372" t="inlineStr">
        <is>
          <t>NORRBOTTENS LÄN</t>
        </is>
      </c>
      <c r="G372" t="inlineStr">
        <is>
          <t>ÖVERTORNEÅ</t>
        </is>
      </c>
      <c r="I372" t="n">
        <v>3.8</v>
      </c>
      <c r="J372" t="n">
        <v>0</v>
      </c>
      <c r="K372" t="n">
        <v>0</v>
      </c>
      <c r="L372" t="n">
        <v>0</v>
      </c>
      <c r="M372" t="n">
        <v>0</v>
      </c>
      <c r="N372" t="n">
        <v>0</v>
      </c>
      <c r="O372" t="n">
        <v>0</v>
      </c>
      <c r="P372" t="n">
        <v>0</v>
      </c>
      <c r="Q372" t="n">
        <v>0</v>
      </c>
      <c r="R372" t="n">
        <v>0</v>
      </c>
      <c r="S372" t="n">
        <v>0</v>
      </c>
      <c r="T372" t="n">
        <v>0</v>
      </c>
      <c r="U372" s="2" t="inlineStr"/>
    </row>
    <row r="373" ht="15" customHeight="1">
      <c r="A373" t="inlineStr">
        <is>
          <t>A 4274-2025</t>
        </is>
      </c>
      <c r="B373" t="inlineStr">
        <is>
          <t>avverkningsanmälan</t>
        </is>
      </c>
      <c r="C373" t="inlineStr">
        <is>
          <t>Föryngringsavverkning</t>
        </is>
      </c>
      <c r="D373" s="1" t="n">
        <v>45685</v>
      </c>
      <c r="E373" s="1" t="n">
        <v>46219</v>
      </c>
      <c r="F373" t="inlineStr">
        <is>
          <t>NORRBOTTENS LÄN</t>
        </is>
      </c>
      <c r="G373" t="inlineStr">
        <is>
          <t>ÖVERTORNEÅ</t>
        </is>
      </c>
      <c r="I373" t="n">
        <v>7.1</v>
      </c>
      <c r="J373" t="n">
        <v>0</v>
      </c>
      <c r="K373" t="n">
        <v>0</v>
      </c>
      <c r="L373" t="n">
        <v>0</v>
      </c>
      <c r="M373" t="n">
        <v>0</v>
      </c>
      <c r="N373" t="n">
        <v>0</v>
      </c>
      <c r="O373" t="n">
        <v>0</v>
      </c>
      <c r="P373" t="n">
        <v>0</v>
      </c>
      <c r="Q373" t="n">
        <v>0</v>
      </c>
      <c r="R373" t="n">
        <v>0</v>
      </c>
      <c r="S373" t="n">
        <v>0</v>
      </c>
      <c r="T373" t="n">
        <v>0</v>
      </c>
      <c r="U373" s="2" t="inlineStr"/>
    </row>
    <row r="374" ht="15" customHeight="1">
      <c r="A374" t="inlineStr">
        <is>
          <t>A 17987-2026</t>
        </is>
      </c>
      <c r="B374" t="inlineStr">
        <is>
          <t>avverkningsanmälan</t>
        </is>
      </c>
      <c r="C374" t="inlineStr">
        <is>
          <t>Föryngringsavverkning</t>
        </is>
      </c>
      <c r="D374" s="1" t="n">
        <v>46124</v>
      </c>
      <c r="E374" s="1" t="n">
        <v>46219</v>
      </c>
      <c r="F374" t="inlineStr">
        <is>
          <t>NORRBOTTENS LÄN</t>
        </is>
      </c>
      <c r="G374" t="inlineStr">
        <is>
          <t>ÖVERTORNEÅ</t>
        </is>
      </c>
      <c r="I374" t="n">
        <v>12.3</v>
      </c>
      <c r="J374" t="n">
        <v>0</v>
      </c>
      <c r="K374" t="n">
        <v>0</v>
      </c>
      <c r="L374" t="n">
        <v>0</v>
      </c>
      <c r="M374" t="n">
        <v>0</v>
      </c>
      <c r="N374" t="n">
        <v>0</v>
      </c>
      <c r="O374" t="n">
        <v>0</v>
      </c>
      <c r="P374" t="n">
        <v>0</v>
      </c>
      <c r="Q374" t="n">
        <v>0</v>
      </c>
      <c r="R374" t="n">
        <v>0</v>
      </c>
      <c r="S374" t="n">
        <v>0</v>
      </c>
      <c r="T374" t="n">
        <v>0</v>
      </c>
      <c r="U374" s="2" t="inlineStr"/>
    </row>
    <row r="375" ht="15" customHeight="1">
      <c r="A375" t="inlineStr">
        <is>
          <t>A 26887-2025</t>
        </is>
      </c>
      <c r="B375" t="inlineStr">
        <is>
          <t>avverkningsanmälan</t>
        </is>
      </c>
      <c r="C375" t="inlineStr">
        <is>
          <t>Föryngringsavverkning</t>
        </is>
      </c>
      <c r="D375" s="1" t="n">
        <v>45810</v>
      </c>
      <c r="E375" s="1" t="n">
        <v>46219</v>
      </c>
      <c r="F375" t="inlineStr">
        <is>
          <t>NORRBOTTENS LÄN</t>
        </is>
      </c>
      <c r="G375" t="inlineStr">
        <is>
          <t>ÖVERTORNEÅ</t>
        </is>
      </c>
      <c r="H375" t="inlineStr">
        <is>
          <t>Sveaskog</t>
        </is>
      </c>
      <c r="I375" t="n">
        <v>9.300000000000001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27497-2025</t>
        </is>
      </c>
      <c r="B376" t="inlineStr">
        <is>
          <t>avverkningsanmälan</t>
        </is>
      </c>
      <c r="C376" t="inlineStr">
        <is>
          <t>Avverkning för annat ändamål</t>
        </is>
      </c>
      <c r="D376" s="1" t="n">
        <v>45813</v>
      </c>
      <c r="E376" s="1" t="n">
        <v>46219</v>
      </c>
      <c r="F376" t="inlineStr">
        <is>
          <t>NORRBOTTENS LÄN</t>
        </is>
      </c>
      <c r="G376" t="inlineStr">
        <is>
          <t>ÖVERTORNEÅ</t>
        </is>
      </c>
      <c r="H376" t="inlineStr">
        <is>
          <t>Sveaskog</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45431-2024</t>
        </is>
      </c>
      <c r="B377" t="inlineStr">
        <is>
          <t>avverkningsanmälan</t>
        </is>
      </c>
      <c r="C377" t="inlineStr">
        <is>
          <t>Föryngringsavverkning</t>
        </is>
      </c>
      <c r="D377" s="1" t="n">
        <v>45576</v>
      </c>
      <c r="E377" s="1" t="n">
        <v>46219</v>
      </c>
      <c r="F377" t="inlineStr">
        <is>
          <t>NORRBOTTENS LÄN</t>
        </is>
      </c>
      <c r="G377" t="inlineStr">
        <is>
          <t>ÖVERTORNEÅ</t>
        </is>
      </c>
      <c r="H377" t="inlineStr">
        <is>
          <t>Sveaskog</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58992-2024</t>
        </is>
      </c>
      <c r="B378" t="inlineStr">
        <is>
          <t>avverkningsanmälan</t>
        </is>
      </c>
      <c r="C378" t="inlineStr">
        <is>
          <t>Föryngringsavverkning</t>
        </is>
      </c>
      <c r="D378" s="1" t="n">
        <v>45636</v>
      </c>
      <c r="E378" s="1" t="n">
        <v>46219</v>
      </c>
      <c r="F378" t="inlineStr">
        <is>
          <t>NORRBOTTENS LÄN</t>
        </is>
      </c>
      <c r="G378" t="inlineStr">
        <is>
          <t>ÖVERTORNEÅ</t>
        </is>
      </c>
      <c r="I378" t="n">
        <v>44.5</v>
      </c>
      <c r="J378" t="n">
        <v>0</v>
      </c>
      <c r="K378" t="n">
        <v>0</v>
      </c>
      <c r="L378" t="n">
        <v>0</v>
      </c>
      <c r="M378" t="n">
        <v>0</v>
      </c>
      <c r="N378" t="n">
        <v>0</v>
      </c>
      <c r="O378" t="n">
        <v>0</v>
      </c>
      <c r="P378" t="n">
        <v>0</v>
      </c>
      <c r="Q378" t="n">
        <v>0</v>
      </c>
      <c r="R378" t="n">
        <v>0</v>
      </c>
      <c r="S378" t="n">
        <v>0</v>
      </c>
      <c r="T378" t="n">
        <v>0</v>
      </c>
      <c r="U378" s="2" t="inlineStr"/>
    </row>
    <row r="379" ht="15" customHeight="1">
      <c r="A379" t="inlineStr">
        <is>
          <t>A 18925-2026</t>
        </is>
      </c>
      <c r="B379" t="inlineStr">
        <is>
          <t>avverkningsanmälan</t>
        </is>
      </c>
      <c r="C379" t="inlineStr">
        <is>
          <t>Föryngringsavverkning</t>
        </is>
      </c>
      <c r="D379" s="1" t="n">
        <v>46129</v>
      </c>
      <c r="E379" s="1" t="n">
        <v>46219</v>
      </c>
      <c r="F379" t="inlineStr">
        <is>
          <t>NORRBOTTENS LÄN</t>
        </is>
      </c>
      <c r="G379" t="inlineStr">
        <is>
          <t>ÖVERTORNEÅ</t>
        </is>
      </c>
      <c r="I379" t="n">
        <v>4.1</v>
      </c>
      <c r="J379" t="n">
        <v>0</v>
      </c>
      <c r="K379" t="n">
        <v>0</v>
      </c>
      <c r="L379" t="n">
        <v>0</v>
      </c>
      <c r="M379" t="n">
        <v>0</v>
      </c>
      <c r="N379" t="n">
        <v>0</v>
      </c>
      <c r="O379" t="n">
        <v>0</v>
      </c>
      <c r="P379" t="n">
        <v>0</v>
      </c>
      <c r="Q379" t="n">
        <v>0</v>
      </c>
      <c r="R379" t="n">
        <v>0</v>
      </c>
      <c r="S379" t="n">
        <v>0</v>
      </c>
      <c r="T379" t="n">
        <v>0</v>
      </c>
      <c r="U379" s="2" t="inlineStr"/>
    </row>
    <row r="380" ht="15" customHeight="1">
      <c r="A380" t="inlineStr">
        <is>
          <t>A 48037-2024</t>
        </is>
      </c>
      <c r="B380" t="inlineStr">
        <is>
          <t>avverkningsanmälan</t>
        </is>
      </c>
      <c r="C380" t="inlineStr">
        <is>
          <t>Föryngringsavverkning</t>
        </is>
      </c>
      <c r="D380" s="1" t="n">
        <v>45589</v>
      </c>
      <c r="E380" s="1" t="n">
        <v>46219</v>
      </c>
      <c r="F380" t="inlineStr">
        <is>
          <t>NORRBOTTENS LÄN</t>
        </is>
      </c>
      <c r="G380" t="inlineStr">
        <is>
          <t>ÖVERTORNEÅ</t>
        </is>
      </c>
      <c r="H380" t="inlineStr">
        <is>
          <t>Kommuner</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19100-2026</t>
        </is>
      </c>
      <c r="B381" t="inlineStr">
        <is>
          <t>avverkningsanmälan</t>
        </is>
      </c>
      <c r="C381" t="inlineStr">
        <is>
          <t>Föryngringsavverkning</t>
        </is>
      </c>
      <c r="D381" s="1" t="n">
        <v>46132</v>
      </c>
      <c r="E381" s="1" t="n">
        <v>46219</v>
      </c>
      <c r="F381" t="inlineStr">
        <is>
          <t>NORRBOTTENS LÄN</t>
        </is>
      </c>
      <c r="G381" t="inlineStr">
        <is>
          <t>ÖVERTORNEÅ</t>
        </is>
      </c>
      <c r="I381" t="n">
        <v>3.1</v>
      </c>
      <c r="J381" t="n">
        <v>0</v>
      </c>
      <c r="K381" t="n">
        <v>0</v>
      </c>
      <c r="L381" t="n">
        <v>0</v>
      </c>
      <c r="M381" t="n">
        <v>0</v>
      </c>
      <c r="N381" t="n">
        <v>0</v>
      </c>
      <c r="O381" t="n">
        <v>0</v>
      </c>
      <c r="P381" t="n">
        <v>0</v>
      </c>
      <c r="Q381" t="n">
        <v>0</v>
      </c>
      <c r="R381" t="n">
        <v>0</v>
      </c>
      <c r="S381" t="n">
        <v>0</v>
      </c>
      <c r="T381" t="n">
        <v>0</v>
      </c>
      <c r="U381" s="2" t="inlineStr"/>
    </row>
    <row r="382" ht="15" customHeight="1">
      <c r="A382" t="inlineStr">
        <is>
          <t>A 4011-2022</t>
        </is>
      </c>
      <c r="B382" t="inlineStr">
        <is>
          <t>avverkningsanmälan</t>
        </is>
      </c>
      <c r="C382" t="inlineStr">
        <is>
          <t>Avverkning för att bevara och utveckla /försöksver</t>
        </is>
      </c>
      <c r="D382" s="1" t="n">
        <v>44587</v>
      </c>
      <c r="E382" s="1" t="n">
        <v>46219</v>
      </c>
      <c r="F382" t="inlineStr">
        <is>
          <t>NORRBOTTENS LÄN</t>
        </is>
      </c>
      <c r="G382" t="inlineStr">
        <is>
          <t>ÖVERTORNEÅ</t>
        </is>
      </c>
      <c r="H382" t="inlineStr">
        <is>
          <t>Kommuner</t>
        </is>
      </c>
      <c r="I382" t="n">
        <v>4</v>
      </c>
      <c r="J382" t="n">
        <v>0</v>
      </c>
      <c r="K382" t="n">
        <v>0</v>
      </c>
      <c r="L382" t="n">
        <v>0</v>
      </c>
      <c r="M382" t="n">
        <v>0</v>
      </c>
      <c r="N382" t="n">
        <v>0</v>
      </c>
      <c r="O382" t="n">
        <v>0</v>
      </c>
      <c r="P382" t="n">
        <v>0</v>
      </c>
      <c r="Q382" t="n">
        <v>0</v>
      </c>
      <c r="R382" t="n">
        <v>0</v>
      </c>
      <c r="S382" t="n">
        <v>0</v>
      </c>
      <c r="T382" t="n">
        <v>0</v>
      </c>
      <c r="U382" s="2" t="inlineStr"/>
    </row>
    <row r="383" ht="15" customHeight="1">
      <c r="A383" t="inlineStr">
        <is>
          <t>A 44431-2024</t>
        </is>
      </c>
      <c r="B383" t="inlineStr">
        <is>
          <t>avverkningsanmälan</t>
        </is>
      </c>
      <c r="C383" t="inlineStr">
        <is>
          <t>Föryngringsavverkning</t>
        </is>
      </c>
      <c r="D383" s="1" t="n">
        <v>45574</v>
      </c>
      <c r="E383" s="1" t="n">
        <v>46219</v>
      </c>
      <c r="F383" t="inlineStr">
        <is>
          <t>NORRBOTTENS LÄN</t>
        </is>
      </c>
      <c r="G383" t="inlineStr">
        <is>
          <t>ÖVERTORNEÅ</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64554-2023</t>
        </is>
      </c>
      <c r="B384" t="inlineStr">
        <is>
          <t>avverkningsanmälan</t>
        </is>
      </c>
      <c r="C384" t="inlineStr">
        <is>
          <t>Föryngringsavverkning</t>
        </is>
      </c>
      <c r="D384" s="1" t="n">
        <v>45281</v>
      </c>
      <c r="E384" s="1" t="n">
        <v>46219</v>
      </c>
      <c r="F384" t="inlineStr">
        <is>
          <t>NORRBOTTENS LÄN</t>
        </is>
      </c>
      <c r="G384" t="inlineStr">
        <is>
          <t>ÖVERTORNEÅ</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45698-2024</t>
        </is>
      </c>
      <c r="B385" t="inlineStr">
        <is>
          <t>avverkningsanmälan</t>
        </is>
      </c>
      <c r="C385" t="inlineStr">
        <is>
          <t>Föryngringsavverkning</t>
        </is>
      </c>
      <c r="D385" s="1" t="n">
        <v>45579</v>
      </c>
      <c r="E385" s="1" t="n">
        <v>46219</v>
      </c>
      <c r="F385" t="inlineStr">
        <is>
          <t>NORRBOTTENS LÄN</t>
        </is>
      </c>
      <c r="G385" t="inlineStr">
        <is>
          <t>ÖVERTORNEÅ</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25509-2026</t>
        </is>
      </c>
      <c r="B386" t="inlineStr">
        <is>
          <t>avverkningsanmälan</t>
        </is>
      </c>
      <c r="C386" t="inlineStr">
        <is>
          <t>Föryngringsavverkning</t>
        </is>
      </c>
      <c r="D386" s="1" t="n">
        <v>46177</v>
      </c>
      <c r="E386" s="1" t="n">
        <v>46219</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49157-2022</t>
        </is>
      </c>
      <c r="B387" t="inlineStr">
        <is>
          <t>avverkningsanmälan</t>
        </is>
      </c>
      <c r="C387" t="inlineStr">
        <is>
          <t>Föryngringsavverkning</t>
        </is>
      </c>
      <c r="D387" s="1" t="n">
        <v>44860</v>
      </c>
      <c r="E387" s="1" t="n">
        <v>46219</v>
      </c>
      <c r="F387" t="inlineStr">
        <is>
          <t>NORRBOTTENS LÄN</t>
        </is>
      </c>
      <c r="G387" t="inlineStr">
        <is>
          <t>ÖVERTORNEÅ</t>
        </is>
      </c>
      <c r="I387" t="n">
        <v>5.6</v>
      </c>
      <c r="J387" t="n">
        <v>0</v>
      </c>
      <c r="K387" t="n">
        <v>0</v>
      </c>
      <c r="L387" t="n">
        <v>0</v>
      </c>
      <c r="M387" t="n">
        <v>0</v>
      </c>
      <c r="N387" t="n">
        <v>0</v>
      </c>
      <c r="O387" t="n">
        <v>0</v>
      </c>
      <c r="P387" t="n">
        <v>0</v>
      </c>
      <c r="Q387" t="n">
        <v>0</v>
      </c>
      <c r="R387" t="n">
        <v>0</v>
      </c>
      <c r="S387" t="n">
        <v>0</v>
      </c>
      <c r="T387" t="n">
        <v>0</v>
      </c>
      <c r="U387" s="2" t="inlineStr"/>
    </row>
    <row r="388" ht="15" customHeight="1">
      <c r="A388" t="inlineStr">
        <is>
          <t>A 25681-2026</t>
        </is>
      </c>
      <c r="B388" t="inlineStr">
        <is>
          <t>avverkningsanmälan</t>
        </is>
      </c>
      <c r="C388" t="inlineStr">
        <is>
          <t>Föryngringsavverkning</t>
        </is>
      </c>
      <c r="D388" s="1" t="n">
        <v>46178</v>
      </c>
      <c r="E388" s="1" t="n">
        <v>46219</v>
      </c>
      <c r="F388" t="inlineStr">
        <is>
          <t>NORRBOTTENS LÄN</t>
        </is>
      </c>
      <c r="G388" t="inlineStr">
        <is>
          <t>ÖVERTORNEÅ</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29907-2025</t>
        </is>
      </c>
      <c r="B389" t="inlineStr">
        <is>
          <t>avverkningsanmälan</t>
        </is>
      </c>
      <c r="C389" t="inlineStr">
        <is>
          <t>Föryngringsavverkning</t>
        </is>
      </c>
      <c r="D389" s="1" t="n">
        <v>45826</v>
      </c>
      <c r="E389" s="1" t="n">
        <v>46219</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20129-2026</t>
        </is>
      </c>
      <c r="B390" t="inlineStr">
        <is>
          <t>avverkningsanmälan</t>
        </is>
      </c>
      <c r="C390" t="inlineStr">
        <is>
          <t>Föryngringsavverkning</t>
        </is>
      </c>
      <c r="D390" s="1" t="n">
        <v>46136</v>
      </c>
      <c r="E390" s="1" t="n">
        <v>46219</v>
      </c>
      <c r="F390" t="inlineStr">
        <is>
          <t>NORRBOTTENS LÄN</t>
        </is>
      </c>
      <c r="G390" t="inlineStr">
        <is>
          <t>ÖVERTORNEÅ</t>
        </is>
      </c>
      <c r="H390" t="inlineStr">
        <is>
          <t>Sveaskog</t>
        </is>
      </c>
      <c r="I390" t="n">
        <v>33.5</v>
      </c>
      <c r="J390" t="n">
        <v>0</v>
      </c>
      <c r="K390" t="n">
        <v>0</v>
      </c>
      <c r="L390" t="n">
        <v>0</v>
      </c>
      <c r="M390" t="n">
        <v>0</v>
      </c>
      <c r="N390" t="n">
        <v>0</v>
      </c>
      <c r="O390" t="n">
        <v>0</v>
      </c>
      <c r="P390" t="n">
        <v>0</v>
      </c>
      <c r="Q390" t="n">
        <v>0</v>
      </c>
      <c r="R390" t="n">
        <v>0</v>
      </c>
      <c r="S390" t="n">
        <v>0</v>
      </c>
      <c r="T390" t="n">
        <v>0</v>
      </c>
      <c r="U390" s="2" t="inlineStr"/>
    </row>
    <row r="391" ht="15" customHeight="1">
      <c r="A391" t="inlineStr">
        <is>
          <t>A 25751-2026</t>
        </is>
      </c>
      <c r="B391" t="inlineStr">
        <is>
          <t>avverkningsanmälan</t>
        </is>
      </c>
      <c r="C391" t="inlineStr">
        <is>
          <t>Föryngringsavverkning</t>
        </is>
      </c>
      <c r="D391" s="1" t="n">
        <v>46178</v>
      </c>
      <c r="E391" s="1" t="n">
        <v>46219</v>
      </c>
      <c r="F391" t="inlineStr">
        <is>
          <t>NORRBOTTENS LÄN</t>
        </is>
      </c>
      <c r="G391" t="inlineStr">
        <is>
          <t>ÖVERTORNEÅ</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13842-2024</t>
        </is>
      </c>
      <c r="B392" t="inlineStr">
        <is>
          <t>avverkningsanmälan</t>
        </is>
      </c>
      <c r="C392" t="inlineStr">
        <is>
          <t>Föryngringsavverkning</t>
        </is>
      </c>
      <c r="D392" s="1" t="n">
        <v>45390</v>
      </c>
      <c r="E392" s="1" t="n">
        <v>46219</v>
      </c>
      <c r="F392" t="inlineStr">
        <is>
          <t>NORRBOTTENS LÄN</t>
        </is>
      </c>
      <c r="G392" t="inlineStr">
        <is>
          <t>ÖVERTORNEÅ</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25776-2026</t>
        </is>
      </c>
      <c r="B393" t="inlineStr">
        <is>
          <t>avverkningsanmälan</t>
        </is>
      </c>
      <c r="C393" t="inlineStr">
        <is>
          <t>Föryngringsavverkning</t>
        </is>
      </c>
      <c r="D393" s="1" t="n">
        <v>46178</v>
      </c>
      <c r="E393" s="1" t="n">
        <v>46219</v>
      </c>
      <c r="F393" t="inlineStr">
        <is>
          <t>NORRBOTTENS LÄN</t>
        </is>
      </c>
      <c r="G393" t="inlineStr">
        <is>
          <t>ÖVERTORNEÅ</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30647-2023</t>
        </is>
      </c>
      <c r="B394" t="inlineStr">
        <is>
          <t>avverkningsanmälan</t>
        </is>
      </c>
      <c r="C394" t="inlineStr">
        <is>
          <t>Föryngringsavverkning</t>
        </is>
      </c>
      <c r="D394" s="1" t="n">
        <v>45112</v>
      </c>
      <c r="E394" s="1" t="n">
        <v>46219</v>
      </c>
      <c r="F394" t="inlineStr">
        <is>
          <t>NORRBOTTENS LÄN</t>
        </is>
      </c>
      <c r="G394" t="inlineStr">
        <is>
          <t>ÖVERTORNEÅ</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30780-2025</t>
        </is>
      </c>
      <c r="B395" t="inlineStr">
        <is>
          <t>avverkningsanmälan</t>
        </is>
      </c>
      <c r="C395" t="inlineStr">
        <is>
          <t>Föryngringsavverkning</t>
        </is>
      </c>
      <c r="D395" s="1" t="n">
        <v>45831</v>
      </c>
      <c r="E395" s="1" t="n">
        <v>46219</v>
      </c>
      <c r="F395" t="inlineStr">
        <is>
          <t>NORRBOTTENS LÄN</t>
        </is>
      </c>
      <c r="G395" t="inlineStr">
        <is>
          <t>ÖVERTORNEÅ</t>
        </is>
      </c>
      <c r="H395" t="inlineStr">
        <is>
          <t>Sveaskog</t>
        </is>
      </c>
      <c r="I395" t="n">
        <v>4.3</v>
      </c>
      <c r="J395" t="n">
        <v>0</v>
      </c>
      <c r="K395" t="n">
        <v>0</v>
      </c>
      <c r="L395" t="n">
        <v>0</v>
      </c>
      <c r="M395" t="n">
        <v>0</v>
      </c>
      <c r="N395" t="n">
        <v>0</v>
      </c>
      <c r="O395" t="n">
        <v>0</v>
      </c>
      <c r="P395" t="n">
        <v>0</v>
      </c>
      <c r="Q395" t="n">
        <v>0</v>
      </c>
      <c r="R395" t="n">
        <v>0</v>
      </c>
      <c r="S395" t="n">
        <v>0</v>
      </c>
      <c r="T395" t="n">
        <v>0</v>
      </c>
      <c r="U395" s="2" t="inlineStr"/>
    </row>
    <row r="396" ht="15" customHeight="1">
      <c r="A396" t="inlineStr">
        <is>
          <t>A 26209-2024</t>
        </is>
      </c>
      <c r="B396" t="inlineStr">
        <is>
          <t>avverkningsanmälan</t>
        </is>
      </c>
      <c r="C396" t="inlineStr">
        <is>
          <t>Föryngringsavverkning</t>
        </is>
      </c>
      <c r="D396" s="1" t="n">
        <v>45467</v>
      </c>
      <c r="E396" s="1" t="n">
        <v>46219</v>
      </c>
      <c r="F396" t="inlineStr">
        <is>
          <t>NORRBOTTENS LÄN</t>
        </is>
      </c>
      <c r="G396" t="inlineStr">
        <is>
          <t>ÖVERTORNEÅ</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46032-2021</t>
        </is>
      </c>
      <c r="B397" t="inlineStr">
        <is>
          <t>avverkningsanmälan</t>
        </is>
      </c>
      <c r="C397" t="inlineStr">
        <is>
          <t>Föryngringsavverkning</t>
        </is>
      </c>
      <c r="D397" s="1" t="n">
        <v>44441</v>
      </c>
      <c r="E397" s="1" t="n">
        <v>46219</v>
      </c>
      <c r="F397" t="inlineStr">
        <is>
          <t>NORRBOTTENS LÄN</t>
        </is>
      </c>
      <c r="G397" t="inlineStr">
        <is>
          <t>ÖVERTORNEÅ</t>
        </is>
      </c>
      <c r="I397" t="n">
        <v>6</v>
      </c>
      <c r="J397" t="n">
        <v>0</v>
      </c>
      <c r="K397" t="n">
        <v>0</v>
      </c>
      <c r="L397" t="n">
        <v>0</v>
      </c>
      <c r="M397" t="n">
        <v>0</v>
      </c>
      <c r="N397" t="n">
        <v>0</v>
      </c>
      <c r="O397" t="n">
        <v>0</v>
      </c>
      <c r="P397" t="n">
        <v>0</v>
      </c>
      <c r="Q397" t="n">
        <v>0</v>
      </c>
      <c r="R397" t="n">
        <v>0</v>
      </c>
      <c r="S397" t="n">
        <v>0</v>
      </c>
      <c r="T397" t="n">
        <v>0</v>
      </c>
      <c r="U397" s="2" t="inlineStr"/>
    </row>
    <row r="398" ht="15" customHeight="1">
      <c r="A398" t="inlineStr">
        <is>
          <t>A 6593-2022</t>
        </is>
      </c>
      <c r="B398" t="inlineStr">
        <is>
          <t>avverkningsanmälan</t>
        </is>
      </c>
      <c r="C398" t="inlineStr">
        <is>
          <t>Föryngringsavverkning</t>
        </is>
      </c>
      <c r="D398" s="1" t="n">
        <v>44601</v>
      </c>
      <c r="E398" s="1" t="n">
        <v>46219</v>
      </c>
      <c r="F398" t="inlineStr">
        <is>
          <t>NORRBOTTENS LÄN</t>
        </is>
      </c>
      <c r="G398" t="inlineStr">
        <is>
          <t>ÖVERTORNEÅ</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48780-2021</t>
        </is>
      </c>
      <c r="B399" t="inlineStr">
        <is>
          <t>avverkningsanmälan</t>
        </is>
      </c>
      <c r="C399" t="inlineStr">
        <is>
          <t>Föryngringsavverkning</t>
        </is>
      </c>
      <c r="D399" s="1" t="n">
        <v>44452</v>
      </c>
      <c r="E399" s="1" t="n">
        <v>46219</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s="2" t="inlineStr"/>
    </row>
    <row r="400" ht="15" customHeight="1">
      <c r="A400" t="inlineStr">
        <is>
          <t>A 31773-2025</t>
        </is>
      </c>
      <c r="B400" t="inlineStr">
        <is>
          <t>avverkningsanmälan</t>
        </is>
      </c>
      <c r="C400" t="inlineStr">
        <is>
          <t>Föryngringsavverkning</t>
        </is>
      </c>
      <c r="D400" s="1" t="n">
        <v>45834</v>
      </c>
      <c r="E400" s="1" t="n">
        <v>46219</v>
      </c>
      <c r="F400" t="inlineStr">
        <is>
          <t>NORRBOTTENS LÄN</t>
        </is>
      </c>
      <c r="G400" t="inlineStr">
        <is>
          <t>ÖVERTORNEÅ</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A 32144-2025</t>
        </is>
      </c>
      <c r="B401" t="inlineStr">
        <is>
          <t>avverkningsanmälan</t>
        </is>
      </c>
      <c r="C401" t="inlineStr">
        <is>
          <t>Föryngringsavverkning</t>
        </is>
      </c>
      <c r="D401" s="1" t="n">
        <v>45835</v>
      </c>
      <c r="E401" s="1" t="n">
        <v>46219</v>
      </c>
      <c r="F401" t="inlineStr">
        <is>
          <t>NORRBOTTENS LÄN</t>
        </is>
      </c>
      <c r="G401" t="inlineStr">
        <is>
          <t>ÖVERTORNEÅ</t>
        </is>
      </c>
      <c r="H401" t="inlineStr">
        <is>
          <t>Sveaskog</t>
        </is>
      </c>
      <c r="I401" t="n">
        <v>4.3</v>
      </c>
      <c r="J401" t="n">
        <v>0</v>
      </c>
      <c r="K401" t="n">
        <v>0</v>
      </c>
      <c r="L401" t="n">
        <v>0</v>
      </c>
      <c r="M401" t="n">
        <v>0</v>
      </c>
      <c r="N401" t="n">
        <v>0</v>
      </c>
      <c r="O401" t="n">
        <v>0</v>
      </c>
      <c r="P401" t="n">
        <v>0</v>
      </c>
      <c r="Q401" t="n">
        <v>0</v>
      </c>
      <c r="R401" t="n">
        <v>0</v>
      </c>
      <c r="S401" t="n">
        <v>0</v>
      </c>
      <c r="T401" t="n">
        <v>0</v>
      </c>
      <c r="U401" s="2" t="inlineStr"/>
    </row>
    <row r="402" ht="15" customHeight="1">
      <c r="A402" t="inlineStr">
        <is>
          <t>A 32576-2025</t>
        </is>
      </c>
      <c r="B402" t="inlineStr">
        <is>
          <t>avverkningsanmälan</t>
        </is>
      </c>
      <c r="C402" t="inlineStr">
        <is>
          <t>Föryngringsavverkning</t>
        </is>
      </c>
      <c r="D402" s="1" t="n">
        <v>45838</v>
      </c>
      <c r="E402" s="1" t="n">
        <v>46219</v>
      </c>
      <c r="F402" t="inlineStr">
        <is>
          <t>NORRBOTTENS LÄN</t>
        </is>
      </c>
      <c r="G402" t="inlineStr">
        <is>
          <t>ÖVERTORNEÅ</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26156-2026</t>
        </is>
      </c>
      <c r="B403" t="inlineStr">
        <is>
          <t>avverkningsanmälan</t>
        </is>
      </c>
      <c r="C403" t="inlineStr">
        <is>
          <t>Avverkning för annat ändamål</t>
        </is>
      </c>
      <c r="D403" s="1" t="n">
        <v>46181</v>
      </c>
      <c r="E403" s="1" t="n">
        <v>46219</v>
      </c>
      <c r="F403" t="inlineStr">
        <is>
          <t>NORRBOTTENS LÄN</t>
        </is>
      </c>
      <c r="G403" t="inlineStr">
        <is>
          <t>ÖVERTORNEÅ</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32156-2025</t>
        </is>
      </c>
      <c r="B404" t="inlineStr">
        <is>
          <t>avverkningsanmälan</t>
        </is>
      </c>
      <c r="C404" t="inlineStr">
        <is>
          <t>Föryngringsavverkning</t>
        </is>
      </c>
      <c r="D404" s="1" t="n">
        <v>45835</v>
      </c>
      <c r="E404" s="1" t="n">
        <v>46219</v>
      </c>
      <c r="F404" t="inlineStr">
        <is>
          <t>NORRBOTTENS LÄN</t>
        </is>
      </c>
      <c r="G404" t="inlineStr">
        <is>
          <t>ÖVERTORNEÅ</t>
        </is>
      </c>
      <c r="H404" t="inlineStr">
        <is>
          <t>Sveaskog</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26556-2023</t>
        </is>
      </c>
      <c r="B405" t="inlineStr">
        <is>
          <t>avverkningsanmälan</t>
        </is>
      </c>
      <c r="C405" t="inlineStr">
        <is>
          <t>Avverkning för annat ändamål</t>
        </is>
      </c>
      <c r="D405" s="1" t="n">
        <v>45092</v>
      </c>
      <c r="E405" s="1" t="n">
        <v>46219</v>
      </c>
      <c r="F405" t="inlineStr">
        <is>
          <t>NORRBOTTENS LÄN</t>
        </is>
      </c>
      <c r="G405" t="inlineStr">
        <is>
          <t>ÖVERTORNEÅ</t>
        </is>
      </c>
      <c r="H405" t="inlineStr">
        <is>
          <t>Sveaskog</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A 26154-2026</t>
        </is>
      </c>
      <c r="B406" t="inlineStr">
        <is>
          <t>avverkningsanmälan</t>
        </is>
      </c>
      <c r="C406" t="inlineStr">
        <is>
          <t>Avverkning för annat ändamål</t>
        </is>
      </c>
      <c r="D406" s="1" t="n">
        <v>46181</v>
      </c>
      <c r="E406" s="1" t="n">
        <v>46219</v>
      </c>
      <c r="F406" t="inlineStr">
        <is>
          <t>NORRBOTTENS LÄN</t>
        </is>
      </c>
      <c r="G406" t="inlineStr">
        <is>
          <t>ÖVERTORNEÅ</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35220-2022</t>
        </is>
      </c>
      <c r="B407" t="inlineStr">
        <is>
          <t>avverkningsanmälan</t>
        </is>
      </c>
      <c r="C407" t="inlineStr">
        <is>
          <t>Föryngringsavverkning</t>
        </is>
      </c>
      <c r="D407" s="1" t="n">
        <v>44797</v>
      </c>
      <c r="E407" s="1" t="n">
        <v>46219</v>
      </c>
      <c r="F407" t="inlineStr">
        <is>
          <t>NORRBOTTENS LÄN</t>
        </is>
      </c>
      <c r="G407" t="inlineStr">
        <is>
          <t>ÖVERTORNEÅ</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6935-2026</t>
        </is>
      </c>
      <c r="B408" t="inlineStr">
        <is>
          <t>avverkningsanmälan</t>
        </is>
      </c>
      <c r="C408" t="inlineStr">
        <is>
          <t>Föryngringsavverkning</t>
        </is>
      </c>
      <c r="D408" s="1" t="n">
        <v>46057</v>
      </c>
      <c r="E408" s="1" t="n">
        <v>46219</v>
      </c>
      <c r="F408" t="inlineStr">
        <is>
          <t>NORRBOTTENS LÄN</t>
        </is>
      </c>
      <c r="G408" t="inlineStr">
        <is>
          <t>ÖVERTORNEÅ</t>
        </is>
      </c>
      <c r="I408" t="n">
        <v>3.1</v>
      </c>
      <c r="J408" t="n">
        <v>0</v>
      </c>
      <c r="K408" t="n">
        <v>0</v>
      </c>
      <c r="L408" t="n">
        <v>0</v>
      </c>
      <c r="M408" t="n">
        <v>0</v>
      </c>
      <c r="N408" t="n">
        <v>0</v>
      </c>
      <c r="O408" t="n">
        <v>0</v>
      </c>
      <c r="P408" t="n">
        <v>0</v>
      </c>
      <c r="Q408" t="n">
        <v>0</v>
      </c>
      <c r="R408" t="n">
        <v>0</v>
      </c>
      <c r="S408" t="n">
        <v>0</v>
      </c>
      <c r="T408" t="n">
        <v>0</v>
      </c>
      <c r="U408" s="2" t="inlineStr"/>
    </row>
    <row r="409" ht="15" customHeight="1">
      <c r="A409" t="inlineStr">
        <is>
          <t>A 11972-2024</t>
        </is>
      </c>
      <c r="B409" t="inlineStr">
        <is>
          <t>avverkningsanmälan</t>
        </is>
      </c>
      <c r="C409" t="inlineStr">
        <is>
          <t>Föryngringsavverkning</t>
        </is>
      </c>
      <c r="D409" s="1" t="n">
        <v>45376</v>
      </c>
      <c r="E409" s="1" t="n">
        <v>46219</v>
      </c>
      <c r="F409" t="inlineStr">
        <is>
          <t>NORRBOTTENS LÄN</t>
        </is>
      </c>
      <c r="G409" t="inlineStr">
        <is>
          <t>ÖVERTORNEÅ</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63465-2025</t>
        </is>
      </c>
      <c r="B410" t="inlineStr">
        <is>
          <t>avverkningsanmälan</t>
        </is>
      </c>
      <c r="C410" t="inlineStr">
        <is>
          <t>Föryngringsavverkning</t>
        </is>
      </c>
      <c r="D410" s="1" t="n">
        <v>46013</v>
      </c>
      <c r="E410" s="1" t="n">
        <v>46219</v>
      </c>
      <c r="F410" t="inlineStr">
        <is>
          <t>NORRBOTTENS LÄN</t>
        </is>
      </c>
      <c r="G410" t="inlineStr">
        <is>
          <t>ÖVERTORNEÅ</t>
        </is>
      </c>
      <c r="I410" t="n">
        <v>12.7</v>
      </c>
      <c r="J410" t="n">
        <v>0</v>
      </c>
      <c r="K410" t="n">
        <v>0</v>
      </c>
      <c r="L410" t="n">
        <v>0</v>
      </c>
      <c r="M410" t="n">
        <v>0</v>
      </c>
      <c r="N410" t="n">
        <v>0</v>
      </c>
      <c r="O410" t="n">
        <v>0</v>
      </c>
      <c r="P410" t="n">
        <v>0</v>
      </c>
      <c r="Q410" t="n">
        <v>0</v>
      </c>
      <c r="R410" t="n">
        <v>0</v>
      </c>
      <c r="S410" t="n">
        <v>0</v>
      </c>
      <c r="T410" t="n">
        <v>0</v>
      </c>
      <c r="U410" s="2" t="inlineStr"/>
    </row>
    <row r="411" ht="15" customHeight="1">
      <c r="A411" t="inlineStr">
        <is>
          <t>A 34801-2025</t>
        </is>
      </c>
      <c r="B411" t="inlineStr">
        <is>
          <t>avverkningsanmälan</t>
        </is>
      </c>
      <c r="C411" t="inlineStr">
        <is>
          <t>Föryngringsavverkning</t>
        </is>
      </c>
      <c r="D411" s="1" t="n">
        <v>45848</v>
      </c>
      <c r="E411" s="1" t="n">
        <v>46219</v>
      </c>
      <c r="F411" t="inlineStr">
        <is>
          <t>NORRBOTTENS LÄN</t>
        </is>
      </c>
      <c r="G411" t="inlineStr">
        <is>
          <t>ÖVERTORNEÅ</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34799-2025</t>
        </is>
      </c>
      <c r="B412" t="inlineStr">
        <is>
          <t>avverkningsanmälan</t>
        </is>
      </c>
      <c r="C412" t="inlineStr">
        <is>
          <t>Föryngringsavverkning</t>
        </is>
      </c>
      <c r="D412" s="1" t="n">
        <v>45848</v>
      </c>
      <c r="E412" s="1" t="n">
        <v>46219</v>
      </c>
      <c r="F412" t="inlineStr">
        <is>
          <t>NORRBOTTENS LÄN</t>
        </is>
      </c>
      <c r="G412" t="inlineStr">
        <is>
          <t>ÖVERTORNEÅ</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20516-2026</t>
        </is>
      </c>
      <c r="B413" t="inlineStr">
        <is>
          <t>avverkningsanmälan</t>
        </is>
      </c>
      <c r="C413" t="inlineStr">
        <is>
          <t>Föryngringsavverkning</t>
        </is>
      </c>
      <c r="D413" s="1" t="n">
        <v>46140</v>
      </c>
      <c r="E413" s="1" t="n">
        <v>46219</v>
      </c>
      <c r="F413" t="inlineStr">
        <is>
          <t>NORRBOTTENS LÄN</t>
        </is>
      </c>
      <c r="G413" t="inlineStr">
        <is>
          <t>ÖVERTORNEÅ</t>
        </is>
      </c>
      <c r="I413" t="n">
        <v>6.9</v>
      </c>
      <c r="J413" t="n">
        <v>0</v>
      </c>
      <c r="K413" t="n">
        <v>0</v>
      </c>
      <c r="L413" t="n">
        <v>0</v>
      </c>
      <c r="M413" t="n">
        <v>0</v>
      </c>
      <c r="N413" t="n">
        <v>0</v>
      </c>
      <c r="O413" t="n">
        <v>0</v>
      </c>
      <c r="P413" t="n">
        <v>0</v>
      </c>
      <c r="Q413" t="n">
        <v>0</v>
      </c>
      <c r="R413" t="n">
        <v>0</v>
      </c>
      <c r="S413" t="n">
        <v>0</v>
      </c>
      <c r="T413" t="n">
        <v>0</v>
      </c>
      <c r="U413" s="2" t="inlineStr"/>
    </row>
    <row r="414" ht="15" customHeight="1">
      <c r="A414" t="inlineStr">
        <is>
          <t>A 20537-2026</t>
        </is>
      </c>
      <c r="B414" t="inlineStr">
        <is>
          <t>avverkningsanmälan</t>
        </is>
      </c>
      <c r="C414" t="inlineStr">
        <is>
          <t>Föryngringsavverkning</t>
        </is>
      </c>
      <c r="D414" s="1" t="n">
        <v>46140</v>
      </c>
      <c r="E414" s="1" t="n">
        <v>46219</v>
      </c>
      <c r="F414" t="inlineStr">
        <is>
          <t>NORRBOTTENS LÄN</t>
        </is>
      </c>
      <c r="G414" t="inlineStr">
        <is>
          <t>ÖVERTORNEÅ</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35603-2025</t>
        </is>
      </c>
      <c r="B415" t="inlineStr">
        <is>
          <t>avverkningsanmälan</t>
        </is>
      </c>
      <c r="C415" t="inlineStr">
        <is>
          <t>Föryngringsavverkning</t>
        </is>
      </c>
      <c r="D415" s="1" t="n">
        <v>45859</v>
      </c>
      <c r="E415" s="1" t="n">
        <v>46219</v>
      </c>
      <c r="F415" t="inlineStr">
        <is>
          <t>NORRBOTTENS LÄN</t>
        </is>
      </c>
      <c r="G415" t="inlineStr">
        <is>
          <t>ÖVERTORNEÅ</t>
        </is>
      </c>
      <c r="H415" t="inlineStr">
        <is>
          <t>Sveaskog</t>
        </is>
      </c>
      <c r="I415" t="n">
        <v>2.2</v>
      </c>
      <c r="J415" t="n">
        <v>0</v>
      </c>
      <c r="K415" t="n">
        <v>0</v>
      </c>
      <c r="L415" t="n">
        <v>0</v>
      </c>
      <c r="M415" t="n">
        <v>0</v>
      </c>
      <c r="N415" t="n">
        <v>0</v>
      </c>
      <c r="O415" t="n">
        <v>0</v>
      </c>
      <c r="P415" t="n">
        <v>0</v>
      </c>
      <c r="Q415" t="n">
        <v>0</v>
      </c>
      <c r="R415" t="n">
        <v>0</v>
      </c>
      <c r="S415" t="n">
        <v>0</v>
      </c>
      <c r="T415" t="n">
        <v>0</v>
      </c>
      <c r="U415" s="2" t="inlineStr"/>
    </row>
    <row r="416" ht="15" customHeight="1">
      <c r="A416" t="inlineStr">
        <is>
          <t>A 35594-2025</t>
        </is>
      </c>
      <c r="B416" t="inlineStr">
        <is>
          <t>avverkningsanmälan</t>
        </is>
      </c>
      <c r="C416" t="inlineStr">
        <is>
          <t>Föryngringsavverkning</t>
        </is>
      </c>
      <c r="D416" s="1" t="n">
        <v>45857</v>
      </c>
      <c r="E416" s="1" t="n">
        <v>46219</v>
      </c>
      <c r="F416" t="inlineStr">
        <is>
          <t>NORRBOTTENS LÄN</t>
        </is>
      </c>
      <c r="G416" t="inlineStr">
        <is>
          <t>ÖVERTORNEÅ</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35591-2025</t>
        </is>
      </c>
      <c r="B417" t="inlineStr">
        <is>
          <t>avverkningsanmälan</t>
        </is>
      </c>
      <c r="C417" t="inlineStr">
        <is>
          <t>Föryngringsavverkning</t>
        </is>
      </c>
      <c r="D417" s="1" t="n">
        <v>45857</v>
      </c>
      <c r="E417" s="1" t="n">
        <v>46219</v>
      </c>
      <c r="F417" t="inlineStr">
        <is>
          <t>NORRBOTTENS LÄN</t>
        </is>
      </c>
      <c r="G417" t="inlineStr">
        <is>
          <t>ÖVERTORNEÅ</t>
        </is>
      </c>
      <c r="I417" t="n">
        <v>0.3</v>
      </c>
      <c r="J417" t="n">
        <v>0</v>
      </c>
      <c r="K417" t="n">
        <v>0</v>
      </c>
      <c r="L417" t="n">
        <v>0</v>
      </c>
      <c r="M417" t="n">
        <v>0</v>
      </c>
      <c r="N417" t="n">
        <v>0</v>
      </c>
      <c r="O417" t="n">
        <v>0</v>
      </c>
      <c r="P417" t="n">
        <v>0</v>
      </c>
      <c r="Q417" t="n">
        <v>0</v>
      </c>
      <c r="R417" t="n">
        <v>0</v>
      </c>
      <c r="S417" t="n">
        <v>0</v>
      </c>
      <c r="T417" t="n">
        <v>0</v>
      </c>
      <c r="U417" s="2" t="inlineStr"/>
    </row>
    <row r="418" ht="15" customHeight="1">
      <c r="A418" t="inlineStr">
        <is>
          <t>A 21316-2026</t>
        </is>
      </c>
      <c r="B418" t="inlineStr">
        <is>
          <t>avverkningsanmälan</t>
        </is>
      </c>
      <c r="C418" t="inlineStr">
        <is>
          <t>Föryngringsavverkning</t>
        </is>
      </c>
      <c r="D418" s="1" t="n">
        <v>46142</v>
      </c>
      <c r="E418" s="1" t="n">
        <v>46219</v>
      </c>
      <c r="F418" t="inlineStr">
        <is>
          <t>NORRBOTTENS LÄN</t>
        </is>
      </c>
      <c r="G418" t="inlineStr">
        <is>
          <t>ÖVERTORNEÅ</t>
        </is>
      </c>
      <c r="I418" t="n">
        <v>10.7</v>
      </c>
      <c r="J418" t="n">
        <v>0</v>
      </c>
      <c r="K418" t="n">
        <v>0</v>
      </c>
      <c r="L418" t="n">
        <v>0</v>
      </c>
      <c r="M418" t="n">
        <v>0</v>
      </c>
      <c r="N418" t="n">
        <v>0</v>
      </c>
      <c r="O418" t="n">
        <v>0</v>
      </c>
      <c r="P418" t="n">
        <v>0</v>
      </c>
      <c r="Q418" t="n">
        <v>0</v>
      </c>
      <c r="R418" t="n">
        <v>0</v>
      </c>
      <c r="S418" t="n">
        <v>0</v>
      </c>
      <c r="T418" t="n">
        <v>0</v>
      </c>
      <c r="U418" s="2" t="inlineStr"/>
    </row>
    <row r="419" ht="15" customHeight="1">
      <c r="A419" t="inlineStr">
        <is>
          <t>A 35837-2025</t>
        </is>
      </c>
      <c r="B419" t="inlineStr">
        <is>
          <t>avverkningsanmälan</t>
        </is>
      </c>
      <c r="C419" t="inlineStr">
        <is>
          <t>Föryngringsavverkning</t>
        </is>
      </c>
      <c r="D419" s="1" t="n">
        <v>45861</v>
      </c>
      <c r="E419" s="1" t="n">
        <v>46219</v>
      </c>
      <c r="F419" t="inlineStr">
        <is>
          <t>NORRBOTTENS LÄN</t>
        </is>
      </c>
      <c r="G419" t="inlineStr">
        <is>
          <t>ÖVERTORNEÅ</t>
        </is>
      </c>
      <c r="I419" t="n">
        <v>16.4</v>
      </c>
      <c r="J419" t="n">
        <v>0</v>
      </c>
      <c r="K419" t="n">
        <v>0</v>
      </c>
      <c r="L419" t="n">
        <v>0</v>
      </c>
      <c r="M419" t="n">
        <v>0</v>
      </c>
      <c r="N419" t="n">
        <v>0</v>
      </c>
      <c r="O419" t="n">
        <v>0</v>
      </c>
      <c r="P419" t="n">
        <v>0</v>
      </c>
      <c r="Q419" t="n">
        <v>0</v>
      </c>
      <c r="R419" t="n">
        <v>0</v>
      </c>
      <c r="S419" t="n">
        <v>0</v>
      </c>
      <c r="T419" t="n">
        <v>0</v>
      </c>
      <c r="U419" s="2" t="inlineStr"/>
    </row>
    <row r="420" ht="15" customHeight="1">
      <c r="A420" t="inlineStr">
        <is>
          <t>A 26372-2026</t>
        </is>
      </c>
      <c r="B420" t="inlineStr">
        <is>
          <t>avverkningsanmälan</t>
        </is>
      </c>
      <c r="C420" t="inlineStr">
        <is>
          <t>Föryngringsavverkning</t>
        </is>
      </c>
      <c r="D420" s="1" t="n">
        <v>46183</v>
      </c>
      <c r="E420" s="1" t="n">
        <v>46219</v>
      </c>
      <c r="F420" t="inlineStr">
        <is>
          <t>NORRBOTTENS LÄN</t>
        </is>
      </c>
      <c r="G420" t="inlineStr">
        <is>
          <t>ÖVERTORNEÅ</t>
        </is>
      </c>
      <c r="I420" t="n">
        <v>4.3</v>
      </c>
      <c r="J420" t="n">
        <v>0</v>
      </c>
      <c r="K420" t="n">
        <v>0</v>
      </c>
      <c r="L420" t="n">
        <v>0</v>
      </c>
      <c r="M420" t="n">
        <v>0</v>
      </c>
      <c r="N420" t="n">
        <v>0</v>
      </c>
      <c r="O420" t="n">
        <v>0</v>
      </c>
      <c r="P420" t="n">
        <v>0</v>
      </c>
      <c r="Q420" t="n">
        <v>0</v>
      </c>
      <c r="R420" t="n">
        <v>0</v>
      </c>
      <c r="S420" t="n">
        <v>0</v>
      </c>
      <c r="T420" t="n">
        <v>0</v>
      </c>
      <c r="U420" s="2" t="inlineStr"/>
    </row>
    <row r="421" ht="15" customHeight="1">
      <c r="A421" t="inlineStr">
        <is>
          <t>A 36115-2025</t>
        </is>
      </c>
      <c r="B421" t="inlineStr">
        <is>
          <t>avverkningsanmälan</t>
        </is>
      </c>
      <c r="C421" t="inlineStr">
        <is>
          <t>Föryngringsavverkning</t>
        </is>
      </c>
      <c r="D421" s="1" t="n">
        <v>45866</v>
      </c>
      <c r="E421" s="1" t="n">
        <v>46219</v>
      </c>
      <c r="F421" t="inlineStr">
        <is>
          <t>NORRBOTTENS LÄN</t>
        </is>
      </c>
      <c r="G421" t="inlineStr">
        <is>
          <t>ÖVERTORNEÅ</t>
        </is>
      </c>
      <c r="H421" t="inlineStr">
        <is>
          <t>Sveaskog</t>
        </is>
      </c>
      <c r="I421" t="n">
        <v>12.9</v>
      </c>
      <c r="J421" t="n">
        <v>0</v>
      </c>
      <c r="K421" t="n">
        <v>0</v>
      </c>
      <c r="L421" t="n">
        <v>0</v>
      </c>
      <c r="M421" t="n">
        <v>0</v>
      </c>
      <c r="N421" t="n">
        <v>0</v>
      </c>
      <c r="O421" t="n">
        <v>0</v>
      </c>
      <c r="P421" t="n">
        <v>0</v>
      </c>
      <c r="Q421" t="n">
        <v>0</v>
      </c>
      <c r="R421" t="n">
        <v>0</v>
      </c>
      <c r="S421" t="n">
        <v>0</v>
      </c>
      <c r="T421" t="n">
        <v>0</v>
      </c>
      <c r="U421" s="2" t="inlineStr"/>
    </row>
    <row r="422" ht="15" customHeight="1">
      <c r="A422" t="inlineStr">
        <is>
          <t>A 36608-2025</t>
        </is>
      </c>
      <c r="B422" t="inlineStr">
        <is>
          <t>avverkningsanmälan</t>
        </is>
      </c>
      <c r="C422" t="inlineStr">
        <is>
          <t>Föryngringsavverkning</t>
        </is>
      </c>
      <c r="D422" s="1" t="n">
        <v>45870</v>
      </c>
      <c r="E422" s="1" t="n">
        <v>46219</v>
      </c>
      <c r="F422" t="inlineStr">
        <is>
          <t>NORRBOTTENS LÄN</t>
        </is>
      </c>
      <c r="G422" t="inlineStr">
        <is>
          <t>ÖVERTORNEÅ</t>
        </is>
      </c>
      <c r="H422" t="inlineStr">
        <is>
          <t>Sveaskog</t>
        </is>
      </c>
      <c r="I422" t="n">
        <v>9.800000000000001</v>
      </c>
      <c r="J422" t="n">
        <v>0</v>
      </c>
      <c r="K422" t="n">
        <v>0</v>
      </c>
      <c r="L422" t="n">
        <v>0</v>
      </c>
      <c r="M422" t="n">
        <v>0</v>
      </c>
      <c r="N422" t="n">
        <v>0</v>
      </c>
      <c r="O422" t="n">
        <v>0</v>
      </c>
      <c r="P422" t="n">
        <v>0</v>
      </c>
      <c r="Q422" t="n">
        <v>0</v>
      </c>
      <c r="R422" t="n">
        <v>0</v>
      </c>
      <c r="S422" t="n">
        <v>0</v>
      </c>
      <c r="T422" t="n">
        <v>0</v>
      </c>
      <c r="U422" s="2" t="inlineStr"/>
    </row>
    <row r="423" ht="15" customHeight="1">
      <c r="A423" t="inlineStr">
        <is>
          <t>A 26615-2026</t>
        </is>
      </c>
      <c r="B423" t="inlineStr">
        <is>
          <t>avverkningsanmälan</t>
        </is>
      </c>
      <c r="C423" t="inlineStr">
        <is>
          <t>Föryngringsavverkning</t>
        </is>
      </c>
      <c r="D423" s="1" t="n">
        <v>46184</v>
      </c>
      <c r="E423" s="1" t="n">
        <v>46219</v>
      </c>
      <c r="F423" t="inlineStr">
        <is>
          <t>NORRBOTTENS LÄN</t>
        </is>
      </c>
      <c r="G423" t="inlineStr">
        <is>
          <t>ÖVERTORNEÅ</t>
        </is>
      </c>
      <c r="I423" t="n">
        <v>4.2</v>
      </c>
      <c r="J423" t="n">
        <v>0</v>
      </c>
      <c r="K423" t="n">
        <v>0</v>
      </c>
      <c r="L423" t="n">
        <v>0</v>
      </c>
      <c r="M423" t="n">
        <v>0</v>
      </c>
      <c r="N423" t="n">
        <v>0</v>
      </c>
      <c r="O423" t="n">
        <v>0</v>
      </c>
      <c r="P423" t="n">
        <v>0</v>
      </c>
      <c r="Q423" t="n">
        <v>0</v>
      </c>
      <c r="R423" t="n">
        <v>0</v>
      </c>
      <c r="S423" t="n">
        <v>0</v>
      </c>
      <c r="T423" t="n">
        <v>0</v>
      </c>
      <c r="U423" s="2" t="inlineStr"/>
    </row>
    <row r="424" ht="15" customHeight="1">
      <c r="A424" t="inlineStr">
        <is>
          <t>A 20645-2026</t>
        </is>
      </c>
      <c r="B424" t="inlineStr">
        <is>
          <t>avverkningsanmälan</t>
        </is>
      </c>
      <c r="C424" t="inlineStr">
        <is>
          <t>Föryngringsavverkning</t>
        </is>
      </c>
      <c r="D424" s="1" t="n">
        <v>46141</v>
      </c>
      <c r="E424" s="1" t="n">
        <v>46219</v>
      </c>
      <c r="F424" t="inlineStr">
        <is>
          <t>NORRBOTTENS LÄN</t>
        </is>
      </c>
      <c r="G424" t="inlineStr">
        <is>
          <t>ÖVERTORNEÅ</t>
        </is>
      </c>
      <c r="I424" t="n">
        <v>2.6</v>
      </c>
      <c r="J424" t="n">
        <v>0</v>
      </c>
      <c r="K424" t="n">
        <v>0</v>
      </c>
      <c r="L424" t="n">
        <v>0</v>
      </c>
      <c r="M424" t="n">
        <v>0</v>
      </c>
      <c r="N424" t="n">
        <v>0</v>
      </c>
      <c r="O424" t="n">
        <v>0</v>
      </c>
      <c r="P424" t="n">
        <v>0</v>
      </c>
      <c r="Q424" t="n">
        <v>0</v>
      </c>
      <c r="R424" t="n">
        <v>0</v>
      </c>
      <c r="S424" t="n">
        <v>0</v>
      </c>
      <c r="T424" t="n">
        <v>0</v>
      </c>
      <c r="U424" s="2" t="inlineStr"/>
    </row>
    <row r="425" ht="15" customHeight="1">
      <c r="A425" t="inlineStr">
        <is>
          <t>A 1575-2026</t>
        </is>
      </c>
      <c r="B425" t="inlineStr">
        <is>
          <t>avverkningsanmälan</t>
        </is>
      </c>
      <c r="C425" t="inlineStr">
        <is>
          <t>Föryngringsavverkning</t>
        </is>
      </c>
      <c r="D425" s="1" t="n">
        <v>46034</v>
      </c>
      <c r="E425" s="1" t="n">
        <v>46219</v>
      </c>
      <c r="F425" t="inlineStr">
        <is>
          <t>NORRBOTTENS LÄN</t>
        </is>
      </c>
      <c r="G425" t="inlineStr">
        <is>
          <t>ÖVERTORNEÅ</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26716-2026</t>
        </is>
      </c>
      <c r="B426" t="inlineStr">
        <is>
          <t>avverkningsanmälan</t>
        </is>
      </c>
      <c r="C426" t="inlineStr">
        <is>
          <t>Föryngringsavverkning</t>
        </is>
      </c>
      <c r="D426" s="1" t="n">
        <v>46184</v>
      </c>
      <c r="E426" s="1" t="n">
        <v>46219</v>
      </c>
      <c r="F426" t="inlineStr">
        <is>
          <t>NORRBOTTENS LÄN</t>
        </is>
      </c>
      <c r="G426" t="inlineStr">
        <is>
          <t>ÖVERTORNEÅ</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27012-2026</t>
        </is>
      </c>
      <c r="B427" t="inlineStr">
        <is>
          <t>avverkningsanmälan</t>
        </is>
      </c>
      <c r="C427" t="inlineStr">
        <is>
          <t>Föryngringsavverkning</t>
        </is>
      </c>
      <c r="D427" s="1" t="n">
        <v>46185</v>
      </c>
      <c r="E427" s="1" t="n">
        <v>46219</v>
      </c>
      <c r="F427" t="inlineStr">
        <is>
          <t>NORRBOTTENS LÄN</t>
        </is>
      </c>
      <c r="G427" t="inlineStr">
        <is>
          <t>ÖVERTORNEÅ</t>
        </is>
      </c>
      <c r="I427" t="n">
        <v>22.7</v>
      </c>
      <c r="J427" t="n">
        <v>0</v>
      </c>
      <c r="K427" t="n">
        <v>0</v>
      </c>
      <c r="L427" t="n">
        <v>0</v>
      </c>
      <c r="M427" t="n">
        <v>0</v>
      </c>
      <c r="N427" t="n">
        <v>0</v>
      </c>
      <c r="O427" t="n">
        <v>0</v>
      </c>
      <c r="P427" t="n">
        <v>0</v>
      </c>
      <c r="Q427" t="n">
        <v>0</v>
      </c>
      <c r="R427" t="n">
        <v>0</v>
      </c>
      <c r="S427" t="n">
        <v>0</v>
      </c>
      <c r="T427" t="n">
        <v>0</v>
      </c>
      <c r="U427" s="2" t="inlineStr"/>
    </row>
    <row r="428" ht="15" customHeight="1">
      <c r="A428" t="inlineStr">
        <is>
          <t>A 37361-2025</t>
        </is>
      </c>
      <c r="B428" t="inlineStr">
        <is>
          <t>avverkningsanmälan</t>
        </is>
      </c>
      <c r="C428" t="inlineStr">
        <is>
          <t>Föryngringsavverkning</t>
        </is>
      </c>
      <c r="D428" s="1" t="n">
        <v>45877</v>
      </c>
      <c r="E428" s="1" t="n">
        <v>46219</v>
      </c>
      <c r="F428" t="inlineStr">
        <is>
          <t>NORRBOTTENS LÄN</t>
        </is>
      </c>
      <c r="G428" t="inlineStr">
        <is>
          <t>ÖVERTORNEÅ</t>
        </is>
      </c>
      <c r="I428" t="n">
        <v>4.2</v>
      </c>
      <c r="J428" t="n">
        <v>0</v>
      </c>
      <c r="K428" t="n">
        <v>0</v>
      </c>
      <c r="L428" t="n">
        <v>0</v>
      </c>
      <c r="M428" t="n">
        <v>0</v>
      </c>
      <c r="N428" t="n">
        <v>0</v>
      </c>
      <c r="O428" t="n">
        <v>0</v>
      </c>
      <c r="P428" t="n">
        <v>0</v>
      </c>
      <c r="Q428" t="n">
        <v>0</v>
      </c>
      <c r="R428" t="n">
        <v>0</v>
      </c>
      <c r="S428" t="n">
        <v>0</v>
      </c>
      <c r="T428" t="n">
        <v>0</v>
      </c>
      <c r="U428" s="2" t="inlineStr"/>
    </row>
    <row r="429" ht="15" customHeight="1">
      <c r="A429" t="inlineStr">
        <is>
          <t>A 27015-2026</t>
        </is>
      </c>
      <c r="B429" t="inlineStr">
        <is>
          <t>avverkningsanmälan</t>
        </is>
      </c>
      <c r="C429" t="inlineStr">
        <is>
          <t>Föryngringsavverkning</t>
        </is>
      </c>
      <c r="D429" s="1" t="n">
        <v>46185</v>
      </c>
      <c r="E429" s="1" t="n">
        <v>46219</v>
      </c>
      <c r="F429" t="inlineStr">
        <is>
          <t>NORRBOTTENS LÄN</t>
        </is>
      </c>
      <c r="G429" t="inlineStr">
        <is>
          <t>ÖVERTORNEÅ</t>
        </is>
      </c>
      <c r="I429" t="n">
        <v>10.6</v>
      </c>
      <c r="J429" t="n">
        <v>0</v>
      </c>
      <c r="K429" t="n">
        <v>0</v>
      </c>
      <c r="L429" t="n">
        <v>0</v>
      </c>
      <c r="M429" t="n">
        <v>0</v>
      </c>
      <c r="N429" t="n">
        <v>0</v>
      </c>
      <c r="O429" t="n">
        <v>0</v>
      </c>
      <c r="P429" t="n">
        <v>0</v>
      </c>
      <c r="Q429" t="n">
        <v>0</v>
      </c>
      <c r="R429" t="n">
        <v>0</v>
      </c>
      <c r="S429" t="n">
        <v>0</v>
      </c>
      <c r="T429" t="n">
        <v>0</v>
      </c>
      <c r="U429" s="2" t="inlineStr"/>
    </row>
    <row r="430" ht="15" customHeight="1">
      <c r="A430" t="inlineStr">
        <is>
          <t>A 26272-2026</t>
        </is>
      </c>
      <c r="B430" t="inlineStr">
        <is>
          <t>avverkningsanmälan</t>
        </is>
      </c>
      <c r="C430" t="inlineStr">
        <is>
          <t>Föryngringsavverkning</t>
        </is>
      </c>
      <c r="D430" s="1" t="n">
        <v>46182</v>
      </c>
      <c r="E430" s="1" t="n">
        <v>46219</v>
      </c>
      <c r="F430" t="inlineStr">
        <is>
          <t>NORRBOTTENS LÄN</t>
        </is>
      </c>
      <c r="G430" t="inlineStr">
        <is>
          <t>ÖVERTORNEÅ</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27678-2026</t>
        </is>
      </c>
      <c r="B431" t="inlineStr">
        <is>
          <t>avverkningsanmälan</t>
        </is>
      </c>
      <c r="C431" t="inlineStr">
        <is>
          <t>Föryngringsavverkning</t>
        </is>
      </c>
      <c r="D431" s="1" t="n">
        <v>46190</v>
      </c>
      <c r="E431" s="1" t="n">
        <v>46219</v>
      </c>
      <c r="F431" t="inlineStr">
        <is>
          <t>NORRBOTTENS LÄN</t>
        </is>
      </c>
      <c r="G431" t="inlineStr">
        <is>
          <t>ÖVERTORNEÅ</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22600-2026</t>
        </is>
      </c>
      <c r="B432" t="inlineStr">
        <is>
          <t>avverkningsanmälan</t>
        </is>
      </c>
      <c r="C432" t="inlineStr">
        <is>
          <t>Föryngringsavverkning</t>
        </is>
      </c>
      <c r="D432" s="1" t="n">
        <v>46155</v>
      </c>
      <c r="E432" s="1" t="n">
        <v>46219</v>
      </c>
      <c r="F432" t="inlineStr">
        <is>
          <t>NORRBOTTENS LÄN</t>
        </is>
      </c>
      <c r="G432" t="inlineStr">
        <is>
          <t>ÖVERTORNEÅ</t>
        </is>
      </c>
      <c r="I432" t="n">
        <v>2.5</v>
      </c>
      <c r="J432" t="n">
        <v>0</v>
      </c>
      <c r="K432" t="n">
        <v>0</v>
      </c>
      <c r="L432" t="n">
        <v>0</v>
      </c>
      <c r="M432" t="n">
        <v>0</v>
      </c>
      <c r="N432" t="n">
        <v>0</v>
      </c>
      <c r="O432" t="n">
        <v>0</v>
      </c>
      <c r="P432" t="n">
        <v>0</v>
      </c>
      <c r="Q432" t="n">
        <v>0</v>
      </c>
      <c r="R432" t="n">
        <v>0</v>
      </c>
      <c r="S432" t="n">
        <v>0</v>
      </c>
      <c r="T432" t="n">
        <v>0</v>
      </c>
      <c r="U432" s="2" t="inlineStr"/>
    </row>
    <row r="433" ht="15" customHeight="1">
      <c r="A433" t="inlineStr">
        <is>
          <t>A 28457-2026</t>
        </is>
      </c>
      <c r="B433" t="inlineStr">
        <is>
          <t>avverkningsanmälan</t>
        </is>
      </c>
      <c r="C433" t="inlineStr">
        <is>
          <t>Föryngringsavverkning</t>
        </is>
      </c>
      <c r="D433" s="1" t="n">
        <v>46197</v>
      </c>
      <c r="E433" s="1" t="n">
        <v>46219</v>
      </c>
      <c r="F433" t="inlineStr">
        <is>
          <t>NORRBOTTENS LÄN</t>
        </is>
      </c>
      <c r="G433" t="inlineStr">
        <is>
          <t>ÖVERTORNEÅ</t>
        </is>
      </c>
      <c r="I433" t="n">
        <v>3.3</v>
      </c>
      <c r="J433" t="n">
        <v>0</v>
      </c>
      <c r="K433" t="n">
        <v>0</v>
      </c>
      <c r="L433" t="n">
        <v>0</v>
      </c>
      <c r="M433" t="n">
        <v>0</v>
      </c>
      <c r="N433" t="n">
        <v>0</v>
      </c>
      <c r="O433" t="n">
        <v>0</v>
      </c>
      <c r="P433" t="n">
        <v>0</v>
      </c>
      <c r="Q433" t="n">
        <v>0</v>
      </c>
      <c r="R433" t="n">
        <v>0</v>
      </c>
      <c r="S433" t="n">
        <v>0</v>
      </c>
      <c r="T433" t="n">
        <v>0</v>
      </c>
      <c r="U433" s="2" t="inlineStr"/>
    </row>
    <row r="434" ht="15" customHeight="1">
      <c r="A434" t="inlineStr">
        <is>
          <t>A 22908-2026</t>
        </is>
      </c>
      <c r="B434" t="inlineStr">
        <is>
          <t>avverkningsanmälan</t>
        </is>
      </c>
      <c r="C434" t="inlineStr">
        <is>
          <t>Föryngringsavverkning</t>
        </is>
      </c>
      <c r="D434" s="1" t="n">
        <v>46160</v>
      </c>
      <c r="E434" s="1" t="n">
        <v>46219</v>
      </c>
      <c r="F434" t="inlineStr">
        <is>
          <t>NORRBOTTENS LÄN</t>
        </is>
      </c>
      <c r="G434" t="inlineStr">
        <is>
          <t>ÖVERTORNEÅ</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22910-2026</t>
        </is>
      </c>
      <c r="B435" t="inlineStr">
        <is>
          <t>avverkningsanmälan</t>
        </is>
      </c>
      <c r="C435" t="inlineStr">
        <is>
          <t>Föryngringsavverkning</t>
        </is>
      </c>
      <c r="D435" s="1" t="n">
        <v>46160</v>
      </c>
      <c r="E435" s="1" t="n">
        <v>46219</v>
      </c>
      <c r="F435" t="inlineStr">
        <is>
          <t>NORRBOTTENS LÄN</t>
        </is>
      </c>
      <c r="G435" t="inlineStr">
        <is>
          <t>ÖVERTORNEÅ</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S 1410-2025</t>
        </is>
      </c>
      <c r="B436" t="inlineStr">
        <is>
          <t>samrådsanmälan</t>
        </is>
      </c>
      <c r="C436" t="inlineStr">
        <is>
          <t>Skogsgödsling</t>
        </is>
      </c>
      <c r="D436" s="1" t="n">
        <v>45782</v>
      </c>
      <c r="E436" s="1" t="n">
        <v>46219</v>
      </c>
      <c r="F436" t="inlineStr">
        <is>
          <t>NORRBOTTENS LÄN</t>
        </is>
      </c>
      <c r="G436" t="inlineStr">
        <is>
          <t>ÖVERTORNEÅ</t>
        </is>
      </c>
      <c r="H436" t="inlineStr">
        <is>
          <t>Sveaskog</t>
        </is>
      </c>
      <c r="I436" t="n">
        <v>457.8</v>
      </c>
      <c r="J436" t="n">
        <v>0</v>
      </c>
      <c r="K436" t="n">
        <v>0</v>
      </c>
      <c r="L436" t="n">
        <v>0</v>
      </c>
      <c r="M436" t="n">
        <v>0</v>
      </c>
      <c r="N436" t="n">
        <v>0</v>
      </c>
      <c r="O436" t="n">
        <v>0</v>
      </c>
      <c r="P436" t="n">
        <v>0</v>
      </c>
      <c r="Q436" t="n">
        <v>0</v>
      </c>
      <c r="R436" t="n">
        <v>0</v>
      </c>
      <c r="S436" t="n">
        <v>0</v>
      </c>
      <c r="T436" t="n">
        <v>0</v>
      </c>
      <c r="U436" s="2" t="inlineStr"/>
    </row>
    <row r="437" ht="15" customHeight="1">
      <c r="A437" t="inlineStr">
        <is>
          <t>S 2377-2025</t>
        </is>
      </c>
      <c r="B437" t="inlineStr">
        <is>
          <t>samrådsanmälan</t>
        </is>
      </c>
      <c r="C437" t="inlineStr">
        <is>
          <t>Annan skogsbruksåtgärd</t>
        </is>
      </c>
      <c r="D437" s="1" t="n">
        <v>45891</v>
      </c>
      <c r="E437" s="1" t="n">
        <v>46219</v>
      </c>
      <c r="F437" t="inlineStr">
        <is>
          <t>NORRBOTTENS LÄN</t>
        </is>
      </c>
      <c r="G437" t="inlineStr">
        <is>
          <t>ÖVERTORNEÅ</t>
        </is>
      </c>
      <c r="I437" t="n">
        <v>10.6</v>
      </c>
      <c r="J437" t="n">
        <v>0</v>
      </c>
      <c r="K437" t="n">
        <v>0</v>
      </c>
      <c r="L437" t="n">
        <v>0</v>
      </c>
      <c r="M437" t="n">
        <v>0</v>
      </c>
      <c r="N437" t="n">
        <v>0</v>
      </c>
      <c r="O437" t="n">
        <v>0</v>
      </c>
      <c r="P437" t="n">
        <v>0</v>
      </c>
      <c r="Q437" t="n">
        <v>0</v>
      </c>
      <c r="R437" t="n">
        <v>0</v>
      </c>
      <c r="S437" t="n">
        <v>0</v>
      </c>
      <c r="T437" t="n">
        <v>0</v>
      </c>
      <c r="U437" s="2" t="inlineStr"/>
    </row>
    <row r="438" ht="15" customHeight="1">
      <c r="A438" t="inlineStr">
        <is>
          <t>S 2543-2025</t>
        </is>
      </c>
      <c r="B438" t="inlineStr">
        <is>
          <t>samrådsanmälan</t>
        </is>
      </c>
      <c r="C438" t="inlineStr">
        <is>
          <t>Annan skogsbruksåtgärd</t>
        </is>
      </c>
      <c r="D438" s="1" t="n">
        <v>45910</v>
      </c>
      <c r="E438" s="1" t="n">
        <v>46219</v>
      </c>
      <c r="F438" t="inlineStr">
        <is>
          <t>NORRBOTTENS LÄN</t>
        </is>
      </c>
      <c r="G438" t="inlineStr">
        <is>
          <t>ÖVERTORNEÅ</t>
        </is>
      </c>
      <c r="I438" t="n">
        <v>3.1</v>
      </c>
      <c r="J438" t="n">
        <v>0</v>
      </c>
      <c r="K438" t="n">
        <v>0</v>
      </c>
      <c r="L438" t="n">
        <v>0</v>
      </c>
      <c r="M438" t="n">
        <v>0</v>
      </c>
      <c r="N438" t="n">
        <v>0</v>
      </c>
      <c r="O438" t="n">
        <v>0</v>
      </c>
      <c r="P438" t="n">
        <v>0</v>
      </c>
      <c r="Q438" t="n">
        <v>0</v>
      </c>
      <c r="R438" t="n">
        <v>0</v>
      </c>
      <c r="S438" t="n">
        <v>0</v>
      </c>
      <c r="T438" t="n">
        <v>0</v>
      </c>
      <c r="U438" s="2" t="inlineStr"/>
    </row>
    <row r="439">
      <c r="A439" t="inlineStr">
        <is>
          <t>S 345-2026</t>
        </is>
      </c>
      <c r="B439" t="inlineStr">
        <is>
          <t>samrådsanmälan</t>
        </is>
      </c>
      <c r="C439" t="inlineStr">
        <is>
          <t>Annan skogsbruksåtgärd</t>
        </is>
      </c>
      <c r="D439" s="1" t="n">
        <v>46062</v>
      </c>
      <c r="E439" s="1" t="n">
        <v>46219</v>
      </c>
      <c r="F439" t="inlineStr">
        <is>
          <t>NORRBOTTENS LÄN</t>
        </is>
      </c>
      <c r="G439" t="inlineStr">
        <is>
          <t>ÖVERTORNEÅ</t>
        </is>
      </c>
      <c r="I439" t="n">
        <v>3.5</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2026-07-16T01:25:16Z</dcterms:created>
  <dcterms:modified xmlns:dcterms="http://purl.org/dc/terms/" xmlns:xsi="http://www.w3.org/2001/XMLSchema-instance" xsi:type="dcterms:W3CDTF">2026-07-16T01:25:16Z</dcterms:modified>
</cp:coreProperties>
</file>
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46222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46222</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46222</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46222</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HYPERLINK("https://klasma.github.io/Logging_2518/knärot/A 21993-2025 karta knärot.png", "A 21993-2025")</f>
        <v/>
      </c>
      <c r="Y6">
        <f>HYPERLINK("https://klasma.github.io/Logging_2518/klagomål/A 21993-2025 FSC-klagomål.docx", "A 21993-2025")</f>
        <v/>
      </c>
      <c r="Z6">
        <f>HYPERLINK("https://klasma.github.io/Logging_2518/klagomålsmail/A 21993-2025 FSC-klagomål mail.docx", "A 21993-2025")</f>
        <v/>
      </c>
      <c r="AA6">
        <f>HYPERLINK("https://klasma.github.io/Logging_2518/tillsyn/A 21993-2025 tillsynsbegäran.docx", "A 21993-2025")</f>
        <v/>
      </c>
      <c r="AB6">
        <f>HYPERLINK("https://klasma.github.io/Logging_2518/tillsynsmail/A 21993-2025 tillsynsbegäran mail.docx", "A 21993-2025")</f>
        <v/>
      </c>
      <c r="AC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46222</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HYPERLINK("https://klasma.github.io/Logging_2518/knärot/A 47048-2024 karta knärot.png", "A 47048-2024")</f>
        <v/>
      </c>
      <c r="Y7">
        <f>HYPERLINK("https://klasma.github.io/Logging_2518/klagomål/A 47048-2024 FSC-klagomål.docx", "A 47048-2024")</f>
        <v/>
      </c>
      <c r="Z7">
        <f>HYPERLINK("https://klasma.github.io/Logging_2518/klagomålsmail/A 47048-2024 FSC-klagomål mail.docx", "A 47048-2024")</f>
        <v/>
      </c>
      <c r="AA7">
        <f>HYPERLINK("https://klasma.github.io/Logging_2518/tillsyn/A 47048-2024 tillsynsbegäran.docx", "A 47048-2024")</f>
        <v/>
      </c>
      <c r="AB7">
        <f>HYPERLINK("https://klasma.github.io/Logging_2518/tillsynsmail/A 47048-2024 tillsynsbegäran mail.docx", "A 47048-2024")</f>
        <v/>
      </c>
      <c r="AC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46222</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46222</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46222</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s="2" t="inlineStr">
        <is>
          <t>Garnlav
Gräddporing
Knärot
Dropptaggsvamp
Kolflarnlav
Mörk kolflarnlav
Orange taggsvamp
Äggvaxskivling
Spillkråka</t>
        </is>
      </c>
      <c r="V10">
        <f>HYPERLINK("https://klasma.github.io/Logging_2518/artfynd/A 65184-2023 artfynd.xlsx", "A 65184-2023")</f>
        <v/>
      </c>
      <c r="W10">
        <f>HYPERLINK("https://klasma.github.io/Logging_2518/kartor/A 65184-2023 karta.png", "A 65184-2023")</f>
        <v/>
      </c>
      <c r="X10">
        <f>HYPERLINK("https://klasma.github.io/Logging_2518/knärot/A 65184-2023 karta knärot.png", "A 65184-2023")</f>
        <v/>
      </c>
      <c r="Y10">
        <f>HYPERLINK("https://klasma.github.io/Logging_2518/klagomål/A 65184-2023 FSC-klagomål.docx", "A 65184-2023")</f>
        <v/>
      </c>
      <c r="Z10">
        <f>HYPERLINK("https://klasma.github.io/Logging_2518/klagomålsmail/A 65184-2023 FSC-klagomål mail.docx", "A 65184-2023")</f>
        <v/>
      </c>
      <c r="AA10">
        <f>HYPERLINK("https://klasma.github.io/Logging_2518/tillsyn/A 65184-2023 tillsynsbegäran.docx", "A 65184-2023")</f>
        <v/>
      </c>
      <c r="AB10">
        <f>HYPERLINK("https://klasma.github.io/Logging_2518/tillsynsmail/A 65184-2023 tillsynsbegäran mail.docx", "A 65184-2023")</f>
        <v/>
      </c>
      <c r="AC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46222</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Y11">
        <f>HYPERLINK("https://klasma.github.io/Logging_2518/klagomål/A 9923-2025 FSC-klagomål.docx", "A 9923-2025")</f>
        <v/>
      </c>
      <c r="Z11">
        <f>HYPERLINK("https://klasma.github.io/Logging_2518/klagomålsmail/A 9923-2025 FSC-klagomål mail.docx", "A 9923-2025")</f>
        <v/>
      </c>
      <c r="AA11">
        <f>HYPERLINK("https://klasma.github.io/Logging_2518/tillsyn/A 9923-2025 tillsynsbegäran.docx", "A 9923-2025")</f>
        <v/>
      </c>
      <c r="AB11">
        <f>HYPERLINK("https://klasma.github.io/Logging_2518/tillsynsmail/A 9923-2025 tillsynsbegäran mail.docx", "A 9923-2025")</f>
        <v/>
      </c>
      <c r="AC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46222</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s="2" t="inlineStr">
        <is>
          <t>Garnlav
Knärot
Gammelgransskål
Ullticka
Norrlandslav
Skinnlav
Stuplav
Vedticka
Spillkråka</t>
        </is>
      </c>
      <c r="V12">
        <f>HYPERLINK("https://klasma.github.io/Logging_2518/artfynd/A 34146-2023 artfynd.xlsx", "A 34146-2023")</f>
        <v/>
      </c>
      <c r="W12">
        <f>HYPERLINK("https://klasma.github.io/Logging_2518/kartor/A 34146-2023 karta.png", "A 34146-2023")</f>
        <v/>
      </c>
      <c r="X12">
        <f>HYPERLINK("https://klasma.github.io/Logging_2518/knärot/A 34146-2023 karta knärot.png", "A 34146-2023")</f>
        <v/>
      </c>
      <c r="Y12">
        <f>HYPERLINK("https://klasma.github.io/Logging_2518/klagomål/A 34146-2023 FSC-klagomål.docx", "A 34146-2023")</f>
        <v/>
      </c>
      <c r="Z12">
        <f>HYPERLINK("https://klasma.github.io/Logging_2518/klagomålsmail/A 34146-2023 FSC-klagomål mail.docx", "A 34146-2023")</f>
        <v/>
      </c>
      <c r="AA12">
        <f>HYPERLINK("https://klasma.github.io/Logging_2518/tillsyn/A 34146-2023 tillsynsbegäran.docx", "A 34146-2023")</f>
        <v/>
      </c>
      <c r="AB12">
        <f>HYPERLINK("https://klasma.github.io/Logging_2518/tillsynsmail/A 34146-2023 tillsynsbegäran mail.docx", "A 34146-2023")</f>
        <v/>
      </c>
      <c r="AC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46222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46222</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s="2" t="inlineStr">
        <is>
          <t>Garnlav
Gammelgransskål
Skogshare
Talltita
Järpe
Spillkråka
Utter</t>
        </is>
      </c>
      <c r="V15">
        <f>HYPERLINK("https://klasma.github.io/Logging_2518/artfynd/A 49764-2025 artfynd.xlsx", "A 49764-2025")</f>
        <v/>
      </c>
      <c r="W15">
        <f>HYPERLINK("https://klasma.github.io/Logging_2518/kartor/A 49764-2025 karta.png", "A 49764-2025")</f>
        <v/>
      </c>
      <c r="Y15">
        <f>HYPERLINK("https://klasma.github.io/Logging_2518/klagomål/A 49764-2025 FSC-klagomål.docx", "A 49764-2025")</f>
        <v/>
      </c>
      <c r="Z15">
        <f>HYPERLINK("https://klasma.github.io/Logging_2518/klagomålsmail/A 49764-2025 FSC-klagomål mail.docx", "A 49764-2025")</f>
        <v/>
      </c>
      <c r="AA15">
        <f>HYPERLINK("https://klasma.github.io/Logging_2518/tillsyn/A 49764-2025 tillsynsbegäran.docx", "A 49764-2025")</f>
        <v/>
      </c>
      <c r="AB15">
        <f>HYPERLINK("https://klasma.github.io/Logging_2518/tillsynsmail/A 49764-2025 tillsynsbegäran mail.docx", "A 49764-2025")</f>
        <v/>
      </c>
      <c r="AC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46222</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s="2" t="inlineStr">
        <is>
          <t>Vitplätt
Norrlandslav
Plattlummer
Skinnlav
Stor aspticka
Vedticka
Spillkråka</t>
        </is>
      </c>
      <c r="V16">
        <f>HYPERLINK("https://klasma.github.io/Logging_2518/artfynd/A 33324-2023 artfynd.xlsx", "A 33324-2023")</f>
        <v/>
      </c>
      <c r="W16">
        <f>HYPERLINK("https://klasma.github.io/Logging_2518/kartor/A 33324-2023 karta.png", "A 33324-2023")</f>
        <v/>
      </c>
      <c r="Y16">
        <f>HYPERLINK("https://klasma.github.io/Logging_2518/klagomål/A 33324-2023 FSC-klagomål.docx", "A 33324-2023")</f>
        <v/>
      </c>
      <c r="Z16">
        <f>HYPERLINK("https://klasma.github.io/Logging_2518/klagomålsmail/A 33324-2023 FSC-klagomål mail.docx", "A 33324-2023")</f>
        <v/>
      </c>
      <c r="AA16">
        <f>HYPERLINK("https://klasma.github.io/Logging_2518/tillsyn/A 33324-2023 tillsynsbegäran.docx", "A 33324-2023")</f>
        <v/>
      </c>
      <c r="AB16">
        <f>HYPERLINK("https://klasma.github.io/Logging_2518/tillsynsmail/A 33324-2023 tillsynsbegäran mail.docx", "A 33324-2023")</f>
        <v/>
      </c>
      <c r="AC16">
        <f>HYPERLINK("https://klasma.github.io/Logging_2518/fåglar/A 33324-2023 prioriterade fågelarter.docx", "A 33324-2023")</f>
        <v/>
      </c>
    </row>
    <row r="17" ht="15" customHeight="1">
      <c r="A17" t="inlineStr">
        <is>
          <t>A 31074-2026</t>
        </is>
      </c>
      <c r="B17" t="inlineStr">
        <is>
          <t>avverkningsanmälan</t>
        </is>
      </c>
      <c r="C17" t="inlineStr">
        <is>
          <t>Föryngringsavverkning</t>
        </is>
      </c>
      <c r="D17" s="1" t="n">
        <v>46216</v>
      </c>
      <c r="E17" s="1" t="n">
        <v>46222</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s="2" t="inlineStr">
        <is>
          <t>Garnlav
Gammelgransskål
Knottrig blåslav
Lappranunkel
Stuplav
Huggorm
Fläcknycklar</t>
        </is>
      </c>
      <c r="V17">
        <f>HYPERLINK("https://klasma.github.io/Logging_2518/artfynd/A 31074-2026 artfynd.xlsx", "A 31074-2026")</f>
        <v/>
      </c>
      <c r="W17">
        <f>HYPERLINK("https://klasma.github.io/Logging_2518/kartor/A 31074-2026 karta.png", "A 31074-2026")</f>
        <v/>
      </c>
      <c r="Y17">
        <f>HYPERLINK("https://klasma.github.io/Logging_2518/klagomål/A 31074-2026 FSC-klagomål.docx", "A 31074-2026")</f>
        <v/>
      </c>
      <c r="Z17">
        <f>HYPERLINK("https://klasma.github.io/Logging_2518/klagomålsmail/A 31074-2026 FSC-klagomål mail.docx", "A 31074-2026")</f>
        <v/>
      </c>
      <c r="AA17">
        <f>HYPERLINK("https://klasma.github.io/Logging_2518/tillsyn/A 31074-2026 tillsynsbegäran.docx", "A 31074-2026")</f>
        <v/>
      </c>
      <c r="AB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46222</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s="2" t="inlineStr">
        <is>
          <t>Garnlav
Doftskinn
Gammelgransskål
Ullticka
Violmussling
Stor aspticka
Stuplav</t>
        </is>
      </c>
      <c r="V18">
        <f>HYPERLINK("https://klasma.github.io/Logging_2518/artfynd/A 27058-2023 artfynd.xlsx", "A 27058-2023")</f>
        <v/>
      </c>
      <c r="W18">
        <f>HYPERLINK("https://klasma.github.io/Logging_2518/kartor/A 27058-2023 karta.png", "A 27058-2023")</f>
        <v/>
      </c>
      <c r="Y18">
        <f>HYPERLINK("https://klasma.github.io/Logging_2518/klagomål/A 27058-2023 FSC-klagomål.docx", "A 27058-2023")</f>
        <v/>
      </c>
      <c r="Z18">
        <f>HYPERLINK("https://klasma.github.io/Logging_2518/klagomålsmail/A 27058-2023 FSC-klagomål mail.docx", "A 27058-2023")</f>
        <v/>
      </c>
      <c r="AA18">
        <f>HYPERLINK("https://klasma.github.io/Logging_2518/tillsyn/A 27058-2023 tillsynsbegäran.docx", "A 27058-2023")</f>
        <v/>
      </c>
      <c r="AB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s="2" t="inlineStr">
        <is>
          <t>Garnlav
Luddfingersvamp
Tretåig hackspett
Ullticka
Skinnlav
Spillkråka</t>
        </is>
      </c>
      <c r="V19">
        <f>HYPERLINK("https://klasma.github.io/Logging_2518/artfynd/A 13244-2026 artfynd.xlsx", "A 13244-2026")</f>
        <v/>
      </c>
      <c r="W19">
        <f>HYPERLINK("https://klasma.github.io/Logging_2518/kartor/A 13244-2026 karta.png", "A 13244-2026")</f>
        <v/>
      </c>
      <c r="Y19">
        <f>HYPERLINK("https://klasma.github.io/Logging_2518/klagomål/A 13244-2026 FSC-klagomål.docx", "A 13244-2026")</f>
        <v/>
      </c>
      <c r="Z19">
        <f>HYPERLINK("https://klasma.github.io/Logging_2518/klagomålsmail/A 13244-2026 FSC-klagomål mail.docx", "A 13244-2026")</f>
        <v/>
      </c>
      <c r="AA19">
        <f>HYPERLINK("https://klasma.github.io/Logging_2518/tillsyn/A 13244-2026 tillsynsbegäran.docx", "A 13244-2026")</f>
        <v/>
      </c>
      <c r="AB19">
        <f>HYPERLINK("https://klasma.github.io/Logging_2518/tillsynsmail/A 13244-2026 tillsynsbegäran mail.docx", "A 13244-2026")</f>
        <v/>
      </c>
      <c r="AC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s="2" t="inlineStr">
        <is>
          <t>Garnlav
Kandelabersvamp
Barkticka
Norrlandslav
Spillkråka
Revlummer</t>
        </is>
      </c>
      <c r="V20">
        <f>HYPERLINK("https://klasma.github.io/Logging_2518/artfynd/A 54504-2022 artfynd.xlsx", "A 54504-2022")</f>
        <v/>
      </c>
      <c r="W20">
        <f>HYPERLINK("https://klasma.github.io/Logging_2518/kartor/A 54504-2022 karta.png", "A 54504-2022")</f>
        <v/>
      </c>
      <c r="Y20">
        <f>HYPERLINK("https://klasma.github.io/Logging_2518/klagomål/A 54504-2022 FSC-klagomål.docx", "A 54504-2022")</f>
        <v/>
      </c>
      <c r="Z20">
        <f>HYPERLINK("https://klasma.github.io/Logging_2518/klagomålsmail/A 54504-2022 FSC-klagomål mail.docx", "A 54504-2022")</f>
        <v/>
      </c>
      <c r="AA20">
        <f>HYPERLINK("https://klasma.github.io/Logging_2518/tillsyn/A 54504-2022 tillsynsbegäran.docx", "A 54504-2022")</f>
        <v/>
      </c>
      <c r="AB20">
        <f>HYPERLINK("https://klasma.github.io/Logging_2518/tillsynsmail/A 54504-2022 tillsynsbegäran mail.docx", "A 54504-2022")</f>
        <v/>
      </c>
      <c r="AC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s="2" t="inlineStr">
        <is>
          <t>Garnlav
Koralltaggsvamp
Lunglav
Fläcknycklar</t>
        </is>
      </c>
      <c r="V22">
        <f>HYPERLINK("https://klasma.github.io/Logging_2518/artfynd/A 31280-2025 artfynd.xlsx", "A 31280-2025")</f>
        <v/>
      </c>
      <c r="W22">
        <f>HYPERLINK("https://klasma.github.io/Logging_2518/kartor/A 31280-2025 karta.png", "A 31280-2025")</f>
        <v/>
      </c>
      <c r="Y22">
        <f>HYPERLINK("https://klasma.github.io/Logging_2518/klagomål/A 31280-2025 FSC-klagomål.docx", "A 31280-2025")</f>
        <v/>
      </c>
      <c r="Z22">
        <f>HYPERLINK("https://klasma.github.io/Logging_2518/klagomålsmail/A 31280-2025 FSC-klagomål mail.docx", "A 31280-2025")</f>
        <v/>
      </c>
      <c r="AA22">
        <f>HYPERLINK("https://klasma.github.io/Logging_2518/tillsyn/A 31280-2025 tillsynsbegäran.docx", "A 31280-2025")</f>
        <v/>
      </c>
      <c r="AB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s="2" t="inlineStr">
        <is>
          <t>Garnlav
Lunglav
Tallticka
Spillkråka</t>
        </is>
      </c>
      <c r="V23">
        <f>HYPERLINK("https://klasma.github.io/Logging_2518/artfynd/A 15202-2023 artfynd.xlsx", "A 15202-2023")</f>
        <v/>
      </c>
      <c r="W23">
        <f>HYPERLINK("https://klasma.github.io/Logging_2518/kartor/A 15202-2023 karta.png", "A 15202-2023")</f>
        <v/>
      </c>
      <c r="Y23">
        <f>HYPERLINK("https://klasma.github.io/Logging_2518/klagomål/A 15202-2023 FSC-klagomål.docx", "A 15202-2023")</f>
        <v/>
      </c>
      <c r="Z23">
        <f>HYPERLINK("https://klasma.github.io/Logging_2518/klagomålsmail/A 15202-2023 FSC-klagomål mail.docx", "A 15202-2023")</f>
        <v/>
      </c>
      <c r="AA23">
        <f>HYPERLINK("https://klasma.github.io/Logging_2518/tillsyn/A 15202-2023 tillsynsbegäran.docx", "A 15202-2023")</f>
        <v/>
      </c>
      <c r="AB23">
        <f>HYPERLINK("https://klasma.github.io/Logging_2518/tillsynsmail/A 15202-2023 tillsynsbegäran mail.docx", "A 15202-2023")</f>
        <v/>
      </c>
      <c r="AC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46222</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46222</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46222</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s="2" t="inlineStr">
        <is>
          <t>Garnlav
Spindelblomster
Spillkråka</t>
        </is>
      </c>
      <c r="V27">
        <f>HYPERLINK("https://klasma.github.io/Logging_2518/artfynd/A 58447-2025 artfynd.xlsx", "A 58447-2025")</f>
        <v/>
      </c>
      <c r="W27">
        <f>HYPERLINK("https://klasma.github.io/Logging_2518/kartor/A 58447-2025 karta.png", "A 58447-2025")</f>
        <v/>
      </c>
      <c r="Y27">
        <f>HYPERLINK("https://klasma.github.io/Logging_2518/klagomål/A 58447-2025 FSC-klagomål.docx", "A 58447-2025")</f>
        <v/>
      </c>
      <c r="Z27">
        <f>HYPERLINK("https://klasma.github.io/Logging_2518/klagomålsmail/A 58447-2025 FSC-klagomål mail.docx", "A 58447-2025")</f>
        <v/>
      </c>
      <c r="AA27">
        <f>HYPERLINK("https://klasma.github.io/Logging_2518/tillsyn/A 58447-2025 tillsynsbegäran.docx", "A 58447-2025")</f>
        <v/>
      </c>
      <c r="AB27">
        <f>HYPERLINK("https://klasma.github.io/Logging_2518/tillsynsmail/A 58447-2025 tillsynsbegäran mail.docx", "A 58447-2025")</f>
        <v/>
      </c>
      <c r="AC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46222</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s="2" t="inlineStr">
        <is>
          <t>Lunglav
Rosenticka
Ullticka</t>
        </is>
      </c>
      <c r="V28">
        <f>HYPERLINK("https://klasma.github.io/Logging_2518/artfynd/A 30049-2026 artfynd.xlsx", "A 30049-2026")</f>
        <v/>
      </c>
      <c r="W28">
        <f>HYPERLINK("https://klasma.github.io/Logging_2518/kartor/A 30049-2026 karta.png", "A 30049-2026")</f>
        <v/>
      </c>
      <c r="Y28">
        <f>HYPERLINK("https://klasma.github.io/Logging_2518/klagomål/A 30049-2026 FSC-klagomål.docx", "A 30049-2026")</f>
        <v/>
      </c>
      <c r="Z28">
        <f>HYPERLINK("https://klasma.github.io/Logging_2518/klagomålsmail/A 30049-2026 FSC-klagomål mail.docx", "A 30049-2026")</f>
        <v/>
      </c>
      <c r="AA28">
        <f>HYPERLINK("https://klasma.github.io/Logging_2518/tillsyn/A 30049-2026 tillsynsbegäran.docx", "A 30049-2026")</f>
        <v/>
      </c>
      <c r="AB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46222</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Y29">
        <f>HYPERLINK("https://klasma.github.io/Logging_2518/klagomål/A 19133-2023 FSC-klagomål.docx", "A 19133-2023")</f>
        <v/>
      </c>
      <c r="Z29">
        <f>HYPERLINK("https://klasma.github.io/Logging_2518/klagomålsmail/A 19133-2023 FSC-klagomål mail.docx", "A 19133-2023")</f>
        <v/>
      </c>
      <c r="AA29">
        <f>HYPERLINK("https://klasma.github.io/Logging_2518/tillsyn/A 19133-2023 tillsynsbegäran.docx", "A 19133-2023")</f>
        <v/>
      </c>
      <c r="AB29">
        <f>HYPERLINK("https://klasma.github.io/Logging_2518/tillsynsmail/A 19133-2023 tillsynsbegäran mail.docx", "A 19133-2023")</f>
        <v/>
      </c>
      <c r="AC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46222</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s="2" t="inlineStr">
        <is>
          <t>Stor aspticka</t>
        </is>
      </c>
      <c r="V34">
        <f>HYPERLINK("https://klasma.github.io/Logging_2518/artfynd/A 34186-2022 artfynd.xlsx", "A 34186-2022")</f>
        <v/>
      </c>
      <c r="W34">
        <f>HYPERLINK("https://klasma.github.io/Logging_2518/kartor/A 34186-2022 karta.png", "A 34186-2022")</f>
        <v/>
      </c>
      <c r="Y34">
        <f>HYPERLINK("https://klasma.github.io/Logging_2518/klagomål/A 34186-2022 FSC-klagomål.docx", "A 34186-2022")</f>
        <v/>
      </c>
      <c r="Z34">
        <f>HYPERLINK("https://klasma.github.io/Logging_2518/klagomålsmail/A 34186-2022 FSC-klagomål mail.docx", "A 34186-2022")</f>
        <v/>
      </c>
      <c r="AA34">
        <f>HYPERLINK("https://klasma.github.io/Logging_2518/tillsyn/A 34186-2022 tillsynsbegäran.docx", "A 34186-2022")</f>
        <v/>
      </c>
      <c r="AB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46222</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s="2" t="inlineStr">
        <is>
          <t>Garnlav</t>
        </is>
      </c>
      <c r="V35">
        <f>HYPERLINK("https://klasma.github.io/Logging_2518/artfynd/A 18489-2024 artfynd.xlsx", "A 18489-2024")</f>
        <v/>
      </c>
      <c r="W35">
        <f>HYPERLINK("https://klasma.github.io/Logging_2518/kartor/A 18489-2024 karta.png", "A 18489-2024")</f>
        <v/>
      </c>
      <c r="Y35">
        <f>HYPERLINK("https://klasma.github.io/Logging_2518/klagomål/A 18489-2024 FSC-klagomål.docx", "A 18489-2024")</f>
        <v/>
      </c>
      <c r="Z35">
        <f>HYPERLINK("https://klasma.github.io/Logging_2518/klagomålsmail/A 18489-2024 FSC-klagomål mail.docx", "A 18489-2024")</f>
        <v/>
      </c>
      <c r="AA35">
        <f>HYPERLINK("https://klasma.github.io/Logging_2518/tillsyn/A 18489-2024 tillsynsbegäran.docx", "A 18489-2024")</f>
        <v/>
      </c>
      <c r="AB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46222</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s="2" t="inlineStr">
        <is>
          <t>Gammelgransskål</t>
        </is>
      </c>
      <c r="V36">
        <f>HYPERLINK("https://klasma.github.io/Logging_2518/artfynd/A 26502-2025 artfynd.xlsx", "A 26502-2025")</f>
        <v/>
      </c>
      <c r="W36">
        <f>HYPERLINK("https://klasma.github.io/Logging_2518/kartor/A 26502-2025 karta.png", "A 26502-2025")</f>
        <v/>
      </c>
      <c r="Y36">
        <f>HYPERLINK("https://klasma.github.io/Logging_2518/klagomål/A 26502-2025 FSC-klagomål.docx", "A 26502-2025")</f>
        <v/>
      </c>
      <c r="Z36">
        <f>HYPERLINK("https://klasma.github.io/Logging_2518/klagomålsmail/A 26502-2025 FSC-klagomål mail.docx", "A 26502-2025")</f>
        <v/>
      </c>
      <c r="AA36">
        <f>HYPERLINK("https://klasma.github.io/Logging_2518/tillsyn/A 26502-2025 tillsynsbegäran.docx", "A 26502-2025")</f>
        <v/>
      </c>
      <c r="AB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46222</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s="2" t="inlineStr">
        <is>
          <t>Silverblåvinge</t>
        </is>
      </c>
      <c r="V37">
        <f>HYPERLINK("https://klasma.github.io/Logging_2518/artfynd/A 4767-2026 artfynd.xlsx", "A 4767-2026")</f>
        <v/>
      </c>
      <c r="W37">
        <f>HYPERLINK("https://klasma.github.io/Logging_2518/kartor/A 4767-2026 karta.png", "A 4767-2026")</f>
        <v/>
      </c>
      <c r="Y37">
        <f>HYPERLINK("https://klasma.github.io/Logging_2518/klagomål/A 4767-2026 FSC-klagomål.docx", "A 4767-2026")</f>
        <v/>
      </c>
      <c r="Z37">
        <f>HYPERLINK("https://klasma.github.io/Logging_2518/klagomålsmail/A 4767-2026 FSC-klagomål mail.docx", "A 4767-2026")</f>
        <v/>
      </c>
      <c r="AA37">
        <f>HYPERLINK("https://klasma.github.io/Logging_2518/tillsyn/A 4767-2026 tillsynsbegäran.docx", "A 4767-2026")</f>
        <v/>
      </c>
      <c r="AB37">
        <f>HYPERLINK("https://klasma.github.io/Logging_2518/tillsynsmail/A 4767-2026 tillsynsbegäran mail.docx", "A 4767-2026")</f>
        <v/>
      </c>
    </row>
    <row r="38" ht="15" customHeight="1">
      <c r="A38" t="inlineStr">
        <is>
          <t>A 30784-2025</t>
        </is>
      </c>
      <c r="B38" t="inlineStr">
        <is>
          <t>avverkningsanmälan</t>
        </is>
      </c>
      <c r="C38" t="inlineStr">
        <is>
          <t>Föryngringsavverkning</t>
        </is>
      </c>
      <c r="D38" s="1" t="n">
        <v>45831</v>
      </c>
      <c r="E38" s="1" t="n">
        <v>46222</v>
      </c>
      <c r="F38" t="inlineStr">
        <is>
          <t>NORRBOTTENS LÄN</t>
        </is>
      </c>
      <c r="G38" t="inlineStr">
        <is>
          <t>ÖVERTORNEÅ</t>
        </is>
      </c>
      <c r="H38" t="inlineStr">
        <is>
          <t>Sveaskog</t>
        </is>
      </c>
      <c r="I38" t="n">
        <v>12.4</v>
      </c>
      <c r="J38" t="n">
        <v>1</v>
      </c>
      <c r="K38" t="n">
        <v>0</v>
      </c>
      <c r="L38" t="n">
        <v>0</v>
      </c>
      <c r="M38" t="n">
        <v>0</v>
      </c>
      <c r="N38" t="n">
        <v>0</v>
      </c>
      <c r="O38" t="n">
        <v>0</v>
      </c>
      <c r="P38" t="n">
        <v>0</v>
      </c>
      <c r="Q38" t="n">
        <v>0</v>
      </c>
      <c r="R38" t="n">
        <v>0</v>
      </c>
      <c r="S38" t="n">
        <v>1</v>
      </c>
      <c r="T38" t="n">
        <v>2</v>
      </c>
      <c r="U38" s="2" t="inlineStr">
        <is>
          <t>Fläcknycklar</t>
        </is>
      </c>
      <c r="V38">
        <f>HYPERLINK("https://klasma.github.io/Logging_2518/artfynd/A 30784-2025 artfynd.xlsx", "A 30784-2025")</f>
        <v/>
      </c>
      <c r="W38">
        <f>HYPERLINK("https://klasma.github.io/Logging_2518/kartor/A 30784-2025 karta.png", "A 30784-2025")</f>
        <v/>
      </c>
      <c r="Y38">
        <f>HYPERLINK("https://klasma.github.io/Logging_2518/klagomål/A 30784-2025 FSC-klagomål.docx", "A 30784-2025")</f>
        <v/>
      </c>
      <c r="Z38">
        <f>HYPERLINK("https://klasma.github.io/Logging_2518/klagomålsmail/A 30784-2025 FSC-klagomål mail.docx", "A 30784-2025")</f>
        <v/>
      </c>
      <c r="AA38">
        <f>HYPERLINK("https://klasma.github.io/Logging_2518/tillsyn/A 30784-2025 tillsynsbegäran.docx", "A 30784-2025")</f>
        <v/>
      </c>
      <c r="AB38">
        <f>HYPERLINK("https://klasma.github.io/Logging_2518/tillsynsmail/A 30784-2025 tillsynsbegäran mail.docx", "A 30784-2025")</f>
        <v/>
      </c>
    </row>
    <row r="39" ht="15" customHeight="1">
      <c r="A39" t="inlineStr">
        <is>
          <t>A 34325-2025</t>
        </is>
      </c>
      <c r="B39" t="inlineStr">
        <is>
          <t>avverkningsanmälan</t>
        </is>
      </c>
      <c r="C39" t="inlineStr">
        <is>
          <t>Föryngringsavverkning</t>
        </is>
      </c>
      <c r="D39" s="1" t="n">
        <v>45846</v>
      </c>
      <c r="E39" s="1" t="n">
        <v>46222</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s="2" t="inlineStr">
        <is>
          <t>Fläcknycklar</t>
        </is>
      </c>
      <c r="V39">
        <f>HYPERLINK("https://klasma.github.io/Logging_2518/artfynd/A 34325-2025 artfynd.xlsx", "A 34325-2025")</f>
        <v/>
      </c>
      <c r="W39">
        <f>HYPERLINK("https://klasma.github.io/Logging_2518/kartor/A 34325-2025 karta.png", "A 34325-2025")</f>
        <v/>
      </c>
      <c r="Y39">
        <f>HYPERLINK("https://klasma.github.io/Logging_2518/klagomål/A 34325-2025 FSC-klagomål.docx", "A 34325-2025")</f>
        <v/>
      </c>
      <c r="Z39">
        <f>HYPERLINK("https://klasma.github.io/Logging_2518/klagomålsmail/A 34325-2025 FSC-klagomål mail.docx", "A 34325-2025")</f>
        <v/>
      </c>
      <c r="AA39">
        <f>HYPERLINK("https://klasma.github.io/Logging_2518/tillsyn/A 34325-2025 tillsynsbegäran.docx", "A 34325-2025")</f>
        <v/>
      </c>
      <c r="AB39">
        <f>HYPERLINK("https://klasma.github.io/Logging_2518/tillsynsmail/A 34325-2025 tillsynsbegäran mail.docx", "A 34325-2025")</f>
        <v/>
      </c>
    </row>
    <row r="40" ht="15" customHeight="1">
      <c r="A40" t="inlineStr">
        <is>
          <t>A 4012-2022</t>
        </is>
      </c>
      <c r="B40" t="inlineStr">
        <is>
          <t>avverkningsanmälan</t>
        </is>
      </c>
      <c r="C40" t="inlineStr">
        <is>
          <t>Avverkning för annat ändamål</t>
        </is>
      </c>
      <c r="D40" s="1" t="n">
        <v>44587</v>
      </c>
      <c r="E40" s="1" t="n">
        <v>46222</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s="2" t="inlineStr">
        <is>
          <t>Busksångare</t>
        </is>
      </c>
      <c r="V40">
        <f>HYPERLINK("https://klasma.github.io/Logging_2518/artfynd/A 4012-2022 artfynd.xlsx", "A 4012-2022")</f>
        <v/>
      </c>
      <c r="W40">
        <f>HYPERLINK("https://klasma.github.io/Logging_2518/kartor/A 4012-2022 karta.png", "A 4012-2022")</f>
        <v/>
      </c>
      <c r="Y40">
        <f>HYPERLINK("https://klasma.github.io/Logging_2518/klagomål/A 4012-2022 FSC-klagomål.docx", "A 4012-2022")</f>
        <v/>
      </c>
      <c r="Z40">
        <f>HYPERLINK("https://klasma.github.io/Logging_2518/klagomålsmail/A 4012-2022 FSC-klagomål mail.docx", "A 4012-2022")</f>
        <v/>
      </c>
      <c r="AA40">
        <f>HYPERLINK("https://klasma.github.io/Logging_2518/tillsyn/A 4012-2022 tillsynsbegäran.docx", "A 4012-2022")</f>
        <v/>
      </c>
      <c r="AB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46222</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s="2" t="inlineStr">
        <is>
          <t>Kungsörn</t>
        </is>
      </c>
      <c r="V41">
        <f>HYPERLINK("https://klasma.github.io/Logging_2518/artfynd/A 46378-2023 artfynd.xlsx", "A 46378-2023")</f>
        <v/>
      </c>
      <c r="W41">
        <f>HYPERLINK("https://klasma.github.io/Logging_2518/kartor/A 46378-2023 karta.png", "A 46378-2023")</f>
        <v/>
      </c>
      <c r="Y41">
        <f>HYPERLINK("https://klasma.github.io/Logging_2518/klagomål/A 46378-2023 FSC-klagomål.docx", "A 46378-2023")</f>
        <v/>
      </c>
      <c r="Z41">
        <f>HYPERLINK("https://klasma.github.io/Logging_2518/klagomålsmail/A 46378-2023 FSC-klagomål mail.docx", "A 46378-2023")</f>
        <v/>
      </c>
      <c r="AA41">
        <f>HYPERLINK("https://klasma.github.io/Logging_2518/tillsyn/A 46378-2023 tillsynsbegäran.docx", "A 46378-2023")</f>
        <v/>
      </c>
      <c r="AB41">
        <f>HYPERLINK("https://klasma.github.io/Logging_2518/tillsynsmail/A 46378-2023 tillsynsbegäran mail.docx", "A 46378-2023")</f>
        <v/>
      </c>
      <c r="AC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46222</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s="2" t="inlineStr">
        <is>
          <t>Klotstarr</t>
        </is>
      </c>
      <c r="V42">
        <f>HYPERLINK("https://klasma.github.io/Logging_2518/artfynd/A 30651-2023 artfynd.xlsx", "A 30651-2023")</f>
        <v/>
      </c>
      <c r="W42">
        <f>HYPERLINK("https://klasma.github.io/Logging_2518/kartor/A 30651-2023 karta.png", "A 30651-2023")</f>
        <v/>
      </c>
      <c r="Y42">
        <f>HYPERLINK("https://klasma.github.io/Logging_2518/klagomål/A 30651-2023 FSC-klagomål.docx", "A 30651-2023")</f>
        <v/>
      </c>
      <c r="Z42">
        <f>HYPERLINK("https://klasma.github.io/Logging_2518/klagomålsmail/A 30651-2023 FSC-klagomål mail.docx", "A 30651-2023")</f>
        <v/>
      </c>
      <c r="AA42">
        <f>HYPERLINK("https://klasma.github.io/Logging_2518/tillsyn/A 30651-2023 tillsynsbegäran.docx", "A 30651-2023")</f>
        <v/>
      </c>
      <c r="AB42">
        <f>HYPERLINK("https://klasma.github.io/Logging_2518/tillsynsmail/A 30651-2023 tillsynsbegäran mail.docx", "A 30651-2023")</f>
        <v/>
      </c>
    </row>
    <row r="43" ht="15" customHeight="1">
      <c r="A43" t="inlineStr">
        <is>
          <t>A 24802-2026</t>
        </is>
      </c>
      <c r="B43" t="inlineStr">
        <is>
          <t>avverkningsanmälan</t>
        </is>
      </c>
      <c r="C43" t="inlineStr">
        <is>
          <t>Föryngringsavverkning</t>
        </is>
      </c>
      <c r="D43" s="1" t="n">
        <v>46171</v>
      </c>
      <c r="E43" s="1" t="n">
        <v>46222</v>
      </c>
      <c r="F43" t="inlineStr">
        <is>
          <t>NORRBOTTENS LÄN</t>
        </is>
      </c>
      <c r="G43" t="inlineStr">
        <is>
          <t>ÖVERTORNEÅ</t>
        </is>
      </c>
      <c r="H43" t="inlineStr">
        <is>
          <t>Sveaskog</t>
        </is>
      </c>
      <c r="I43" t="n">
        <v>32.6</v>
      </c>
      <c r="J43" t="n">
        <v>0</v>
      </c>
      <c r="K43" t="n">
        <v>0</v>
      </c>
      <c r="L43" t="n">
        <v>1</v>
      </c>
      <c r="M43" t="n">
        <v>0</v>
      </c>
      <c r="N43" t="n">
        <v>0</v>
      </c>
      <c r="O43" t="n">
        <v>0</v>
      </c>
      <c r="P43" t="n">
        <v>0</v>
      </c>
      <c r="Q43" t="n">
        <v>1</v>
      </c>
      <c r="R43" t="n">
        <v>0</v>
      </c>
      <c r="S43" t="n">
        <v>1</v>
      </c>
      <c r="T43" t="n">
        <v>1</v>
      </c>
      <c r="U43" s="2" t="inlineStr">
        <is>
          <t>Doftskinn</t>
        </is>
      </c>
      <c r="V43">
        <f>HYPERLINK("https://klasma.github.io/Logging_2518/artfynd/A 24802-2026 artfynd.xlsx", "A 24802-2026")</f>
        <v/>
      </c>
      <c r="W43">
        <f>HYPERLINK("https://klasma.github.io/Logging_2518/kartor/A 24802-2026 karta.png", "A 24802-2026")</f>
        <v/>
      </c>
      <c r="Y43">
        <f>HYPERLINK("https://klasma.github.io/Logging_2518/klagomål/A 24802-2026 FSC-klagomål.docx", "A 24802-2026")</f>
        <v/>
      </c>
      <c r="Z43">
        <f>HYPERLINK("https://klasma.github.io/Logging_2518/klagomålsmail/A 24802-2026 FSC-klagomål mail.docx", "A 24802-2026")</f>
        <v/>
      </c>
      <c r="AA43">
        <f>HYPERLINK("https://klasma.github.io/Logging_2518/tillsyn/A 24802-2026 tillsynsbegäran.docx", "A 24802-2026")</f>
        <v/>
      </c>
      <c r="AB43">
        <f>HYPERLINK("https://klasma.github.io/Logging_2518/tillsynsmail/A 24802-2026 tillsynsbegäran mail.docx", "A 24802-2026")</f>
        <v/>
      </c>
    </row>
    <row r="44" ht="15" customHeight="1">
      <c r="A44" t="inlineStr">
        <is>
          <t>A 3389-2022</t>
        </is>
      </c>
      <c r="B44" t="inlineStr">
        <is>
          <t>avverkningsanmälan</t>
        </is>
      </c>
      <c r="C44" t="inlineStr">
        <is>
          <t>Föryngringsavverkning</t>
        </is>
      </c>
      <c r="D44" s="1" t="n">
        <v>44585</v>
      </c>
      <c r="E44" s="1" t="n">
        <v>46222</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46222</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46222</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46222</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46222</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46222</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46222</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46222</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46222</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46222</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46222</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46222</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46222</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46222</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46222</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46222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46222</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46222</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46222</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46222</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46222</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46222</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46222</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46222</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46222</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46222</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46222</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46222</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46222</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15500-2022</t>
        </is>
      </c>
      <c r="B73" t="inlineStr">
        <is>
          <t>avverkningsanmälan</t>
        </is>
      </c>
      <c r="C73" t="inlineStr">
        <is>
          <t>Föryngringsavverkning</t>
        </is>
      </c>
      <c r="D73" s="1" t="n">
        <v>44662</v>
      </c>
      <c r="E73" s="1" t="n">
        <v>46222</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s="2" t="inlineStr"/>
    </row>
    <row r="74" ht="15" customHeight="1">
      <c r="A74" t="inlineStr">
        <is>
          <t>A 16561-2022</t>
        </is>
      </c>
      <c r="B74" t="inlineStr">
        <is>
          <t>avverkningsanmälan</t>
        </is>
      </c>
      <c r="C74" t="inlineStr">
        <is>
          <t>Avverkning för annat ändamål</t>
        </is>
      </c>
      <c r="D74" s="1" t="n">
        <v>44672</v>
      </c>
      <c r="E74" s="1" t="n">
        <v>46222</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46222</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46222</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38980-2022</t>
        </is>
      </c>
      <c r="B77" t="inlineStr">
        <is>
          <t>avverkningsanmälan</t>
        </is>
      </c>
      <c r="C77" t="inlineStr">
        <is>
          <t>Avverkning för annat ändamål</t>
        </is>
      </c>
      <c r="D77" s="1" t="n">
        <v>44816</v>
      </c>
      <c r="E77" s="1" t="n">
        <v>46222</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s="2" t="inlineStr"/>
    </row>
    <row r="78" ht="15" customHeight="1">
      <c r="A78" t="inlineStr">
        <is>
          <t>A 5030-2024</t>
        </is>
      </c>
      <c r="B78" t="inlineStr">
        <is>
          <t>avverkningsanmälan</t>
        </is>
      </c>
      <c r="C78" t="inlineStr">
        <is>
          <t>Avverkning för annat ändamål</t>
        </is>
      </c>
      <c r="D78" s="1" t="n">
        <v>45329</v>
      </c>
      <c r="E78" s="1" t="n">
        <v>46222</v>
      </c>
      <c r="F78" t="inlineStr">
        <is>
          <t>NORRBOTTENS LÄN</t>
        </is>
      </c>
      <c r="G78" t="inlineStr">
        <is>
          <t>ÖVERTORNEÅ</t>
        </is>
      </c>
      <c r="I78" t="n">
        <v>0.3</v>
      </c>
      <c r="J78" t="n">
        <v>0</v>
      </c>
      <c r="K78" t="n">
        <v>0</v>
      </c>
      <c r="L78" t="n">
        <v>0</v>
      </c>
      <c r="M78" t="n">
        <v>0</v>
      </c>
      <c r="N78" t="n">
        <v>0</v>
      </c>
      <c r="O78" t="n">
        <v>0</v>
      </c>
      <c r="P78" t="n">
        <v>0</v>
      </c>
      <c r="Q78" t="n">
        <v>0</v>
      </c>
      <c r="R78" t="n">
        <v>0</v>
      </c>
      <c r="S78" t="n">
        <v>0</v>
      </c>
      <c r="T78" t="n">
        <v>0</v>
      </c>
      <c r="U78" s="2" t="inlineStr"/>
    </row>
    <row r="79" ht="15" customHeight="1">
      <c r="A79" t="inlineStr">
        <is>
          <t>A 5093-2025</t>
        </is>
      </c>
      <c r="B79" t="inlineStr">
        <is>
          <t>avverkningsanmälan</t>
        </is>
      </c>
      <c r="C79" t="inlineStr">
        <is>
          <t>Avverkning för annat ändamål</t>
        </is>
      </c>
      <c r="D79" s="1" t="n">
        <v>45691</v>
      </c>
      <c r="E79" s="1" t="n">
        <v>46222</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s="2" t="inlineStr"/>
    </row>
    <row r="80" ht="15" customHeight="1">
      <c r="A80" t="inlineStr">
        <is>
          <t>A 53077-2023</t>
        </is>
      </c>
      <c r="B80" t="inlineStr">
        <is>
          <t>avverkningsanmälan</t>
        </is>
      </c>
      <c r="C80" t="inlineStr">
        <is>
          <t>Föryngringsavverkning</t>
        </is>
      </c>
      <c r="D80" s="1" t="n">
        <v>45227</v>
      </c>
      <c r="E80" s="1" t="n">
        <v>46222</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s="2" t="inlineStr"/>
    </row>
    <row r="81" ht="15" customHeight="1">
      <c r="A81" t="inlineStr">
        <is>
          <t>A 12163-2024</t>
        </is>
      </c>
      <c r="B81" t="inlineStr">
        <is>
          <t>avverkningsanmälan</t>
        </is>
      </c>
      <c r="C81" t="inlineStr">
        <is>
          <t>Föryngringsavverkning</t>
        </is>
      </c>
      <c r="D81" s="1" t="n">
        <v>45377</v>
      </c>
      <c r="E81" s="1" t="n">
        <v>46222</v>
      </c>
      <c r="F81" t="inlineStr">
        <is>
          <t>NORRBOTTENS LÄN</t>
        </is>
      </c>
      <c r="G81" t="inlineStr">
        <is>
          <t>ÖVERTORNEÅ</t>
        </is>
      </c>
      <c r="I81" t="n">
        <v>2.8</v>
      </c>
      <c r="J81" t="n">
        <v>0</v>
      </c>
      <c r="K81" t="n">
        <v>0</v>
      </c>
      <c r="L81" t="n">
        <v>0</v>
      </c>
      <c r="M81" t="n">
        <v>0</v>
      </c>
      <c r="N81" t="n">
        <v>0</v>
      </c>
      <c r="O81" t="n">
        <v>0</v>
      </c>
      <c r="P81" t="n">
        <v>0</v>
      </c>
      <c r="Q81" t="n">
        <v>0</v>
      </c>
      <c r="R81" t="n">
        <v>0</v>
      </c>
      <c r="S81" t="n">
        <v>0</v>
      </c>
      <c r="T81" t="n">
        <v>0</v>
      </c>
      <c r="U81" s="2" t="inlineStr"/>
    </row>
    <row r="82" ht="15" customHeight="1">
      <c r="A82" t="inlineStr">
        <is>
          <t>A 20564-2025</t>
        </is>
      </c>
      <c r="B82" t="inlineStr">
        <is>
          <t>avverkningsanmälan</t>
        </is>
      </c>
      <c r="C82" t="inlineStr">
        <is>
          <t>Föryngringsavverkning</t>
        </is>
      </c>
      <c r="D82" s="1" t="n">
        <v>45775</v>
      </c>
      <c r="E82" s="1" t="n">
        <v>46222</v>
      </c>
      <c r="F82" t="inlineStr">
        <is>
          <t>NORRBOTTENS LÄN</t>
        </is>
      </c>
      <c r="G82" t="inlineStr">
        <is>
          <t>ÖVERTORNEÅ</t>
        </is>
      </c>
      <c r="H82" t="inlineStr">
        <is>
          <t>Sveaskog</t>
        </is>
      </c>
      <c r="I82" t="n">
        <v>39.6</v>
      </c>
      <c r="J82" t="n">
        <v>0</v>
      </c>
      <c r="K82" t="n">
        <v>0</v>
      </c>
      <c r="L82" t="n">
        <v>0</v>
      </c>
      <c r="M82" t="n">
        <v>0</v>
      </c>
      <c r="N82" t="n">
        <v>0</v>
      </c>
      <c r="O82" t="n">
        <v>0</v>
      </c>
      <c r="P82" t="n">
        <v>0</v>
      </c>
      <c r="Q82" t="n">
        <v>0</v>
      </c>
      <c r="R82" t="n">
        <v>0</v>
      </c>
      <c r="S82" t="n">
        <v>0</v>
      </c>
      <c r="T82" t="n">
        <v>0</v>
      </c>
      <c r="U82" s="2" t="inlineStr"/>
    </row>
    <row r="83" ht="15" customHeight="1">
      <c r="A83" t="inlineStr">
        <is>
          <t>A 8509-2024</t>
        </is>
      </c>
      <c r="B83" t="inlineStr">
        <is>
          <t>avverkningsanmälan</t>
        </is>
      </c>
      <c r="C83" t="inlineStr">
        <is>
          <t>Föryngringsavverkning</t>
        </is>
      </c>
      <c r="D83" s="1" t="n">
        <v>45351</v>
      </c>
      <c r="E83" s="1" t="n">
        <v>46222</v>
      </c>
      <c r="F83" t="inlineStr">
        <is>
          <t>NORRBOTTENS LÄN</t>
        </is>
      </c>
      <c r="G83" t="inlineStr">
        <is>
          <t>ÖVERTORNEÅ</t>
        </is>
      </c>
      <c r="I83" t="n">
        <v>7</v>
      </c>
      <c r="J83" t="n">
        <v>0</v>
      </c>
      <c r="K83" t="n">
        <v>0</v>
      </c>
      <c r="L83" t="n">
        <v>0</v>
      </c>
      <c r="M83" t="n">
        <v>0</v>
      </c>
      <c r="N83" t="n">
        <v>0</v>
      </c>
      <c r="O83" t="n">
        <v>0</v>
      </c>
      <c r="P83" t="n">
        <v>0</v>
      </c>
      <c r="Q83" t="n">
        <v>0</v>
      </c>
      <c r="R83" t="n">
        <v>0</v>
      </c>
      <c r="S83" t="n">
        <v>0</v>
      </c>
      <c r="T83" t="n">
        <v>0</v>
      </c>
      <c r="U83" s="2" t="inlineStr"/>
    </row>
    <row r="84" ht="15" customHeight="1">
      <c r="A84" t="inlineStr">
        <is>
          <t>A 54029-2023</t>
        </is>
      </c>
      <c r="B84" t="inlineStr">
        <is>
          <t>avverkningsanmälan</t>
        </is>
      </c>
      <c r="C84" t="inlineStr">
        <is>
          <t>Föryngringsavverkning</t>
        </is>
      </c>
      <c r="D84" s="1" t="n">
        <v>45231</v>
      </c>
      <c r="E84" s="1" t="n">
        <v>46222</v>
      </c>
      <c r="F84" t="inlineStr">
        <is>
          <t>NORRBOTTENS LÄN</t>
        </is>
      </c>
      <c r="G84" t="inlineStr">
        <is>
          <t>ÖVERTORNEÅ</t>
        </is>
      </c>
      <c r="I84" t="n">
        <v>2.5</v>
      </c>
      <c r="J84" t="n">
        <v>0</v>
      </c>
      <c r="K84" t="n">
        <v>0</v>
      </c>
      <c r="L84" t="n">
        <v>0</v>
      </c>
      <c r="M84" t="n">
        <v>0</v>
      </c>
      <c r="N84" t="n">
        <v>0</v>
      </c>
      <c r="O84" t="n">
        <v>0</v>
      </c>
      <c r="P84" t="n">
        <v>0</v>
      </c>
      <c r="Q84" t="n">
        <v>0</v>
      </c>
      <c r="R84" t="n">
        <v>0</v>
      </c>
      <c r="S84" t="n">
        <v>0</v>
      </c>
      <c r="T84" t="n">
        <v>0</v>
      </c>
      <c r="U84" s="2" t="inlineStr"/>
    </row>
    <row r="85" ht="15" customHeight="1">
      <c r="A85" t="inlineStr">
        <is>
          <t>A 20175-2025</t>
        </is>
      </c>
      <c r="B85" t="inlineStr">
        <is>
          <t>avverkningsanmälan</t>
        </is>
      </c>
      <c r="C85" t="inlineStr">
        <is>
          <t>Avverkning för annat ändamål</t>
        </is>
      </c>
      <c r="D85" s="1" t="n">
        <v>45772</v>
      </c>
      <c r="E85" s="1" t="n">
        <v>46222</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s="2" t="inlineStr"/>
    </row>
    <row r="86" ht="15" customHeight="1">
      <c r="A86" t="inlineStr">
        <is>
          <t>A 20405-2024</t>
        </is>
      </c>
      <c r="B86" t="inlineStr">
        <is>
          <t>avverkningsanmälan</t>
        </is>
      </c>
      <c r="C86" t="inlineStr">
        <is>
          <t>Föryngringsavverkning</t>
        </is>
      </c>
      <c r="D86" s="1" t="n">
        <v>45435</v>
      </c>
      <c r="E86" s="1" t="n">
        <v>46222</v>
      </c>
      <c r="F86" t="inlineStr">
        <is>
          <t>NORRBOTTENS LÄN</t>
        </is>
      </c>
      <c r="G86" t="inlineStr">
        <is>
          <t>ÖVERTORNEÅ</t>
        </is>
      </c>
      <c r="H86" t="inlineStr">
        <is>
          <t>Sveaskog</t>
        </is>
      </c>
      <c r="I86" t="n">
        <v>2.3</v>
      </c>
      <c r="J86" t="n">
        <v>0</v>
      </c>
      <c r="K86" t="n">
        <v>0</v>
      </c>
      <c r="L86" t="n">
        <v>0</v>
      </c>
      <c r="M86" t="n">
        <v>0</v>
      </c>
      <c r="N86" t="n">
        <v>0</v>
      </c>
      <c r="O86" t="n">
        <v>0</v>
      </c>
      <c r="P86" t="n">
        <v>0</v>
      </c>
      <c r="Q86" t="n">
        <v>0</v>
      </c>
      <c r="R86" t="n">
        <v>0</v>
      </c>
      <c r="S86" t="n">
        <v>0</v>
      </c>
      <c r="T86" t="n">
        <v>0</v>
      </c>
      <c r="U86" s="2" t="inlineStr"/>
    </row>
    <row r="87" ht="15" customHeight="1">
      <c r="A87" t="inlineStr">
        <is>
          <t>A 17807-2024</t>
        </is>
      </c>
      <c r="B87" t="inlineStr">
        <is>
          <t>avverkningsanmälan</t>
        </is>
      </c>
      <c r="C87" t="inlineStr">
        <is>
          <t>Föryngringsavverkning</t>
        </is>
      </c>
      <c r="D87" s="1" t="n">
        <v>45418</v>
      </c>
      <c r="E87" s="1" t="n">
        <v>46222</v>
      </c>
      <c r="F87" t="inlineStr">
        <is>
          <t>NORRBOTTENS LÄN</t>
        </is>
      </c>
      <c r="G87" t="inlineStr">
        <is>
          <t>ÖVERTORNEÅ</t>
        </is>
      </c>
      <c r="I87" t="n">
        <v>2.4</v>
      </c>
      <c r="J87" t="n">
        <v>0</v>
      </c>
      <c r="K87" t="n">
        <v>0</v>
      </c>
      <c r="L87" t="n">
        <v>0</v>
      </c>
      <c r="M87" t="n">
        <v>0</v>
      </c>
      <c r="N87" t="n">
        <v>0</v>
      </c>
      <c r="O87" t="n">
        <v>0</v>
      </c>
      <c r="P87" t="n">
        <v>0</v>
      </c>
      <c r="Q87" t="n">
        <v>0</v>
      </c>
      <c r="R87" t="n">
        <v>0</v>
      </c>
      <c r="S87" t="n">
        <v>0</v>
      </c>
      <c r="T87" t="n">
        <v>0</v>
      </c>
      <c r="U87" s="2" t="inlineStr"/>
    </row>
    <row r="88" ht="15" customHeight="1">
      <c r="A88" t="inlineStr">
        <is>
          <t>A 28953-2024</t>
        </is>
      </c>
      <c r="B88" t="inlineStr">
        <is>
          <t>avverkningsanmälan</t>
        </is>
      </c>
      <c r="C88" t="inlineStr">
        <is>
          <t>Föryngringsavverkning</t>
        </is>
      </c>
      <c r="D88" s="1" t="n">
        <v>45481</v>
      </c>
      <c r="E88" s="1" t="n">
        <v>46222</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s="2" t="inlineStr"/>
    </row>
    <row r="89" ht="15" customHeight="1">
      <c r="A89" t="inlineStr">
        <is>
          <t>A 1623-2024</t>
        </is>
      </c>
      <c r="B89" t="inlineStr">
        <is>
          <t>avverkningsanmälan</t>
        </is>
      </c>
      <c r="C89" t="inlineStr">
        <is>
          <t>Föryngringsavverkning</t>
        </is>
      </c>
      <c r="D89" s="1" t="n">
        <v>45306</v>
      </c>
      <c r="E89" s="1" t="n">
        <v>46222</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s="2" t="inlineStr"/>
    </row>
    <row r="90" ht="15" customHeight="1">
      <c r="A90" t="inlineStr">
        <is>
          <t>A 22419-2024</t>
        </is>
      </c>
      <c r="B90" t="inlineStr">
        <is>
          <t>avverkningsanmälan</t>
        </is>
      </c>
      <c r="C90" t="inlineStr">
        <is>
          <t>Föryngringsavverkning</t>
        </is>
      </c>
      <c r="D90" s="1" t="n">
        <v>45446</v>
      </c>
      <c r="E90" s="1" t="n">
        <v>46222</v>
      </c>
      <c r="F90" t="inlineStr">
        <is>
          <t>NORRBOTTENS LÄN</t>
        </is>
      </c>
      <c r="G90" t="inlineStr">
        <is>
          <t>ÖVERTORNEÅ</t>
        </is>
      </c>
      <c r="I90" t="n">
        <v>2.8</v>
      </c>
      <c r="J90" t="n">
        <v>0</v>
      </c>
      <c r="K90" t="n">
        <v>0</v>
      </c>
      <c r="L90" t="n">
        <v>0</v>
      </c>
      <c r="M90" t="n">
        <v>0</v>
      </c>
      <c r="N90" t="n">
        <v>0</v>
      </c>
      <c r="O90" t="n">
        <v>0</v>
      </c>
      <c r="P90" t="n">
        <v>0</v>
      </c>
      <c r="Q90" t="n">
        <v>0</v>
      </c>
      <c r="R90" t="n">
        <v>0</v>
      </c>
      <c r="S90" t="n">
        <v>0</v>
      </c>
      <c r="T90" t="n">
        <v>0</v>
      </c>
      <c r="U90" s="2" t="inlineStr"/>
    </row>
    <row r="91" ht="15" customHeight="1">
      <c r="A91" t="inlineStr">
        <is>
          <t>A 26118-2024</t>
        </is>
      </c>
      <c r="B91" t="inlineStr">
        <is>
          <t>avverkningsanmälan</t>
        </is>
      </c>
      <c r="C91" t="inlineStr">
        <is>
          <t>Föryngringsavverkning</t>
        </is>
      </c>
      <c r="D91" s="1" t="n">
        <v>45467</v>
      </c>
      <c r="E91" s="1" t="n">
        <v>46222</v>
      </c>
      <c r="F91" t="inlineStr">
        <is>
          <t>NORRBOTTENS LÄN</t>
        </is>
      </c>
      <c r="G91" t="inlineStr">
        <is>
          <t>ÖVERTORNEÅ</t>
        </is>
      </c>
      <c r="I91" t="n">
        <v>12.4</v>
      </c>
      <c r="J91" t="n">
        <v>0</v>
      </c>
      <c r="K91" t="n">
        <v>0</v>
      </c>
      <c r="L91" t="n">
        <v>0</v>
      </c>
      <c r="M91" t="n">
        <v>0</v>
      </c>
      <c r="N91" t="n">
        <v>0</v>
      </c>
      <c r="O91" t="n">
        <v>0</v>
      </c>
      <c r="P91" t="n">
        <v>0</v>
      </c>
      <c r="Q91" t="n">
        <v>0</v>
      </c>
      <c r="R91" t="n">
        <v>0</v>
      </c>
      <c r="S91" t="n">
        <v>0</v>
      </c>
      <c r="T91" t="n">
        <v>0</v>
      </c>
      <c r="U91" s="2" t="inlineStr"/>
    </row>
    <row r="92" ht="15" customHeight="1">
      <c r="A92" t="inlineStr">
        <is>
          <t>A 26142-2024</t>
        </is>
      </c>
      <c r="B92" t="inlineStr">
        <is>
          <t>avverkningsanmälan</t>
        </is>
      </c>
      <c r="C92" t="inlineStr">
        <is>
          <t>Föryngringsavverkning</t>
        </is>
      </c>
      <c r="D92" s="1" t="n">
        <v>45467</v>
      </c>
      <c r="E92" s="1" t="n">
        <v>46222</v>
      </c>
      <c r="F92" t="inlineStr">
        <is>
          <t>NORRBOTTENS LÄN</t>
        </is>
      </c>
      <c r="G92" t="inlineStr">
        <is>
          <t>ÖVERTORNEÅ</t>
        </is>
      </c>
      <c r="I92" t="n">
        <v>4.5</v>
      </c>
      <c r="J92" t="n">
        <v>0</v>
      </c>
      <c r="K92" t="n">
        <v>0</v>
      </c>
      <c r="L92" t="n">
        <v>0</v>
      </c>
      <c r="M92" t="n">
        <v>0</v>
      </c>
      <c r="N92" t="n">
        <v>0</v>
      </c>
      <c r="O92" t="n">
        <v>0</v>
      </c>
      <c r="P92" t="n">
        <v>0</v>
      </c>
      <c r="Q92" t="n">
        <v>0</v>
      </c>
      <c r="R92" t="n">
        <v>0</v>
      </c>
      <c r="S92" t="n">
        <v>0</v>
      </c>
      <c r="T92" t="n">
        <v>0</v>
      </c>
      <c r="U92" s="2" t="inlineStr"/>
    </row>
    <row r="93" ht="15" customHeight="1">
      <c r="A93" t="inlineStr">
        <is>
          <t>A 44238-2024</t>
        </is>
      </c>
      <c r="B93" t="inlineStr">
        <is>
          <t>avverkningsanmälan</t>
        </is>
      </c>
      <c r="C93" t="inlineStr">
        <is>
          <t>Föryngringsavverkning</t>
        </is>
      </c>
      <c r="D93" s="1" t="n">
        <v>45573</v>
      </c>
      <c r="E93" s="1" t="n">
        <v>46222</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s="2" t="inlineStr"/>
    </row>
    <row r="94" ht="15" customHeight="1">
      <c r="A94" t="inlineStr">
        <is>
          <t>A 48770-2021</t>
        </is>
      </c>
      <c r="B94" t="inlineStr">
        <is>
          <t>avverkningsanmälan</t>
        </is>
      </c>
      <c r="C94" t="inlineStr">
        <is>
          <t>Föryngringsavverkning</t>
        </is>
      </c>
      <c r="D94" s="1" t="n">
        <v>44452</v>
      </c>
      <c r="E94" s="1" t="n">
        <v>46222</v>
      </c>
      <c r="F94" t="inlineStr">
        <is>
          <t>NORRBOTTENS LÄN</t>
        </is>
      </c>
      <c r="G94" t="inlineStr">
        <is>
          <t>ÖVERTORNEÅ</t>
        </is>
      </c>
      <c r="I94" t="n">
        <v>9.4</v>
      </c>
      <c r="J94" t="n">
        <v>0</v>
      </c>
      <c r="K94" t="n">
        <v>0</v>
      </c>
      <c r="L94" t="n">
        <v>0</v>
      </c>
      <c r="M94" t="n">
        <v>0</v>
      </c>
      <c r="N94" t="n">
        <v>0</v>
      </c>
      <c r="O94" t="n">
        <v>0</v>
      </c>
      <c r="P94" t="n">
        <v>0</v>
      </c>
      <c r="Q94" t="n">
        <v>0</v>
      </c>
      <c r="R94" t="n">
        <v>0</v>
      </c>
      <c r="S94" t="n">
        <v>0</v>
      </c>
      <c r="T94" t="n">
        <v>0</v>
      </c>
      <c r="U94" s="2" t="inlineStr"/>
    </row>
    <row r="95" ht="15" customHeight="1">
      <c r="A95" t="inlineStr">
        <is>
          <t>A 48792-2021</t>
        </is>
      </c>
      <c r="B95" t="inlineStr">
        <is>
          <t>avverkningsanmälan</t>
        </is>
      </c>
      <c r="C95" t="inlineStr">
        <is>
          <t>Föryngringsavverkning</t>
        </is>
      </c>
      <c r="D95" s="1" t="n">
        <v>44452</v>
      </c>
      <c r="E95" s="1" t="n">
        <v>46222</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s="2" t="inlineStr"/>
    </row>
    <row r="96" ht="15" customHeight="1">
      <c r="A96" t="inlineStr">
        <is>
          <t>A 58083-2024</t>
        </is>
      </c>
      <c r="B96" t="inlineStr">
        <is>
          <t>avverkningsanmälan</t>
        </is>
      </c>
      <c r="C96" t="inlineStr">
        <is>
          <t>Föryngringsavverkning</t>
        </is>
      </c>
      <c r="D96" s="1" t="n">
        <v>45632</v>
      </c>
      <c r="E96" s="1" t="n">
        <v>46222</v>
      </c>
      <c r="F96" t="inlineStr">
        <is>
          <t>NORRBOTTENS LÄN</t>
        </is>
      </c>
      <c r="G96" t="inlineStr">
        <is>
          <t>ÖVERTORNEÅ</t>
        </is>
      </c>
      <c r="I96" t="n">
        <v>13.2</v>
      </c>
      <c r="J96" t="n">
        <v>0</v>
      </c>
      <c r="K96" t="n">
        <v>0</v>
      </c>
      <c r="L96" t="n">
        <v>0</v>
      </c>
      <c r="M96" t="n">
        <v>0</v>
      </c>
      <c r="N96" t="n">
        <v>0</v>
      </c>
      <c r="O96" t="n">
        <v>0</v>
      </c>
      <c r="P96" t="n">
        <v>0</v>
      </c>
      <c r="Q96" t="n">
        <v>0</v>
      </c>
      <c r="R96" t="n">
        <v>0</v>
      </c>
      <c r="S96" t="n">
        <v>0</v>
      </c>
      <c r="T96" t="n">
        <v>0</v>
      </c>
      <c r="U96" s="2" t="inlineStr"/>
    </row>
    <row r="97" ht="15" customHeight="1">
      <c r="A97" t="inlineStr">
        <is>
          <t>A 38127-2024</t>
        </is>
      </c>
      <c r="B97" t="inlineStr">
        <is>
          <t>avverkningsanmälan</t>
        </is>
      </c>
      <c r="C97" t="inlineStr">
        <is>
          <t>Avverkning för att bevara och utveckla /försöksver</t>
        </is>
      </c>
      <c r="D97" s="1" t="n">
        <v>45545</v>
      </c>
      <c r="E97" s="1" t="n">
        <v>46222</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s="2" t="inlineStr"/>
    </row>
    <row r="98" ht="15" customHeight="1">
      <c r="A98" t="inlineStr">
        <is>
          <t>A 36586-2024</t>
        </is>
      </c>
      <c r="B98" t="inlineStr">
        <is>
          <t>avverkningsanmälan</t>
        </is>
      </c>
      <c r="C98" t="inlineStr">
        <is>
          <t>Avverkning för annat ändamål</t>
        </is>
      </c>
      <c r="D98" s="1" t="n">
        <v>45537</v>
      </c>
      <c r="E98" s="1" t="n">
        <v>46222</v>
      </c>
      <c r="F98" t="inlineStr">
        <is>
          <t>NORRBOTTENS LÄN</t>
        </is>
      </c>
      <c r="G98" t="inlineStr">
        <is>
          <t>ÖVERTORNEÅ</t>
        </is>
      </c>
      <c r="I98" t="n">
        <v>0.9</v>
      </c>
      <c r="J98" t="n">
        <v>0</v>
      </c>
      <c r="K98" t="n">
        <v>0</v>
      </c>
      <c r="L98" t="n">
        <v>0</v>
      </c>
      <c r="M98" t="n">
        <v>0</v>
      </c>
      <c r="N98" t="n">
        <v>0</v>
      </c>
      <c r="O98" t="n">
        <v>0</v>
      </c>
      <c r="P98" t="n">
        <v>0</v>
      </c>
      <c r="Q98" t="n">
        <v>0</v>
      </c>
      <c r="R98" t="n">
        <v>0</v>
      </c>
      <c r="S98" t="n">
        <v>0</v>
      </c>
      <c r="T98" t="n">
        <v>0</v>
      </c>
      <c r="U98" s="2" t="inlineStr"/>
    </row>
    <row r="99" ht="15" customHeight="1">
      <c r="A99" t="inlineStr">
        <is>
          <t>A 4514-2022</t>
        </is>
      </c>
      <c r="B99" t="inlineStr">
        <is>
          <t>avverkningsanmälan</t>
        </is>
      </c>
      <c r="C99" t="inlineStr">
        <is>
          <t>Avverkning för annat ändamål</t>
        </is>
      </c>
      <c r="D99" s="1" t="n">
        <v>44589</v>
      </c>
      <c r="E99" s="1" t="n">
        <v>46222</v>
      </c>
      <c r="F99" t="inlineStr">
        <is>
          <t>NORRBOTTENS LÄN</t>
        </is>
      </c>
      <c r="G99" t="inlineStr">
        <is>
          <t>ÖVERTORNEÅ</t>
        </is>
      </c>
      <c r="I99" t="n">
        <v>3</v>
      </c>
      <c r="J99" t="n">
        <v>0</v>
      </c>
      <c r="K99" t="n">
        <v>0</v>
      </c>
      <c r="L99" t="n">
        <v>0</v>
      </c>
      <c r="M99" t="n">
        <v>0</v>
      </c>
      <c r="N99" t="n">
        <v>0</v>
      </c>
      <c r="O99" t="n">
        <v>0</v>
      </c>
      <c r="P99" t="n">
        <v>0</v>
      </c>
      <c r="Q99" t="n">
        <v>0</v>
      </c>
      <c r="R99" t="n">
        <v>0</v>
      </c>
      <c r="S99" t="n">
        <v>0</v>
      </c>
      <c r="T99" t="n">
        <v>0</v>
      </c>
      <c r="U99" s="2" t="inlineStr"/>
    </row>
    <row r="100" ht="15" customHeight="1">
      <c r="A100" t="inlineStr">
        <is>
          <t>A 55556-2024</t>
        </is>
      </c>
      <c r="B100" t="inlineStr">
        <is>
          <t>avverkningsanmälan</t>
        </is>
      </c>
      <c r="C100" t="inlineStr">
        <is>
          <t>Föryngringsavverkning</t>
        </is>
      </c>
      <c r="D100" s="1" t="n">
        <v>45622</v>
      </c>
      <c r="E100" s="1" t="n">
        <v>46222</v>
      </c>
      <c r="F100" t="inlineStr">
        <is>
          <t>NORRBOTTENS LÄN</t>
        </is>
      </c>
      <c r="G100" t="inlineStr">
        <is>
          <t>ÖVERTORNEÅ</t>
        </is>
      </c>
      <c r="I100" t="n">
        <v>3.9</v>
      </c>
      <c r="J100" t="n">
        <v>0</v>
      </c>
      <c r="K100" t="n">
        <v>0</v>
      </c>
      <c r="L100" t="n">
        <v>0</v>
      </c>
      <c r="M100" t="n">
        <v>0</v>
      </c>
      <c r="N100" t="n">
        <v>0</v>
      </c>
      <c r="O100" t="n">
        <v>0</v>
      </c>
      <c r="P100" t="n">
        <v>0</v>
      </c>
      <c r="Q100" t="n">
        <v>0</v>
      </c>
      <c r="R100" t="n">
        <v>0</v>
      </c>
      <c r="S100" t="n">
        <v>0</v>
      </c>
      <c r="T100" t="n">
        <v>0</v>
      </c>
      <c r="U100" s="2" t="inlineStr"/>
    </row>
    <row r="101" ht="15" customHeight="1">
      <c r="A101" t="inlineStr">
        <is>
          <t>A 55559-2024</t>
        </is>
      </c>
      <c r="B101" t="inlineStr">
        <is>
          <t>avverkningsanmälan</t>
        </is>
      </c>
      <c r="C101" t="inlineStr">
        <is>
          <t>Föryngringsavverkning</t>
        </is>
      </c>
      <c r="D101" s="1" t="n">
        <v>45622</v>
      </c>
      <c r="E101" s="1" t="n">
        <v>46222</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2433-2025</t>
        </is>
      </c>
      <c r="B102" t="inlineStr">
        <is>
          <t>avverkningsanmälan</t>
        </is>
      </c>
      <c r="C102" t="inlineStr">
        <is>
          <t>Avverkning för annat ändamål</t>
        </is>
      </c>
      <c r="D102" s="1" t="n">
        <v>45673</v>
      </c>
      <c r="E102" s="1" t="n">
        <v>46222</v>
      </c>
      <c r="F102" t="inlineStr">
        <is>
          <t>NORRBOTTENS LÄN</t>
        </is>
      </c>
      <c r="G102" t="inlineStr">
        <is>
          <t>ÖVERTORNEÅ</t>
        </is>
      </c>
      <c r="I102" t="n">
        <v>9.6</v>
      </c>
      <c r="J102" t="n">
        <v>0</v>
      </c>
      <c r="K102" t="n">
        <v>0</v>
      </c>
      <c r="L102" t="n">
        <v>0</v>
      </c>
      <c r="M102" t="n">
        <v>0</v>
      </c>
      <c r="N102" t="n">
        <v>0</v>
      </c>
      <c r="O102" t="n">
        <v>0</v>
      </c>
      <c r="P102" t="n">
        <v>0</v>
      </c>
      <c r="Q102" t="n">
        <v>0</v>
      </c>
      <c r="R102" t="n">
        <v>0</v>
      </c>
      <c r="S102" t="n">
        <v>0</v>
      </c>
      <c r="T102" t="n">
        <v>0</v>
      </c>
      <c r="U102" s="2" t="inlineStr"/>
    </row>
    <row r="103" ht="15" customHeight="1">
      <c r="A103" t="inlineStr">
        <is>
          <t>A 34398-2023</t>
        </is>
      </c>
      <c r="B103" t="inlineStr">
        <is>
          <t>avverkningsanmälan</t>
        </is>
      </c>
      <c r="C103" t="inlineStr">
        <is>
          <t>Föryngringsavverkning</t>
        </is>
      </c>
      <c r="D103" s="1" t="n">
        <v>45139</v>
      </c>
      <c r="E103" s="1" t="n">
        <v>46222</v>
      </c>
      <c r="F103" t="inlineStr">
        <is>
          <t>NORRBOTTENS LÄN</t>
        </is>
      </c>
      <c r="G103" t="inlineStr">
        <is>
          <t>ÖVERTORNEÅ</t>
        </is>
      </c>
      <c r="I103" t="n">
        <v>8.9</v>
      </c>
      <c r="J103" t="n">
        <v>0</v>
      </c>
      <c r="K103" t="n">
        <v>0</v>
      </c>
      <c r="L103" t="n">
        <v>0</v>
      </c>
      <c r="M103" t="n">
        <v>0</v>
      </c>
      <c r="N103" t="n">
        <v>0</v>
      </c>
      <c r="O103" t="n">
        <v>0</v>
      </c>
      <c r="P103" t="n">
        <v>0</v>
      </c>
      <c r="Q103" t="n">
        <v>0</v>
      </c>
      <c r="R103" t="n">
        <v>0</v>
      </c>
      <c r="S103" t="n">
        <v>0</v>
      </c>
      <c r="T103" t="n">
        <v>0</v>
      </c>
      <c r="U103" s="2" t="inlineStr"/>
    </row>
    <row r="104" ht="15" customHeight="1">
      <c r="A104" t="inlineStr">
        <is>
          <t>A 855-2024</t>
        </is>
      </c>
      <c r="B104" t="inlineStr">
        <is>
          <t>avverkningsanmälan</t>
        </is>
      </c>
      <c r="C104" t="inlineStr">
        <is>
          <t>Föryngringsavverkning</t>
        </is>
      </c>
      <c r="D104" s="1" t="n">
        <v>45300</v>
      </c>
      <c r="E104" s="1" t="n">
        <v>46222</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41030-2024</t>
        </is>
      </c>
      <c r="B105" t="inlineStr">
        <is>
          <t>avverkningsanmälan</t>
        </is>
      </c>
      <c r="C105" t="inlineStr">
        <is>
          <t>Föryngringsavverkning</t>
        </is>
      </c>
      <c r="D105" s="1" t="n">
        <v>45559</v>
      </c>
      <c r="E105" s="1" t="n">
        <v>46222</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s="2" t="inlineStr"/>
    </row>
    <row r="106" ht="15" customHeight="1">
      <c r="A106" t="inlineStr">
        <is>
          <t>A 36057-2023</t>
        </is>
      </c>
      <c r="B106" t="inlineStr">
        <is>
          <t>avverkningsanmälan</t>
        </is>
      </c>
      <c r="C106" t="inlineStr">
        <is>
          <t>Föryngringsavverkning</t>
        </is>
      </c>
      <c r="D106" s="1" t="n">
        <v>45149</v>
      </c>
      <c r="E106" s="1" t="n">
        <v>46222</v>
      </c>
      <c r="F106" t="inlineStr">
        <is>
          <t>NORRBOTTENS LÄN</t>
        </is>
      </c>
      <c r="G106" t="inlineStr">
        <is>
          <t>ÖVERTORNEÅ</t>
        </is>
      </c>
      <c r="I106" t="n">
        <v>3.7</v>
      </c>
      <c r="J106" t="n">
        <v>0</v>
      </c>
      <c r="K106" t="n">
        <v>0</v>
      </c>
      <c r="L106" t="n">
        <v>0</v>
      </c>
      <c r="M106" t="n">
        <v>0</v>
      </c>
      <c r="N106" t="n">
        <v>0</v>
      </c>
      <c r="O106" t="n">
        <v>0</v>
      </c>
      <c r="P106" t="n">
        <v>0</v>
      </c>
      <c r="Q106" t="n">
        <v>0</v>
      </c>
      <c r="R106" t="n">
        <v>0</v>
      </c>
      <c r="S106" t="n">
        <v>0</v>
      </c>
      <c r="T106" t="n">
        <v>0</v>
      </c>
      <c r="U106" s="2" t="inlineStr"/>
    </row>
    <row r="107" ht="15" customHeight="1">
      <c r="A107" t="inlineStr">
        <is>
          <t>A 14298-2023</t>
        </is>
      </c>
      <c r="B107" t="inlineStr">
        <is>
          <t>avverkningsanmälan</t>
        </is>
      </c>
      <c r="C107" t="inlineStr">
        <is>
          <t>Föryngringsavverkning</t>
        </is>
      </c>
      <c r="D107" s="1" t="n">
        <v>45011</v>
      </c>
      <c r="E107" s="1" t="n">
        <v>46222</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26887-2025</t>
        </is>
      </c>
      <c r="B108" t="inlineStr">
        <is>
          <t>avverkningsanmälan</t>
        </is>
      </c>
      <c r="C108" t="inlineStr">
        <is>
          <t>Föryngringsavverkning</t>
        </is>
      </c>
      <c r="D108" s="1" t="n">
        <v>45810</v>
      </c>
      <c r="E108" s="1" t="n">
        <v>46222</v>
      </c>
      <c r="F108" t="inlineStr">
        <is>
          <t>NORRBOTTENS LÄN</t>
        </is>
      </c>
      <c r="G108" t="inlineStr">
        <is>
          <t>ÖVERTORNEÅ</t>
        </is>
      </c>
      <c r="H108" t="inlineStr">
        <is>
          <t>Sveaskog</t>
        </is>
      </c>
      <c r="I108" t="n">
        <v>9.300000000000001</v>
      </c>
      <c r="J108" t="n">
        <v>0</v>
      </c>
      <c r="K108" t="n">
        <v>0</v>
      </c>
      <c r="L108" t="n">
        <v>0</v>
      </c>
      <c r="M108" t="n">
        <v>0</v>
      </c>
      <c r="N108" t="n">
        <v>0</v>
      </c>
      <c r="O108" t="n">
        <v>0</v>
      </c>
      <c r="P108" t="n">
        <v>0</v>
      </c>
      <c r="Q108" t="n">
        <v>0</v>
      </c>
      <c r="R108" t="n">
        <v>0</v>
      </c>
      <c r="S108" t="n">
        <v>0</v>
      </c>
      <c r="T108" t="n">
        <v>0</v>
      </c>
      <c r="U108" s="2" t="inlineStr"/>
    </row>
    <row r="109" ht="15" customHeight="1">
      <c r="A109" t="inlineStr">
        <is>
          <t>A 27497-2025</t>
        </is>
      </c>
      <c r="B109" t="inlineStr">
        <is>
          <t>avverkningsanmälan</t>
        </is>
      </c>
      <c r="C109" t="inlineStr">
        <is>
          <t>Avverkning för annat ändamål</t>
        </is>
      </c>
      <c r="D109" s="1" t="n">
        <v>45813</v>
      </c>
      <c r="E109" s="1" t="n">
        <v>46222</v>
      </c>
      <c r="F109" t="inlineStr">
        <is>
          <t>NORRBOTTENS LÄN</t>
        </is>
      </c>
      <c r="G109" t="inlineStr">
        <is>
          <t>ÖVERTORNEÅ</t>
        </is>
      </c>
      <c r="H109" t="inlineStr">
        <is>
          <t>Sveaskog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32738-2024</t>
        </is>
      </c>
      <c r="B110" t="inlineStr">
        <is>
          <t>avverkningsanmälan</t>
        </is>
      </c>
      <c r="C110" t="inlineStr">
        <is>
          <t>Föryngringsavverkning</t>
        </is>
      </c>
      <c r="D110" s="1" t="n">
        <v>45516</v>
      </c>
      <c r="E110" s="1" t="n">
        <v>46222</v>
      </c>
      <c r="F110" t="inlineStr">
        <is>
          <t>NORRBOTTENS LÄN</t>
        </is>
      </c>
      <c r="G110" t="inlineStr">
        <is>
          <t>ÖVERTORNEÅ</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8514-2024</t>
        </is>
      </c>
      <c r="B111" t="inlineStr">
        <is>
          <t>avverkningsanmälan</t>
        </is>
      </c>
      <c r="C111" t="inlineStr">
        <is>
          <t>Föryngringsavverkning</t>
        </is>
      </c>
      <c r="D111" s="1" t="n">
        <v>45351</v>
      </c>
      <c r="E111" s="1" t="n">
        <v>46222</v>
      </c>
      <c r="F111" t="inlineStr">
        <is>
          <t>NORRBOTTENS LÄN</t>
        </is>
      </c>
      <c r="G111" t="inlineStr">
        <is>
          <t>ÖVERTORNEÅ</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12005-2022</t>
        </is>
      </c>
      <c r="B112" t="inlineStr">
        <is>
          <t>avverkningsanmälan</t>
        </is>
      </c>
      <c r="C112" t="inlineStr">
        <is>
          <t>Föryngringsavverkning</t>
        </is>
      </c>
      <c r="D112" s="1" t="n">
        <v>44635</v>
      </c>
      <c r="E112" s="1" t="n">
        <v>46222</v>
      </c>
      <c r="F112" t="inlineStr">
        <is>
          <t>NORRBOTTENS LÄN</t>
        </is>
      </c>
      <c r="G112" t="inlineStr">
        <is>
          <t>ÖVERTORNEÅ</t>
        </is>
      </c>
      <c r="I112" t="n">
        <v>6</v>
      </c>
      <c r="J112" t="n">
        <v>0</v>
      </c>
      <c r="K112" t="n">
        <v>0</v>
      </c>
      <c r="L112" t="n">
        <v>0</v>
      </c>
      <c r="M112" t="n">
        <v>0</v>
      </c>
      <c r="N112" t="n">
        <v>0</v>
      </c>
      <c r="O112" t="n">
        <v>0</v>
      </c>
      <c r="P112" t="n">
        <v>0</v>
      </c>
      <c r="Q112" t="n">
        <v>0</v>
      </c>
      <c r="R112" t="n">
        <v>0</v>
      </c>
      <c r="S112" t="n">
        <v>0</v>
      </c>
      <c r="T112" t="n">
        <v>0</v>
      </c>
      <c r="U112" s="2" t="inlineStr"/>
    </row>
    <row r="113" ht="15" customHeight="1">
      <c r="A113" t="inlineStr">
        <is>
          <t>A 58992-2024</t>
        </is>
      </c>
      <c r="B113" t="inlineStr">
        <is>
          <t>avverkningsanmälan</t>
        </is>
      </c>
      <c r="C113" t="inlineStr">
        <is>
          <t>Föryngringsavverkning</t>
        </is>
      </c>
      <c r="D113" s="1" t="n">
        <v>45636</v>
      </c>
      <c r="E113" s="1" t="n">
        <v>46222</v>
      </c>
      <c r="F113" t="inlineStr">
        <is>
          <t>NORRBOTTENS LÄN</t>
        </is>
      </c>
      <c r="G113" t="inlineStr">
        <is>
          <t>ÖVERTORNEÅ</t>
        </is>
      </c>
      <c r="I113" t="n">
        <v>44.5</v>
      </c>
      <c r="J113" t="n">
        <v>0</v>
      </c>
      <c r="K113" t="n">
        <v>0</v>
      </c>
      <c r="L113" t="n">
        <v>0</v>
      </c>
      <c r="M113" t="n">
        <v>0</v>
      </c>
      <c r="N113" t="n">
        <v>0</v>
      </c>
      <c r="O113" t="n">
        <v>0</v>
      </c>
      <c r="P113" t="n">
        <v>0</v>
      </c>
      <c r="Q113" t="n">
        <v>0</v>
      </c>
      <c r="R113" t="n">
        <v>0</v>
      </c>
      <c r="S113" t="n">
        <v>0</v>
      </c>
      <c r="T113" t="n">
        <v>0</v>
      </c>
      <c r="U113" s="2" t="inlineStr"/>
    </row>
    <row r="114" ht="15" customHeight="1">
      <c r="A114" t="inlineStr">
        <is>
          <t>A 41918-2024</t>
        </is>
      </c>
      <c r="B114" t="inlineStr">
        <is>
          <t>avverkningsanmälan</t>
        </is>
      </c>
      <c r="C114" t="inlineStr">
        <is>
          <t>Föryngringsavverkning</t>
        </is>
      </c>
      <c r="D114" s="1" t="n">
        <v>45561</v>
      </c>
      <c r="E114" s="1" t="n">
        <v>46222</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30364-2025</t>
        </is>
      </c>
      <c r="B115" t="inlineStr">
        <is>
          <t>avverkningsanmälan</t>
        </is>
      </c>
      <c r="C115" t="inlineStr">
        <is>
          <t>Föryngringsavverkning</t>
        </is>
      </c>
      <c r="D115" s="1" t="n">
        <v>45827</v>
      </c>
      <c r="E115" s="1" t="n">
        <v>46222</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38969-2025</t>
        </is>
      </c>
      <c r="B116" t="inlineStr">
        <is>
          <t>avverkningsanmälan</t>
        </is>
      </c>
      <c r="C116" t="inlineStr">
        <is>
          <t>Föryngringsavverkning</t>
        </is>
      </c>
      <c r="D116" s="1" t="n">
        <v>45887</v>
      </c>
      <c r="E116" s="1" t="n">
        <v>46222</v>
      </c>
      <c r="F116" t="inlineStr">
        <is>
          <t>NORRBOTTENS LÄN</t>
        </is>
      </c>
      <c r="G116" t="inlineStr">
        <is>
          <t>ÖVERTORNEÅ</t>
        </is>
      </c>
      <c r="I116" t="n">
        <v>43</v>
      </c>
      <c r="J116" t="n">
        <v>0</v>
      </c>
      <c r="K116" t="n">
        <v>0</v>
      </c>
      <c r="L116" t="n">
        <v>0</v>
      </c>
      <c r="M116" t="n">
        <v>0</v>
      </c>
      <c r="N116" t="n">
        <v>0</v>
      </c>
      <c r="O116" t="n">
        <v>0</v>
      </c>
      <c r="P116" t="n">
        <v>0</v>
      </c>
      <c r="Q116" t="n">
        <v>0</v>
      </c>
      <c r="R116" t="n">
        <v>0</v>
      </c>
      <c r="S116" t="n">
        <v>0</v>
      </c>
      <c r="T116" t="n">
        <v>0</v>
      </c>
      <c r="U116" s="2" t="inlineStr"/>
    </row>
    <row r="117" ht="15" customHeight="1">
      <c r="A117" t="inlineStr">
        <is>
          <t>A 62390-2022</t>
        </is>
      </c>
      <c r="B117" t="inlineStr">
        <is>
          <t>avverkningsanmälan</t>
        </is>
      </c>
      <c r="C117" t="inlineStr">
        <is>
          <t>Föryngringsavverkning</t>
        </is>
      </c>
      <c r="D117" s="1" t="n">
        <v>44923</v>
      </c>
      <c r="E117" s="1" t="n">
        <v>46222</v>
      </c>
      <c r="F117" t="inlineStr">
        <is>
          <t>NORRBOTTENS LÄN</t>
        </is>
      </c>
      <c r="G117" t="inlineStr">
        <is>
          <t>ÖVERTORNEÅ</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38974-2025</t>
        </is>
      </c>
      <c r="B118" t="inlineStr">
        <is>
          <t>avverkningsanmälan</t>
        </is>
      </c>
      <c r="C118" t="inlineStr">
        <is>
          <t>Föryngringsavverkning</t>
        </is>
      </c>
      <c r="D118" s="1" t="n">
        <v>45887</v>
      </c>
      <c r="E118" s="1" t="n">
        <v>46222</v>
      </c>
      <c r="F118" t="inlineStr">
        <is>
          <t>NORRBOTTENS LÄN</t>
        </is>
      </c>
      <c r="G118" t="inlineStr">
        <is>
          <t>ÖVERTORNEÅ</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4688-2026</t>
        </is>
      </c>
      <c r="B119" t="inlineStr">
        <is>
          <t>avverkningsanmälan</t>
        </is>
      </c>
      <c r="C119" t="inlineStr">
        <is>
          <t>Föryngringsavverkning</t>
        </is>
      </c>
      <c r="D119" s="1" t="n">
        <v>46048</v>
      </c>
      <c r="E119" s="1" t="n">
        <v>46222</v>
      </c>
      <c r="F119" t="inlineStr">
        <is>
          <t>NORRBOTTENS LÄN</t>
        </is>
      </c>
      <c r="G119" t="inlineStr">
        <is>
          <t>ÖVERTORNEÅ</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40589-2024</t>
        </is>
      </c>
      <c r="B120" t="inlineStr">
        <is>
          <t>avverkningsanmälan</t>
        </is>
      </c>
      <c r="C120" t="inlineStr">
        <is>
          <t>Föryngringsavverkning</t>
        </is>
      </c>
      <c r="D120" s="1" t="n">
        <v>45555</v>
      </c>
      <c r="E120" s="1" t="n">
        <v>46222</v>
      </c>
      <c r="F120" t="inlineStr">
        <is>
          <t>NORRBOTTENS LÄN</t>
        </is>
      </c>
      <c r="G120" t="inlineStr">
        <is>
          <t>ÖVERTORNEÅ</t>
        </is>
      </c>
      <c r="I120" t="n">
        <v>4.9</v>
      </c>
      <c r="J120" t="n">
        <v>0</v>
      </c>
      <c r="K120" t="n">
        <v>0</v>
      </c>
      <c r="L120" t="n">
        <v>0</v>
      </c>
      <c r="M120" t="n">
        <v>0</v>
      </c>
      <c r="N120" t="n">
        <v>0</v>
      </c>
      <c r="O120" t="n">
        <v>0</v>
      </c>
      <c r="P120" t="n">
        <v>0</v>
      </c>
      <c r="Q120" t="n">
        <v>0</v>
      </c>
      <c r="R120" t="n">
        <v>0</v>
      </c>
      <c r="S120" t="n">
        <v>0</v>
      </c>
      <c r="T120" t="n">
        <v>0</v>
      </c>
      <c r="U120" s="2" t="inlineStr"/>
    </row>
    <row r="121" ht="15" customHeight="1">
      <c r="A121" t="inlineStr">
        <is>
          <t>A 60385-2022</t>
        </is>
      </c>
      <c r="B121" t="inlineStr">
        <is>
          <t>avverkningsanmälan</t>
        </is>
      </c>
      <c r="C121" t="inlineStr">
        <is>
          <t>Föryngringsavverkning</t>
        </is>
      </c>
      <c r="D121" s="1" t="n">
        <v>44910</v>
      </c>
      <c r="E121" s="1" t="n">
        <v>46222</v>
      </c>
      <c r="F121" t="inlineStr">
        <is>
          <t>NORRBOTTENS LÄN</t>
        </is>
      </c>
      <c r="G121" t="inlineStr">
        <is>
          <t>ÖVERTORNEÅ</t>
        </is>
      </c>
      <c r="I121" t="n">
        <v>17.2</v>
      </c>
      <c r="J121" t="n">
        <v>0</v>
      </c>
      <c r="K121" t="n">
        <v>0</v>
      </c>
      <c r="L121" t="n">
        <v>0</v>
      </c>
      <c r="M121" t="n">
        <v>0</v>
      </c>
      <c r="N121" t="n">
        <v>0</v>
      </c>
      <c r="O121" t="n">
        <v>0</v>
      </c>
      <c r="P121" t="n">
        <v>0</v>
      </c>
      <c r="Q121" t="n">
        <v>0</v>
      </c>
      <c r="R121" t="n">
        <v>0</v>
      </c>
      <c r="S121" t="n">
        <v>0</v>
      </c>
      <c r="T121" t="n">
        <v>0</v>
      </c>
      <c r="U121" s="2" t="inlineStr"/>
    </row>
    <row r="122" ht="15" customHeight="1">
      <c r="A122" t="inlineStr">
        <is>
          <t>A 39303-2025</t>
        </is>
      </c>
      <c r="B122" t="inlineStr">
        <is>
          <t>avverkningsanmälan</t>
        </is>
      </c>
      <c r="C122" t="inlineStr">
        <is>
          <t>Föryngringsavverkning</t>
        </is>
      </c>
      <c r="D122" s="1" t="n">
        <v>45889</v>
      </c>
      <c r="E122" s="1" t="n">
        <v>46222</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s="2" t="inlineStr"/>
    </row>
    <row r="123" ht="15" customHeight="1">
      <c r="A123" t="inlineStr">
        <is>
          <t>A 40200-2025</t>
        </is>
      </c>
      <c r="B123" t="inlineStr">
        <is>
          <t>avverkningsanmälan</t>
        </is>
      </c>
      <c r="C123" t="inlineStr">
        <is>
          <t>Föryngringsavverkning</t>
        </is>
      </c>
      <c r="D123" s="1" t="n">
        <v>45894</v>
      </c>
      <c r="E123" s="1" t="n">
        <v>46222</v>
      </c>
      <c r="F123" t="inlineStr">
        <is>
          <t>NORRBOTTENS LÄN</t>
        </is>
      </c>
      <c r="G123" t="inlineStr">
        <is>
          <t>ÖVERTORNEÅ</t>
        </is>
      </c>
      <c r="H123" t="inlineStr">
        <is>
          <t>Sveaskog</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40198-2025</t>
        </is>
      </c>
      <c r="B124" t="inlineStr">
        <is>
          <t>avverkningsanmälan</t>
        </is>
      </c>
      <c r="C124" t="inlineStr">
        <is>
          <t>Föryngringsavverkning</t>
        </is>
      </c>
      <c r="D124" s="1" t="n">
        <v>45894</v>
      </c>
      <c r="E124" s="1" t="n">
        <v>46222</v>
      </c>
      <c r="F124" t="inlineStr">
        <is>
          <t>NORRBOTTENS LÄN</t>
        </is>
      </c>
      <c r="G124" t="inlineStr">
        <is>
          <t>ÖVERTORNEÅ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40085-2025</t>
        </is>
      </c>
      <c r="B125" t="inlineStr">
        <is>
          <t>avverkningsanmälan</t>
        </is>
      </c>
      <c r="C125" t="inlineStr">
        <is>
          <t>Föryngringsavverkning</t>
        </is>
      </c>
      <c r="D125" s="1" t="n">
        <v>45894</v>
      </c>
      <c r="E125" s="1" t="n">
        <v>46222</v>
      </c>
      <c r="F125" t="inlineStr">
        <is>
          <t>NORRBOTTENS LÄN</t>
        </is>
      </c>
      <c r="G125" t="inlineStr">
        <is>
          <t>ÖVERTORNEÅ</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40089-2025</t>
        </is>
      </c>
      <c r="B126" t="inlineStr">
        <is>
          <t>avverkningsanmälan</t>
        </is>
      </c>
      <c r="C126" t="inlineStr">
        <is>
          <t>Föryngringsavverkning</t>
        </is>
      </c>
      <c r="D126" s="1" t="n">
        <v>45894</v>
      </c>
      <c r="E126" s="1" t="n">
        <v>46222</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29907-2025</t>
        </is>
      </c>
      <c r="B127" t="inlineStr">
        <is>
          <t>avverkningsanmälan</t>
        </is>
      </c>
      <c r="C127" t="inlineStr">
        <is>
          <t>Föryngringsavverkning</t>
        </is>
      </c>
      <c r="D127" s="1" t="n">
        <v>45826</v>
      </c>
      <c r="E127" s="1" t="n">
        <v>46222</v>
      </c>
      <c r="F127" t="inlineStr">
        <is>
          <t>NORRBOTTENS LÄN</t>
        </is>
      </c>
      <c r="G127" t="inlineStr">
        <is>
          <t>ÖVERTORNEÅ</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47019-2024</t>
        </is>
      </c>
      <c r="B128" t="inlineStr">
        <is>
          <t>avverkningsanmälan</t>
        </is>
      </c>
      <c r="C128" t="inlineStr">
        <is>
          <t>Föryngringsavverkning</t>
        </is>
      </c>
      <c r="D128" s="1" t="n">
        <v>45586</v>
      </c>
      <c r="E128" s="1" t="n">
        <v>46222</v>
      </c>
      <c r="F128" t="inlineStr">
        <is>
          <t>NORRBOTTENS LÄN</t>
        </is>
      </c>
      <c r="G128" t="inlineStr">
        <is>
          <t>ÖVERTORNEÅ</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30780-2025</t>
        </is>
      </c>
      <c r="B129" t="inlineStr">
        <is>
          <t>avverkningsanmälan</t>
        </is>
      </c>
      <c r="C129" t="inlineStr">
        <is>
          <t>Föryngringsavverkning</t>
        </is>
      </c>
      <c r="D129" s="1" t="n">
        <v>45831</v>
      </c>
      <c r="E129" s="1" t="n">
        <v>46222</v>
      </c>
      <c r="F129" t="inlineStr">
        <is>
          <t>NORRBOTTENS LÄN</t>
        </is>
      </c>
      <c r="G129" t="inlineStr">
        <is>
          <t>ÖVERTORNEÅ</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41778-2025</t>
        </is>
      </c>
      <c r="B130" t="inlineStr">
        <is>
          <t>avverkningsanmälan</t>
        </is>
      </c>
      <c r="C130" t="inlineStr">
        <is>
          <t>Föryngringsavverkning</t>
        </is>
      </c>
      <c r="D130" s="1" t="n">
        <v>45902</v>
      </c>
      <c r="E130" s="1" t="n">
        <v>46222</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5922-2026</t>
        </is>
      </c>
      <c r="B131" t="inlineStr">
        <is>
          <t>avverkningsanmälan</t>
        </is>
      </c>
      <c r="C131" t="inlineStr">
        <is>
          <t>Föryngringsavverkning</t>
        </is>
      </c>
      <c r="D131" s="1" t="n">
        <v>46049</v>
      </c>
      <c r="E131" s="1" t="n">
        <v>46222</v>
      </c>
      <c r="F131" t="inlineStr">
        <is>
          <t>NORRBOTTENS LÄN</t>
        </is>
      </c>
      <c r="G131" t="inlineStr">
        <is>
          <t>ÖVERTORNEÅ</t>
        </is>
      </c>
      <c r="I131" t="n">
        <v>7.6</v>
      </c>
      <c r="J131" t="n">
        <v>0</v>
      </c>
      <c r="K131" t="n">
        <v>0</v>
      </c>
      <c r="L131" t="n">
        <v>0</v>
      </c>
      <c r="M131" t="n">
        <v>0</v>
      </c>
      <c r="N131" t="n">
        <v>0</v>
      </c>
      <c r="O131" t="n">
        <v>0</v>
      </c>
      <c r="P131" t="n">
        <v>0</v>
      </c>
      <c r="Q131" t="n">
        <v>0</v>
      </c>
      <c r="R131" t="n">
        <v>0</v>
      </c>
      <c r="S131" t="n">
        <v>0</v>
      </c>
      <c r="T131" t="n">
        <v>0</v>
      </c>
      <c r="U131" s="2" t="inlineStr"/>
    </row>
    <row r="132" ht="15" customHeight="1">
      <c r="A132" t="inlineStr">
        <is>
          <t>A 41329-2025</t>
        </is>
      </c>
      <c r="B132" t="inlineStr">
        <is>
          <t>avverkningsanmälan</t>
        </is>
      </c>
      <c r="C132" t="inlineStr">
        <is>
          <t>Föryngringsavverkning</t>
        </is>
      </c>
      <c r="D132" s="1" t="n">
        <v>45899</v>
      </c>
      <c r="E132" s="1" t="n">
        <v>46222</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s="2" t="inlineStr"/>
    </row>
    <row r="133" ht="15" customHeight="1">
      <c r="A133" t="inlineStr">
        <is>
          <t>A 4512-2022</t>
        </is>
      </c>
      <c r="B133" t="inlineStr">
        <is>
          <t>avverkningsanmälan</t>
        </is>
      </c>
      <c r="C133" t="inlineStr">
        <is>
          <t>Avverkning för annat ändamål</t>
        </is>
      </c>
      <c r="D133" s="1" t="n">
        <v>44589</v>
      </c>
      <c r="E133" s="1" t="n">
        <v>46222</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40274-2024</t>
        </is>
      </c>
      <c r="B134" t="inlineStr">
        <is>
          <t>avverkningsanmälan</t>
        </is>
      </c>
      <c r="C134" t="inlineStr">
        <is>
          <t>Föryngringsavverkning</t>
        </is>
      </c>
      <c r="D134" s="1" t="n">
        <v>45554</v>
      </c>
      <c r="E134" s="1" t="n">
        <v>46222</v>
      </c>
      <c r="F134" t="inlineStr">
        <is>
          <t>NORRBOTTENS LÄN</t>
        </is>
      </c>
      <c r="G134" t="inlineStr">
        <is>
          <t>ÖVERTORNEÅ</t>
        </is>
      </c>
      <c r="I134" t="n">
        <v>5.4</v>
      </c>
      <c r="J134" t="n">
        <v>0</v>
      </c>
      <c r="K134" t="n">
        <v>0</v>
      </c>
      <c r="L134" t="n">
        <v>0</v>
      </c>
      <c r="M134" t="n">
        <v>0</v>
      </c>
      <c r="N134" t="n">
        <v>0</v>
      </c>
      <c r="O134" t="n">
        <v>0</v>
      </c>
      <c r="P134" t="n">
        <v>0</v>
      </c>
      <c r="Q134" t="n">
        <v>0</v>
      </c>
      <c r="R134" t="n">
        <v>0</v>
      </c>
      <c r="S134" t="n">
        <v>0</v>
      </c>
      <c r="T134" t="n">
        <v>0</v>
      </c>
      <c r="U134" s="2" t="inlineStr"/>
    </row>
    <row r="135" ht="15" customHeight="1">
      <c r="A135" t="inlineStr">
        <is>
          <t>A 5937-2026</t>
        </is>
      </c>
      <c r="B135" t="inlineStr">
        <is>
          <t>avverkningsanmälan</t>
        </is>
      </c>
      <c r="C135" t="inlineStr">
        <is>
          <t>Föryngringsavverkning</t>
        </is>
      </c>
      <c r="D135" s="1" t="n">
        <v>46049</v>
      </c>
      <c r="E135" s="1" t="n">
        <v>46222</v>
      </c>
      <c r="F135" t="inlineStr">
        <is>
          <t>NORRBOTTENS LÄN</t>
        </is>
      </c>
      <c r="G135" t="inlineStr">
        <is>
          <t>ÖVERTORNEÅ</t>
        </is>
      </c>
      <c r="I135" t="n">
        <v>7.4</v>
      </c>
      <c r="J135" t="n">
        <v>0</v>
      </c>
      <c r="K135" t="n">
        <v>0</v>
      </c>
      <c r="L135" t="n">
        <v>0</v>
      </c>
      <c r="M135" t="n">
        <v>0</v>
      </c>
      <c r="N135" t="n">
        <v>0</v>
      </c>
      <c r="O135" t="n">
        <v>0</v>
      </c>
      <c r="P135" t="n">
        <v>0</v>
      </c>
      <c r="Q135" t="n">
        <v>0</v>
      </c>
      <c r="R135" t="n">
        <v>0</v>
      </c>
      <c r="S135" t="n">
        <v>0</v>
      </c>
      <c r="T135" t="n">
        <v>0</v>
      </c>
      <c r="U135" s="2" t="inlineStr"/>
    </row>
    <row r="136" ht="15" customHeight="1">
      <c r="A136" t="inlineStr">
        <is>
          <t>A 43487-2021</t>
        </is>
      </c>
      <c r="B136" t="inlineStr">
        <is>
          <t>avverkningsanmälan</t>
        </is>
      </c>
      <c r="C136" t="inlineStr">
        <is>
          <t>Föryngringsavverkning</t>
        </is>
      </c>
      <c r="D136" s="1" t="n">
        <v>44432</v>
      </c>
      <c r="E136" s="1" t="n">
        <v>46222</v>
      </c>
      <c r="F136" t="inlineStr">
        <is>
          <t>NORRBOTTENS LÄN</t>
        </is>
      </c>
      <c r="G136" t="inlineStr">
        <is>
          <t>ÖVERTORNEÅ</t>
        </is>
      </c>
      <c r="I136" t="n">
        <v>22.5</v>
      </c>
      <c r="J136" t="n">
        <v>0</v>
      </c>
      <c r="K136" t="n">
        <v>0</v>
      </c>
      <c r="L136" t="n">
        <v>0</v>
      </c>
      <c r="M136" t="n">
        <v>0</v>
      </c>
      <c r="N136" t="n">
        <v>0</v>
      </c>
      <c r="O136" t="n">
        <v>0</v>
      </c>
      <c r="P136" t="n">
        <v>0</v>
      </c>
      <c r="Q136" t="n">
        <v>0</v>
      </c>
      <c r="R136" t="n">
        <v>0</v>
      </c>
      <c r="S136" t="n">
        <v>0</v>
      </c>
      <c r="T136" t="n">
        <v>0</v>
      </c>
      <c r="U136" s="2" t="inlineStr"/>
    </row>
    <row r="137" ht="15" customHeight="1">
      <c r="A137" t="inlineStr">
        <is>
          <t>A 42908-2025</t>
        </is>
      </c>
      <c r="B137" t="inlineStr">
        <is>
          <t>avverkningsanmälan</t>
        </is>
      </c>
      <c r="C137" t="inlineStr">
        <is>
          <t>Föryngringsavverkning</t>
        </is>
      </c>
      <c r="D137" s="1" t="n">
        <v>45908</v>
      </c>
      <c r="E137" s="1" t="n">
        <v>46222</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s="2" t="inlineStr"/>
    </row>
    <row r="138" ht="15" customHeight="1">
      <c r="A138" t="inlineStr">
        <is>
          <t>A 31773-2025</t>
        </is>
      </c>
      <c r="B138" t="inlineStr">
        <is>
          <t>avverkningsanmälan</t>
        </is>
      </c>
      <c r="C138" t="inlineStr">
        <is>
          <t>Föryngringsavverkning</t>
        </is>
      </c>
      <c r="D138" s="1" t="n">
        <v>45834</v>
      </c>
      <c r="E138" s="1" t="n">
        <v>46222</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32144-2025</t>
        </is>
      </c>
      <c r="B139" t="inlineStr">
        <is>
          <t>avverkningsanmälan</t>
        </is>
      </c>
      <c r="C139" t="inlineStr">
        <is>
          <t>Föryngringsavverkning</t>
        </is>
      </c>
      <c r="D139" s="1" t="n">
        <v>45835</v>
      </c>
      <c r="E139" s="1" t="n">
        <v>46222</v>
      </c>
      <c r="F139" t="inlineStr">
        <is>
          <t>NORRBOTTENS LÄN</t>
        </is>
      </c>
      <c r="G139" t="inlineStr">
        <is>
          <t>ÖVERTORNEÅ</t>
        </is>
      </c>
      <c r="H139" t="inlineStr">
        <is>
          <t>Sveaskog</t>
        </is>
      </c>
      <c r="I139" t="n">
        <v>4.3</v>
      </c>
      <c r="J139" t="n">
        <v>0</v>
      </c>
      <c r="K139" t="n">
        <v>0</v>
      </c>
      <c r="L139" t="n">
        <v>0</v>
      </c>
      <c r="M139" t="n">
        <v>0</v>
      </c>
      <c r="N139" t="n">
        <v>0</v>
      </c>
      <c r="O139" t="n">
        <v>0</v>
      </c>
      <c r="P139" t="n">
        <v>0</v>
      </c>
      <c r="Q139" t="n">
        <v>0</v>
      </c>
      <c r="R139" t="n">
        <v>0</v>
      </c>
      <c r="S139" t="n">
        <v>0</v>
      </c>
      <c r="T139" t="n">
        <v>0</v>
      </c>
      <c r="U139" s="2" t="inlineStr"/>
    </row>
    <row r="140" ht="15" customHeight="1">
      <c r="A140" t="inlineStr">
        <is>
          <t>A 32576-2025</t>
        </is>
      </c>
      <c r="B140" t="inlineStr">
        <is>
          <t>avverkningsanmälan</t>
        </is>
      </c>
      <c r="C140" t="inlineStr">
        <is>
          <t>Föryngringsavverkning</t>
        </is>
      </c>
      <c r="D140" s="1" t="n">
        <v>45838</v>
      </c>
      <c r="E140" s="1" t="n">
        <v>46222</v>
      </c>
      <c r="F140" t="inlineStr">
        <is>
          <t>NORRBOTTENS LÄN</t>
        </is>
      </c>
      <c r="G140" t="inlineStr">
        <is>
          <t>ÖVERTORNEÅ</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34992-2023</t>
        </is>
      </c>
      <c r="B141" t="inlineStr">
        <is>
          <t>avverkningsanmälan</t>
        </is>
      </c>
      <c r="C141" t="inlineStr">
        <is>
          <t>Föryngringsavverkning</t>
        </is>
      </c>
      <c r="D141" s="1" t="n">
        <v>45142</v>
      </c>
      <c r="E141" s="1" t="n">
        <v>46222</v>
      </c>
      <c r="F141" t="inlineStr">
        <is>
          <t>NORRBOTTENS LÄN</t>
        </is>
      </c>
      <c r="G141" t="inlineStr">
        <is>
          <t>ÖVERTORNEÅ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43235-2025</t>
        </is>
      </c>
      <c r="B142" t="inlineStr">
        <is>
          <t>avverkningsanmälan</t>
        </is>
      </c>
      <c r="C142" t="inlineStr">
        <is>
          <t>Föryngringsavverkning</t>
        </is>
      </c>
      <c r="D142" s="1" t="n">
        <v>45910</v>
      </c>
      <c r="E142" s="1" t="n">
        <v>46222</v>
      </c>
      <c r="F142" t="inlineStr">
        <is>
          <t>NORRBOTTENS LÄN</t>
        </is>
      </c>
      <c r="G142" t="inlineStr">
        <is>
          <t>ÖVERTORNEÅ</t>
        </is>
      </c>
      <c r="I142" t="n">
        <v>3.1</v>
      </c>
      <c r="J142" t="n">
        <v>0</v>
      </c>
      <c r="K142" t="n">
        <v>0</v>
      </c>
      <c r="L142" t="n">
        <v>0</v>
      </c>
      <c r="M142" t="n">
        <v>0</v>
      </c>
      <c r="N142" t="n">
        <v>0</v>
      </c>
      <c r="O142" t="n">
        <v>0</v>
      </c>
      <c r="P142" t="n">
        <v>0</v>
      </c>
      <c r="Q142" t="n">
        <v>0</v>
      </c>
      <c r="R142" t="n">
        <v>0</v>
      </c>
      <c r="S142" t="n">
        <v>0</v>
      </c>
      <c r="T142" t="n">
        <v>0</v>
      </c>
      <c r="U142" s="2" t="inlineStr"/>
    </row>
    <row r="143" ht="15" customHeight="1">
      <c r="A143" t="inlineStr">
        <is>
          <t>A 43236-2025</t>
        </is>
      </c>
      <c r="B143" t="inlineStr">
        <is>
          <t>avverkningsanmälan</t>
        </is>
      </c>
      <c r="C143" t="inlineStr">
        <is>
          <t>Föryngringsavverkning</t>
        </is>
      </c>
      <c r="D143" s="1" t="n">
        <v>45910</v>
      </c>
      <c r="E143" s="1" t="n">
        <v>46222</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32156-2025</t>
        </is>
      </c>
      <c r="B144" t="inlineStr">
        <is>
          <t>avverkningsanmälan</t>
        </is>
      </c>
      <c r="C144" t="inlineStr">
        <is>
          <t>Föryngringsavverkning</t>
        </is>
      </c>
      <c r="D144" s="1" t="n">
        <v>45835</v>
      </c>
      <c r="E144" s="1" t="n">
        <v>46222</v>
      </c>
      <c r="F144" t="inlineStr">
        <is>
          <t>NORRBOTTENS LÄN</t>
        </is>
      </c>
      <c r="G144" t="inlineStr">
        <is>
          <t>ÖVERTORNEÅ</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24656-2024</t>
        </is>
      </c>
      <c r="B145" t="inlineStr">
        <is>
          <t>avverkningsanmälan</t>
        </is>
      </c>
      <c r="C145" t="inlineStr">
        <is>
          <t>Föryngringsavverkning</t>
        </is>
      </c>
      <c r="D145" s="1" t="n">
        <v>45460</v>
      </c>
      <c r="E145" s="1" t="n">
        <v>46222</v>
      </c>
      <c r="F145" t="inlineStr">
        <is>
          <t>NORRBOTTENS LÄN</t>
        </is>
      </c>
      <c r="G145" t="inlineStr">
        <is>
          <t>ÖVERTORNEÅ</t>
        </is>
      </c>
      <c r="H145" t="inlineStr">
        <is>
          <t>Sveaskog</t>
        </is>
      </c>
      <c r="I145" t="n">
        <v>16.9</v>
      </c>
      <c r="J145" t="n">
        <v>0</v>
      </c>
      <c r="K145" t="n">
        <v>0</v>
      </c>
      <c r="L145" t="n">
        <v>0</v>
      </c>
      <c r="M145" t="n">
        <v>0</v>
      </c>
      <c r="N145" t="n">
        <v>0</v>
      </c>
      <c r="O145" t="n">
        <v>0</v>
      </c>
      <c r="P145" t="n">
        <v>0</v>
      </c>
      <c r="Q145" t="n">
        <v>0</v>
      </c>
      <c r="R145" t="n">
        <v>0</v>
      </c>
      <c r="S145" t="n">
        <v>0</v>
      </c>
      <c r="T145" t="n">
        <v>0</v>
      </c>
      <c r="U145" s="2" t="inlineStr"/>
    </row>
    <row r="146" ht="15" customHeight="1">
      <c r="A146" t="inlineStr">
        <is>
          <t>A 14826-2024</t>
        </is>
      </c>
      <c r="B146" t="inlineStr">
        <is>
          <t>avverkningsanmälan</t>
        </is>
      </c>
      <c r="C146" t="inlineStr">
        <is>
          <t>Föryngringsavverkning</t>
        </is>
      </c>
      <c r="D146" s="1" t="n">
        <v>45398</v>
      </c>
      <c r="E146" s="1" t="n">
        <v>46222</v>
      </c>
      <c r="F146" t="inlineStr">
        <is>
          <t>NORRBOTTENS LÄN</t>
        </is>
      </c>
      <c r="G146" t="inlineStr">
        <is>
          <t>ÖVERTORNEÅ</t>
        </is>
      </c>
      <c r="H146" t="inlineStr">
        <is>
          <t>Sveaskog</t>
        </is>
      </c>
      <c r="I146" t="n">
        <v>32.7</v>
      </c>
      <c r="J146" t="n">
        <v>0</v>
      </c>
      <c r="K146" t="n">
        <v>0</v>
      </c>
      <c r="L146" t="n">
        <v>0</v>
      </c>
      <c r="M146" t="n">
        <v>0</v>
      </c>
      <c r="N146" t="n">
        <v>0</v>
      </c>
      <c r="O146" t="n">
        <v>0</v>
      </c>
      <c r="P146" t="n">
        <v>0</v>
      </c>
      <c r="Q146" t="n">
        <v>0</v>
      </c>
      <c r="R146" t="n">
        <v>0</v>
      </c>
      <c r="S146" t="n">
        <v>0</v>
      </c>
      <c r="T146" t="n">
        <v>0</v>
      </c>
      <c r="U146" s="2" t="inlineStr"/>
    </row>
    <row r="147" ht="15" customHeight="1">
      <c r="A147" t="inlineStr">
        <is>
          <t>A 50807-2023</t>
        </is>
      </c>
      <c r="B147" t="inlineStr">
        <is>
          <t>avverkningsanmälan</t>
        </is>
      </c>
      <c r="C147" t="inlineStr">
        <is>
          <t>Avverkning för annat ändamål</t>
        </is>
      </c>
      <c r="D147" s="1" t="n">
        <v>45217</v>
      </c>
      <c r="E147" s="1" t="n">
        <v>46222</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31774-2022</t>
        </is>
      </c>
      <c r="B148" t="inlineStr">
        <is>
          <t>avverkningsanmälan</t>
        </is>
      </c>
      <c r="C148" t="inlineStr">
        <is>
          <t>Föryngringsavverkning</t>
        </is>
      </c>
      <c r="D148" s="1" t="n">
        <v>44776</v>
      </c>
      <c r="E148" s="1" t="n">
        <v>46222</v>
      </c>
      <c r="F148" t="inlineStr">
        <is>
          <t>NORRBOTTENS LÄN</t>
        </is>
      </c>
      <c r="G148" t="inlineStr">
        <is>
          <t>ÖVERTORNEÅ</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45261-2025</t>
        </is>
      </c>
      <c r="B149" t="inlineStr">
        <is>
          <t>avverkningsanmälan</t>
        </is>
      </c>
      <c r="C149" t="inlineStr">
        <is>
          <t>Föryngringsavverkning</t>
        </is>
      </c>
      <c r="D149" s="1" t="n">
        <v>45919</v>
      </c>
      <c r="E149" s="1" t="n">
        <v>46222</v>
      </c>
      <c r="F149" t="inlineStr">
        <is>
          <t>NORRBOTTENS LÄN</t>
        </is>
      </c>
      <c r="G149" t="inlineStr">
        <is>
          <t>ÖVERTORNEÅ</t>
        </is>
      </c>
      <c r="H149" t="inlineStr">
        <is>
          <t>Sveaskog</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46024-2021</t>
        </is>
      </c>
      <c r="B150" t="inlineStr">
        <is>
          <t>avverkningsanmälan</t>
        </is>
      </c>
      <c r="C150" t="inlineStr">
        <is>
          <t>Föryngringsavverkning</t>
        </is>
      </c>
      <c r="D150" s="1" t="n">
        <v>44441</v>
      </c>
      <c r="E150" s="1" t="n">
        <v>46222</v>
      </c>
      <c r="F150" t="inlineStr">
        <is>
          <t>NORRBOTTENS LÄN</t>
        </is>
      </c>
      <c r="G150" t="inlineStr">
        <is>
          <t>ÖVERTORNEÅ</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34801-2025</t>
        </is>
      </c>
      <c r="B151" t="inlineStr">
        <is>
          <t>avverkningsanmälan</t>
        </is>
      </c>
      <c r="C151" t="inlineStr">
        <is>
          <t>Föryngringsavverkning</t>
        </is>
      </c>
      <c r="D151" s="1" t="n">
        <v>45848</v>
      </c>
      <c r="E151" s="1" t="n">
        <v>46222</v>
      </c>
      <c r="F151" t="inlineStr">
        <is>
          <t>NORRBOTTENS LÄN</t>
        </is>
      </c>
      <c r="G151" t="inlineStr">
        <is>
          <t>ÖVERTORNEÅ</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20173-2025</t>
        </is>
      </c>
      <c r="B152" t="inlineStr">
        <is>
          <t>avverkningsanmälan</t>
        </is>
      </c>
      <c r="C152" t="inlineStr">
        <is>
          <t>Avverkning för annat ändamål</t>
        </is>
      </c>
      <c r="D152" s="1" t="n">
        <v>45772</v>
      </c>
      <c r="E152" s="1" t="n">
        <v>46222</v>
      </c>
      <c r="F152" t="inlineStr">
        <is>
          <t>NORRBOTTENS LÄN</t>
        </is>
      </c>
      <c r="G152" t="inlineStr">
        <is>
          <t>ÖVERTORNEÅ</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8476-2024</t>
        </is>
      </c>
      <c r="B153" t="inlineStr">
        <is>
          <t>avverkningsanmälan</t>
        </is>
      </c>
      <c r="C153" t="inlineStr">
        <is>
          <t>Föryngringsavverkning</t>
        </is>
      </c>
      <c r="D153" s="1" t="n">
        <v>45351</v>
      </c>
      <c r="E153" s="1" t="n">
        <v>46222</v>
      </c>
      <c r="F153" t="inlineStr">
        <is>
          <t>NORRBOTTENS LÄN</t>
        </is>
      </c>
      <c r="G153" t="inlineStr">
        <is>
          <t>ÖVERTORNEÅ</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46703-2025</t>
        </is>
      </c>
      <c r="B154" t="inlineStr">
        <is>
          <t>avverkningsanmälan</t>
        </is>
      </c>
      <c r="C154" t="inlineStr">
        <is>
          <t>Avverkning för annat ändamål</t>
        </is>
      </c>
      <c r="D154" s="1" t="n">
        <v>45926</v>
      </c>
      <c r="E154" s="1" t="n">
        <v>46222</v>
      </c>
      <c r="F154" t="inlineStr">
        <is>
          <t>NORRBOTTENS LÄN</t>
        </is>
      </c>
      <c r="G154" t="inlineStr">
        <is>
          <t>ÖVERTORNEÅ</t>
        </is>
      </c>
      <c r="H154" t="inlineStr">
        <is>
          <t>Sveaskog</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34799-2025</t>
        </is>
      </c>
      <c r="B155" t="inlineStr">
        <is>
          <t>avverkningsanmälan</t>
        </is>
      </c>
      <c r="C155" t="inlineStr">
        <is>
          <t>Föryngringsavverkning</t>
        </is>
      </c>
      <c r="D155" s="1" t="n">
        <v>45848</v>
      </c>
      <c r="E155" s="1" t="n">
        <v>46222</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60515-2022</t>
        </is>
      </c>
      <c r="B156" t="inlineStr">
        <is>
          <t>avverkningsanmälan</t>
        </is>
      </c>
      <c r="C156" t="inlineStr">
        <is>
          <t>Föryngringsavverkning</t>
        </is>
      </c>
      <c r="D156" s="1" t="n">
        <v>44911</v>
      </c>
      <c r="E156" s="1" t="n">
        <v>46222</v>
      </c>
      <c r="F156" t="inlineStr">
        <is>
          <t>NORRBOTTENS LÄN</t>
        </is>
      </c>
      <c r="G156" t="inlineStr">
        <is>
          <t>ÖVERTORNEÅ</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A 6722-2026</t>
        </is>
      </c>
      <c r="B157" t="inlineStr">
        <is>
          <t>avverkningsanmälan</t>
        </is>
      </c>
      <c r="C157" t="inlineStr">
        <is>
          <t>Föryngringsavverkning</t>
        </is>
      </c>
      <c r="D157" s="1" t="n">
        <v>46056</v>
      </c>
      <c r="E157" s="1" t="n">
        <v>46222</v>
      </c>
      <c r="F157" t="inlineStr">
        <is>
          <t>NORRBOTTENS LÄN</t>
        </is>
      </c>
      <c r="G157" t="inlineStr">
        <is>
          <t>ÖVERTORNEÅ</t>
        </is>
      </c>
      <c r="I157" t="n">
        <v>5.6</v>
      </c>
      <c r="J157" t="n">
        <v>0</v>
      </c>
      <c r="K157" t="n">
        <v>0</v>
      </c>
      <c r="L157" t="n">
        <v>0</v>
      </c>
      <c r="M157" t="n">
        <v>0</v>
      </c>
      <c r="N157" t="n">
        <v>0</v>
      </c>
      <c r="O157" t="n">
        <v>0</v>
      </c>
      <c r="P157" t="n">
        <v>0</v>
      </c>
      <c r="Q157" t="n">
        <v>0</v>
      </c>
      <c r="R157" t="n">
        <v>0</v>
      </c>
      <c r="S157" t="n">
        <v>0</v>
      </c>
      <c r="T157" t="n">
        <v>0</v>
      </c>
      <c r="U157" s="2" t="inlineStr"/>
    </row>
    <row r="158" ht="15" customHeight="1">
      <c r="A158" t="inlineStr">
        <is>
          <t>A 35603-2025</t>
        </is>
      </c>
      <c r="B158" t="inlineStr">
        <is>
          <t>avverkningsanmälan</t>
        </is>
      </c>
      <c r="C158" t="inlineStr">
        <is>
          <t>Föryngringsavverkning</t>
        </is>
      </c>
      <c r="D158" s="1" t="n">
        <v>45859</v>
      </c>
      <c r="E158" s="1" t="n">
        <v>46222</v>
      </c>
      <c r="F158" t="inlineStr">
        <is>
          <t>NORRBOTTENS LÄN</t>
        </is>
      </c>
      <c r="G158" t="inlineStr">
        <is>
          <t>ÖVERTORNEÅ</t>
        </is>
      </c>
      <c r="H158" t="inlineStr">
        <is>
          <t>Sveaskog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35594-2025</t>
        </is>
      </c>
      <c r="B159" t="inlineStr">
        <is>
          <t>avverkningsanmälan</t>
        </is>
      </c>
      <c r="C159" t="inlineStr">
        <is>
          <t>Föryngringsavverkning</t>
        </is>
      </c>
      <c r="D159" s="1" t="n">
        <v>45857</v>
      </c>
      <c r="E159" s="1" t="n">
        <v>46222</v>
      </c>
      <c r="F159" t="inlineStr">
        <is>
          <t>NORRBOTTENS LÄN</t>
        </is>
      </c>
      <c r="G159" t="inlineStr">
        <is>
          <t>ÖVERTORNEÅ</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35591-2025</t>
        </is>
      </c>
      <c r="B160" t="inlineStr">
        <is>
          <t>avverkningsanmälan</t>
        </is>
      </c>
      <c r="C160" t="inlineStr">
        <is>
          <t>Föryngringsavverkning</t>
        </is>
      </c>
      <c r="D160" s="1" t="n">
        <v>45857</v>
      </c>
      <c r="E160" s="1" t="n">
        <v>46222</v>
      </c>
      <c r="F160" t="inlineStr">
        <is>
          <t>NORRBOTTENS LÄN</t>
        </is>
      </c>
      <c r="G160" t="inlineStr">
        <is>
          <t>ÖVERTORNEÅ</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47914-2025</t>
        </is>
      </c>
      <c r="B161" t="inlineStr">
        <is>
          <t>avverkningsanmälan</t>
        </is>
      </c>
      <c r="C161" t="inlineStr">
        <is>
          <t>Föryngringsavverkning</t>
        </is>
      </c>
      <c r="D161" s="1" t="n">
        <v>45932</v>
      </c>
      <c r="E161" s="1" t="n">
        <v>46222</v>
      </c>
      <c r="F161" t="inlineStr">
        <is>
          <t>NORRBOTTENS LÄN</t>
        </is>
      </c>
      <c r="G161" t="inlineStr">
        <is>
          <t>ÖVERTORNEÅ</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35837-2025</t>
        </is>
      </c>
      <c r="B162" t="inlineStr">
        <is>
          <t>avverkningsanmälan</t>
        </is>
      </c>
      <c r="C162" t="inlineStr">
        <is>
          <t>Föryngringsavverkning</t>
        </is>
      </c>
      <c r="D162" s="1" t="n">
        <v>45861</v>
      </c>
      <c r="E162" s="1" t="n">
        <v>46222</v>
      </c>
      <c r="F162" t="inlineStr">
        <is>
          <t>NORRBOTTENS LÄN</t>
        </is>
      </c>
      <c r="G162" t="inlineStr">
        <is>
          <t>ÖVERTORNEÅ</t>
        </is>
      </c>
      <c r="I162" t="n">
        <v>16.4</v>
      </c>
      <c r="J162" t="n">
        <v>0</v>
      </c>
      <c r="K162" t="n">
        <v>0</v>
      </c>
      <c r="L162" t="n">
        <v>0</v>
      </c>
      <c r="M162" t="n">
        <v>0</v>
      </c>
      <c r="N162" t="n">
        <v>0</v>
      </c>
      <c r="O162" t="n">
        <v>0</v>
      </c>
      <c r="P162" t="n">
        <v>0</v>
      </c>
      <c r="Q162" t="n">
        <v>0</v>
      </c>
      <c r="R162" t="n">
        <v>0</v>
      </c>
      <c r="S162" t="n">
        <v>0</v>
      </c>
      <c r="T162" t="n">
        <v>0</v>
      </c>
      <c r="U162" s="2" t="inlineStr"/>
    </row>
    <row r="163" ht="15" customHeight="1">
      <c r="A163" t="inlineStr">
        <is>
          <t>A 55455-2024</t>
        </is>
      </c>
      <c r="B163" t="inlineStr">
        <is>
          <t>avverkningsanmälan</t>
        </is>
      </c>
      <c r="C163" t="inlineStr">
        <is>
          <t>Föryngringsavverkning</t>
        </is>
      </c>
      <c r="D163" s="1" t="n">
        <v>45622</v>
      </c>
      <c r="E163" s="1" t="n">
        <v>46222</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47909-2025</t>
        </is>
      </c>
      <c r="B164" t="inlineStr">
        <is>
          <t>avverkningsanmälan</t>
        </is>
      </c>
      <c r="C164" t="inlineStr">
        <is>
          <t>Föryngringsavverkning</t>
        </is>
      </c>
      <c r="D164" s="1" t="n">
        <v>45932</v>
      </c>
      <c r="E164" s="1" t="n">
        <v>46222</v>
      </c>
      <c r="F164" t="inlineStr">
        <is>
          <t>NORRBOTTENS LÄN</t>
        </is>
      </c>
      <c r="G164" t="inlineStr">
        <is>
          <t>ÖVERTORNEÅ</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47912-2025</t>
        </is>
      </c>
      <c r="B165" t="inlineStr">
        <is>
          <t>avverkningsanmälan</t>
        </is>
      </c>
      <c r="C165" t="inlineStr">
        <is>
          <t>Föryngringsavverkning</t>
        </is>
      </c>
      <c r="D165" s="1" t="n">
        <v>45932</v>
      </c>
      <c r="E165" s="1" t="n">
        <v>46222</v>
      </c>
      <c r="F165" t="inlineStr">
        <is>
          <t>NORRBOTTENS LÄN</t>
        </is>
      </c>
      <c r="G165" t="inlineStr">
        <is>
          <t>ÖVERTORNEÅ</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48701-2025</t>
        </is>
      </c>
      <c r="B166" t="inlineStr">
        <is>
          <t>avverkningsanmälan</t>
        </is>
      </c>
      <c r="C166" t="inlineStr">
        <is>
          <t>Avverkning för annat ändamål</t>
        </is>
      </c>
      <c r="D166" s="1" t="n">
        <v>45936</v>
      </c>
      <c r="E166" s="1" t="n">
        <v>46222</v>
      </c>
      <c r="F166" t="inlineStr">
        <is>
          <t>NORRBOTTENS LÄN</t>
        </is>
      </c>
      <c r="G166" t="inlineStr">
        <is>
          <t>ÖVERTORNEÅ</t>
        </is>
      </c>
      <c r="H166" t="inlineStr">
        <is>
          <t>Sveaskog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51274-2024</t>
        </is>
      </c>
      <c r="B167" t="inlineStr">
        <is>
          <t>avverkningsanmälan</t>
        </is>
      </c>
      <c r="C167" t="inlineStr">
        <is>
          <t>Föryngringsavverkning</t>
        </is>
      </c>
      <c r="D167" s="1" t="n">
        <v>45602</v>
      </c>
      <c r="E167" s="1" t="n">
        <v>46222</v>
      </c>
      <c r="F167" t="inlineStr">
        <is>
          <t>NORRBOTTENS LÄN</t>
        </is>
      </c>
      <c r="G167" t="inlineStr">
        <is>
          <t>ÖVERTORNEÅ</t>
        </is>
      </c>
      <c r="I167" t="n">
        <v>15.2</v>
      </c>
      <c r="J167" t="n">
        <v>0</v>
      </c>
      <c r="K167" t="n">
        <v>0</v>
      </c>
      <c r="L167" t="n">
        <v>0</v>
      </c>
      <c r="M167" t="n">
        <v>0</v>
      </c>
      <c r="N167" t="n">
        <v>0</v>
      </c>
      <c r="O167" t="n">
        <v>0</v>
      </c>
      <c r="P167" t="n">
        <v>0</v>
      </c>
      <c r="Q167" t="n">
        <v>0</v>
      </c>
      <c r="R167" t="n">
        <v>0</v>
      </c>
      <c r="S167" t="n">
        <v>0</v>
      </c>
      <c r="T167" t="n">
        <v>0</v>
      </c>
      <c r="U167" s="2" t="inlineStr"/>
    </row>
    <row r="168" ht="15" customHeight="1">
      <c r="A168" t="inlineStr">
        <is>
          <t>A 61782-2022</t>
        </is>
      </c>
      <c r="B168" t="inlineStr">
        <is>
          <t>avverkningsanmälan</t>
        </is>
      </c>
      <c r="C168" t="inlineStr">
        <is>
          <t>Föryngringsavverkning</t>
        </is>
      </c>
      <c r="D168" s="1" t="n">
        <v>44917</v>
      </c>
      <c r="E168" s="1" t="n">
        <v>46222</v>
      </c>
      <c r="F168" t="inlineStr">
        <is>
          <t>NORRBOTTENS LÄN</t>
        </is>
      </c>
      <c r="G168" t="inlineStr">
        <is>
          <t>ÖVERTORNEÅ</t>
        </is>
      </c>
      <c r="I168" t="n">
        <v>7</v>
      </c>
      <c r="J168" t="n">
        <v>0</v>
      </c>
      <c r="K168" t="n">
        <v>0</v>
      </c>
      <c r="L168" t="n">
        <v>0</v>
      </c>
      <c r="M168" t="n">
        <v>0</v>
      </c>
      <c r="N168" t="n">
        <v>0</v>
      </c>
      <c r="O168" t="n">
        <v>0</v>
      </c>
      <c r="P168" t="n">
        <v>0</v>
      </c>
      <c r="Q168" t="n">
        <v>0</v>
      </c>
      <c r="R168" t="n">
        <v>0</v>
      </c>
      <c r="S168" t="n">
        <v>0</v>
      </c>
      <c r="T168" t="n">
        <v>0</v>
      </c>
      <c r="U168" s="2" t="inlineStr"/>
    </row>
    <row r="169" ht="15" customHeight="1">
      <c r="A169" t="inlineStr">
        <is>
          <t>A 48610-2025</t>
        </is>
      </c>
      <c r="B169" t="inlineStr">
        <is>
          <t>avverkningsanmälan</t>
        </is>
      </c>
      <c r="C169" t="inlineStr">
        <is>
          <t>Avverkning för annat ändamål</t>
        </is>
      </c>
      <c r="D169" s="1" t="n">
        <v>45936</v>
      </c>
      <c r="E169" s="1" t="n">
        <v>46222</v>
      </c>
      <c r="F169" t="inlineStr">
        <is>
          <t>NORRBOTTENS LÄN</t>
        </is>
      </c>
      <c r="G169" t="inlineStr">
        <is>
          <t>ÖVERTORNEÅ</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36115-2025</t>
        </is>
      </c>
      <c r="B170" t="inlineStr">
        <is>
          <t>avverkningsanmälan</t>
        </is>
      </c>
      <c r="C170" t="inlineStr">
        <is>
          <t>Föryngringsavverkning</t>
        </is>
      </c>
      <c r="D170" s="1" t="n">
        <v>45866</v>
      </c>
      <c r="E170" s="1" t="n">
        <v>46222</v>
      </c>
      <c r="F170" t="inlineStr">
        <is>
          <t>NORRBOTTENS LÄN</t>
        </is>
      </c>
      <c r="G170" t="inlineStr">
        <is>
          <t>ÖVERTORNEÅ</t>
        </is>
      </c>
      <c r="H170" t="inlineStr">
        <is>
          <t>Sveaskog</t>
        </is>
      </c>
      <c r="I170" t="n">
        <v>12.9</v>
      </c>
      <c r="J170" t="n">
        <v>0</v>
      </c>
      <c r="K170" t="n">
        <v>0</v>
      </c>
      <c r="L170" t="n">
        <v>0</v>
      </c>
      <c r="M170" t="n">
        <v>0</v>
      </c>
      <c r="N170" t="n">
        <v>0</v>
      </c>
      <c r="O170" t="n">
        <v>0</v>
      </c>
      <c r="P170" t="n">
        <v>0</v>
      </c>
      <c r="Q170" t="n">
        <v>0</v>
      </c>
      <c r="R170" t="n">
        <v>0</v>
      </c>
      <c r="S170" t="n">
        <v>0</v>
      </c>
      <c r="T170" t="n">
        <v>0</v>
      </c>
      <c r="U170" s="2" t="inlineStr"/>
    </row>
    <row r="171" ht="15" customHeight="1">
      <c r="A171" t="inlineStr">
        <is>
          <t>A 1319-2025</t>
        </is>
      </c>
      <c r="B171" t="inlineStr">
        <is>
          <t>avverkningsanmälan</t>
        </is>
      </c>
      <c r="C171" t="inlineStr">
        <is>
          <t>Föryngringsavverkning</t>
        </is>
      </c>
      <c r="D171" s="1" t="n">
        <v>45667</v>
      </c>
      <c r="E171" s="1" t="n">
        <v>46222</v>
      </c>
      <c r="F171" t="inlineStr">
        <is>
          <t>NORRBOTTENS LÄN</t>
        </is>
      </c>
      <c r="G171" t="inlineStr">
        <is>
          <t>ÖVERTORNEÅ</t>
        </is>
      </c>
      <c r="I171" t="n">
        <v>5.5</v>
      </c>
      <c r="J171" t="n">
        <v>0</v>
      </c>
      <c r="K171" t="n">
        <v>0</v>
      </c>
      <c r="L171" t="n">
        <v>0</v>
      </c>
      <c r="M171" t="n">
        <v>0</v>
      </c>
      <c r="N171" t="n">
        <v>0</v>
      </c>
      <c r="O171" t="n">
        <v>0</v>
      </c>
      <c r="P171" t="n">
        <v>0</v>
      </c>
      <c r="Q171" t="n">
        <v>0</v>
      </c>
      <c r="R171" t="n">
        <v>0</v>
      </c>
      <c r="S171" t="n">
        <v>0</v>
      </c>
      <c r="T171" t="n">
        <v>0</v>
      </c>
      <c r="U171" s="2" t="inlineStr"/>
    </row>
    <row r="172" ht="15" customHeight="1">
      <c r="A172" t="inlineStr">
        <is>
          <t>A 16452-2024</t>
        </is>
      </c>
      <c r="B172" t="inlineStr">
        <is>
          <t>avverkningsanmälan</t>
        </is>
      </c>
      <c r="C172" t="inlineStr">
        <is>
          <t>Föryngringsavverkning</t>
        </is>
      </c>
      <c r="D172" s="1" t="n">
        <v>45407</v>
      </c>
      <c r="E172" s="1" t="n">
        <v>46222</v>
      </c>
      <c r="F172" t="inlineStr">
        <is>
          <t>NORRBOTTENS LÄN</t>
        </is>
      </c>
      <c r="G172" t="inlineStr">
        <is>
          <t>ÖVERTORNEÅ</t>
        </is>
      </c>
      <c r="I172" t="n">
        <v>3.7</v>
      </c>
      <c r="J172" t="n">
        <v>0</v>
      </c>
      <c r="K172" t="n">
        <v>0</v>
      </c>
      <c r="L172" t="n">
        <v>0</v>
      </c>
      <c r="M172" t="n">
        <v>0</v>
      </c>
      <c r="N172" t="n">
        <v>0</v>
      </c>
      <c r="O172" t="n">
        <v>0</v>
      </c>
      <c r="P172" t="n">
        <v>0</v>
      </c>
      <c r="Q172" t="n">
        <v>0</v>
      </c>
      <c r="R172" t="n">
        <v>0</v>
      </c>
      <c r="S172" t="n">
        <v>0</v>
      </c>
      <c r="T172" t="n">
        <v>0</v>
      </c>
      <c r="U172" s="2" t="inlineStr"/>
    </row>
    <row r="173" ht="15" customHeight="1">
      <c r="A173" t="inlineStr">
        <is>
          <t>A 48691-2025</t>
        </is>
      </c>
      <c r="B173" t="inlineStr">
        <is>
          <t>avverkningsanmälan</t>
        </is>
      </c>
      <c r="C173" t="inlineStr">
        <is>
          <t>Föryngringsavverkning</t>
        </is>
      </c>
      <c r="D173" s="1" t="n">
        <v>45936</v>
      </c>
      <c r="E173" s="1" t="n">
        <v>46222</v>
      </c>
      <c r="F173" t="inlineStr">
        <is>
          <t>NORRBOTTENS LÄN</t>
        </is>
      </c>
      <c r="G173" t="inlineStr">
        <is>
          <t>ÖVERTORNEÅ</t>
        </is>
      </c>
      <c r="H173" t="inlineStr">
        <is>
          <t>Sveaskog</t>
        </is>
      </c>
      <c r="I173" t="n">
        <v>7.8</v>
      </c>
      <c r="J173" t="n">
        <v>0</v>
      </c>
      <c r="K173" t="n">
        <v>0</v>
      </c>
      <c r="L173" t="n">
        <v>0</v>
      </c>
      <c r="M173" t="n">
        <v>0</v>
      </c>
      <c r="N173" t="n">
        <v>0</v>
      </c>
      <c r="O173" t="n">
        <v>0</v>
      </c>
      <c r="P173" t="n">
        <v>0</v>
      </c>
      <c r="Q173" t="n">
        <v>0</v>
      </c>
      <c r="R173" t="n">
        <v>0</v>
      </c>
      <c r="S173" t="n">
        <v>0</v>
      </c>
      <c r="T173" t="n">
        <v>0</v>
      </c>
      <c r="U173" s="2" t="inlineStr"/>
    </row>
    <row r="174" ht="15" customHeight="1">
      <c r="A174" t="inlineStr">
        <is>
          <t>A 7136-2026</t>
        </is>
      </c>
      <c r="B174" t="inlineStr">
        <is>
          <t>avverkningsanmälan</t>
        </is>
      </c>
      <c r="C174" t="inlineStr">
        <is>
          <t>Föryngringsavverkning</t>
        </is>
      </c>
      <c r="D174" s="1" t="n">
        <v>46058</v>
      </c>
      <c r="E174" s="1" t="n">
        <v>46222</v>
      </c>
      <c r="F174" t="inlineStr">
        <is>
          <t>NORRBOTTENS LÄN</t>
        </is>
      </c>
      <c r="G174" t="inlineStr">
        <is>
          <t>ÖVERTORNEÅ</t>
        </is>
      </c>
      <c r="I174" t="n">
        <v>8.6</v>
      </c>
      <c r="J174" t="n">
        <v>0</v>
      </c>
      <c r="K174" t="n">
        <v>0</v>
      </c>
      <c r="L174" t="n">
        <v>0</v>
      </c>
      <c r="M174" t="n">
        <v>0</v>
      </c>
      <c r="N174" t="n">
        <v>0</v>
      </c>
      <c r="O174" t="n">
        <v>0</v>
      </c>
      <c r="P174" t="n">
        <v>0</v>
      </c>
      <c r="Q174" t="n">
        <v>0</v>
      </c>
      <c r="R174" t="n">
        <v>0</v>
      </c>
      <c r="S174" t="n">
        <v>0</v>
      </c>
      <c r="T174" t="n">
        <v>0</v>
      </c>
      <c r="U174" s="2" t="inlineStr"/>
    </row>
    <row r="175" ht="15" customHeight="1">
      <c r="A175" t="inlineStr">
        <is>
          <t>A 36608-2025</t>
        </is>
      </c>
      <c r="B175" t="inlineStr">
        <is>
          <t>avverkningsanmälan</t>
        </is>
      </c>
      <c r="C175" t="inlineStr">
        <is>
          <t>Föryngringsavverkning</t>
        </is>
      </c>
      <c r="D175" s="1" t="n">
        <v>45870</v>
      </c>
      <c r="E175" s="1" t="n">
        <v>46222</v>
      </c>
      <c r="F175" t="inlineStr">
        <is>
          <t>NORRBOTTENS LÄN</t>
        </is>
      </c>
      <c r="G175" t="inlineStr">
        <is>
          <t>ÖVERTORNEÅ</t>
        </is>
      </c>
      <c r="H175" t="inlineStr">
        <is>
          <t>Sveaskog</t>
        </is>
      </c>
      <c r="I175" t="n">
        <v>9.800000000000001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32681-2024</t>
        </is>
      </c>
      <c r="B176" t="inlineStr">
        <is>
          <t>avverkningsanmälan</t>
        </is>
      </c>
      <c r="C176" t="inlineStr">
        <is>
          <t>Föryngringsavverkning</t>
        </is>
      </c>
      <c r="D176" s="1" t="n">
        <v>45515</v>
      </c>
      <c r="E176" s="1" t="n">
        <v>46222</v>
      </c>
      <c r="F176" t="inlineStr">
        <is>
          <t>NORRBOTTENS LÄN</t>
        </is>
      </c>
      <c r="G176" t="inlineStr">
        <is>
          <t>ÖVERTORNEÅ</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49362-2025</t>
        </is>
      </c>
      <c r="B177" t="inlineStr">
        <is>
          <t>avverkningsanmälan</t>
        </is>
      </c>
      <c r="C177" t="inlineStr">
        <is>
          <t>Föryngringsavverkning</t>
        </is>
      </c>
      <c r="D177" s="1" t="n">
        <v>45938</v>
      </c>
      <c r="E177" s="1" t="n">
        <v>46222</v>
      </c>
      <c r="F177" t="inlineStr">
        <is>
          <t>NORRBOTTENS LÄN</t>
        </is>
      </c>
      <c r="G177" t="inlineStr">
        <is>
          <t>ÖVERTORNEÅ</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49353-2025</t>
        </is>
      </c>
      <c r="B178" t="inlineStr">
        <is>
          <t>avverkningsanmälan</t>
        </is>
      </c>
      <c r="C178" t="inlineStr">
        <is>
          <t>Föryngringsavverkning</t>
        </is>
      </c>
      <c r="D178" s="1" t="n">
        <v>45938</v>
      </c>
      <c r="E178" s="1" t="n">
        <v>46222</v>
      </c>
      <c r="F178" t="inlineStr">
        <is>
          <t>NORRBOTTENS LÄN</t>
        </is>
      </c>
      <c r="G178" t="inlineStr">
        <is>
          <t>ÖVERTORNEÅ</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49368-2025</t>
        </is>
      </c>
      <c r="B179" t="inlineStr">
        <is>
          <t>avverkningsanmälan</t>
        </is>
      </c>
      <c r="C179" t="inlineStr">
        <is>
          <t>Föryngringsavverkning</t>
        </is>
      </c>
      <c r="D179" s="1" t="n">
        <v>45938</v>
      </c>
      <c r="E179" s="1" t="n">
        <v>46222</v>
      </c>
      <c r="F179" t="inlineStr">
        <is>
          <t>NORRBOTTENS LÄN</t>
        </is>
      </c>
      <c r="G179" t="inlineStr">
        <is>
          <t>ÖVERTORNEÅ</t>
        </is>
      </c>
      <c r="H179" t="inlineStr">
        <is>
          <t>Sveaskog</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49744-2025</t>
        </is>
      </c>
      <c r="B180" t="inlineStr">
        <is>
          <t>avverkningsanmälan</t>
        </is>
      </c>
      <c r="C180" t="inlineStr">
        <is>
          <t>Avverkning för annat ändamål</t>
        </is>
      </c>
      <c r="D180" s="1" t="n">
        <v>45940</v>
      </c>
      <c r="E180" s="1" t="n">
        <v>46222</v>
      </c>
      <c r="F180" t="inlineStr">
        <is>
          <t>NORRBOTTENS LÄN</t>
        </is>
      </c>
      <c r="G180" t="inlineStr">
        <is>
          <t>ÖVERTORNEÅ</t>
        </is>
      </c>
      <c r="H180" t="inlineStr">
        <is>
          <t>Sveaskog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50184-2025</t>
        </is>
      </c>
      <c r="B181" t="inlineStr">
        <is>
          <t>avverkningsanmälan</t>
        </is>
      </c>
      <c r="C181" t="inlineStr">
        <is>
          <t>Föryngringsavverkning</t>
        </is>
      </c>
      <c r="D181" s="1" t="n">
        <v>45943</v>
      </c>
      <c r="E181" s="1" t="n">
        <v>46222</v>
      </c>
      <c r="F181" t="inlineStr">
        <is>
          <t>NORRBOTTENS LÄN</t>
        </is>
      </c>
      <c r="G181" t="inlineStr">
        <is>
          <t>ÖVERTORNEÅ</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50236-2025</t>
        </is>
      </c>
      <c r="B182" t="inlineStr">
        <is>
          <t>avverkningsanmälan</t>
        </is>
      </c>
      <c r="C182" t="inlineStr">
        <is>
          <t>Föryngringsavverkning</t>
        </is>
      </c>
      <c r="D182" s="1" t="n">
        <v>45943</v>
      </c>
      <c r="E182" s="1" t="n">
        <v>46222</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6922-2026</t>
        </is>
      </c>
      <c r="B183" t="inlineStr">
        <is>
          <t>avverkningsanmälan</t>
        </is>
      </c>
      <c r="C183" t="inlineStr">
        <is>
          <t>Föryngringsavverkning</t>
        </is>
      </c>
      <c r="D183" s="1" t="n">
        <v>46057</v>
      </c>
      <c r="E183" s="1" t="n">
        <v>46222</v>
      </c>
      <c r="F183" t="inlineStr">
        <is>
          <t>NORRBOTTENS LÄN</t>
        </is>
      </c>
      <c r="G183" t="inlineStr">
        <is>
          <t>ÖVERTORNEÅ</t>
        </is>
      </c>
      <c r="I183" t="n">
        <v>7.3</v>
      </c>
      <c r="J183" t="n">
        <v>0</v>
      </c>
      <c r="K183" t="n">
        <v>0</v>
      </c>
      <c r="L183" t="n">
        <v>0</v>
      </c>
      <c r="M183" t="n">
        <v>0</v>
      </c>
      <c r="N183" t="n">
        <v>0</v>
      </c>
      <c r="O183" t="n">
        <v>0</v>
      </c>
      <c r="P183" t="n">
        <v>0</v>
      </c>
      <c r="Q183" t="n">
        <v>0</v>
      </c>
      <c r="R183" t="n">
        <v>0</v>
      </c>
      <c r="S183" t="n">
        <v>0</v>
      </c>
      <c r="T183" t="n">
        <v>0</v>
      </c>
      <c r="U183" s="2" t="inlineStr"/>
    </row>
    <row r="184" ht="15" customHeight="1">
      <c r="A184" t="inlineStr">
        <is>
          <t>A 37361-2025</t>
        </is>
      </c>
      <c r="B184" t="inlineStr">
        <is>
          <t>avverkningsanmälan</t>
        </is>
      </c>
      <c r="C184" t="inlineStr">
        <is>
          <t>Föryngringsavverkning</t>
        </is>
      </c>
      <c r="D184" s="1" t="n">
        <v>45877</v>
      </c>
      <c r="E184" s="1" t="n">
        <v>46222</v>
      </c>
      <c r="F184" t="inlineStr">
        <is>
          <t>NORRBOTTENS LÄN</t>
        </is>
      </c>
      <c r="G184" t="inlineStr">
        <is>
          <t>ÖVERTORNEÅ</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7539-2026</t>
        </is>
      </c>
      <c r="B185" t="inlineStr">
        <is>
          <t>avverkningsanmälan</t>
        </is>
      </c>
      <c r="C185" t="inlineStr">
        <is>
          <t>Föryngringsavverkning</t>
        </is>
      </c>
      <c r="D185" s="1" t="n">
        <v>46059</v>
      </c>
      <c r="E185" s="1" t="n">
        <v>46222</v>
      </c>
      <c r="F185" t="inlineStr">
        <is>
          <t>NORRBOTTENS LÄN</t>
        </is>
      </c>
      <c r="G185" t="inlineStr">
        <is>
          <t>ÖVERTORNEÅ</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50938-2025</t>
        </is>
      </c>
      <c r="B186" t="inlineStr">
        <is>
          <t>avverkningsanmälan</t>
        </is>
      </c>
      <c r="C186" t="inlineStr">
        <is>
          <t>Föryngringsavverkning</t>
        </is>
      </c>
      <c r="D186" s="1" t="n">
        <v>45946</v>
      </c>
      <c r="E186" s="1" t="n">
        <v>46222</v>
      </c>
      <c r="F186" t="inlineStr">
        <is>
          <t>NORRBOTTENS LÄN</t>
        </is>
      </c>
      <c r="G186" t="inlineStr">
        <is>
          <t>ÖVERTORNEÅ</t>
        </is>
      </c>
      <c r="I186" t="n">
        <v>8.699999999999999</v>
      </c>
      <c r="J186" t="n">
        <v>0</v>
      </c>
      <c r="K186" t="n">
        <v>0</v>
      </c>
      <c r="L186" t="n">
        <v>0</v>
      </c>
      <c r="M186" t="n">
        <v>0</v>
      </c>
      <c r="N186" t="n">
        <v>0</v>
      </c>
      <c r="O186" t="n">
        <v>0</v>
      </c>
      <c r="P186" t="n">
        <v>0</v>
      </c>
      <c r="Q186" t="n">
        <v>0</v>
      </c>
      <c r="R186" t="n">
        <v>0</v>
      </c>
      <c r="S186" t="n">
        <v>0</v>
      </c>
      <c r="T186" t="n">
        <v>0</v>
      </c>
      <c r="U186" s="2" t="inlineStr"/>
    </row>
    <row r="187" ht="15" customHeight="1">
      <c r="A187" t="inlineStr">
        <is>
          <t>A 19051-2024</t>
        </is>
      </c>
      <c r="B187" t="inlineStr">
        <is>
          <t>avverkningsanmälan</t>
        </is>
      </c>
      <c r="C187" t="inlineStr">
        <is>
          <t>Föryngringsavverkning</t>
        </is>
      </c>
      <c r="D187" s="1" t="n">
        <v>45427</v>
      </c>
      <c r="E187" s="1" t="n">
        <v>46222</v>
      </c>
      <c r="F187" t="inlineStr">
        <is>
          <t>NORRBOTTENS LÄN</t>
        </is>
      </c>
      <c r="G187" t="inlineStr">
        <is>
          <t>ÖVERTORNEÅ</t>
        </is>
      </c>
      <c r="I187" t="n">
        <v>8.199999999999999</v>
      </c>
      <c r="J187" t="n">
        <v>0</v>
      </c>
      <c r="K187" t="n">
        <v>0</v>
      </c>
      <c r="L187" t="n">
        <v>0</v>
      </c>
      <c r="M187" t="n">
        <v>0</v>
      </c>
      <c r="N187" t="n">
        <v>0</v>
      </c>
      <c r="O187" t="n">
        <v>0</v>
      </c>
      <c r="P187" t="n">
        <v>0</v>
      </c>
      <c r="Q187" t="n">
        <v>0</v>
      </c>
      <c r="R187" t="n">
        <v>0</v>
      </c>
      <c r="S187" t="n">
        <v>0</v>
      </c>
      <c r="T187" t="n">
        <v>0</v>
      </c>
      <c r="U187" s="2" t="inlineStr"/>
    </row>
    <row r="188" ht="15" customHeight="1">
      <c r="A188" t="inlineStr">
        <is>
          <t>A 7804-2026</t>
        </is>
      </c>
      <c r="B188" t="inlineStr">
        <is>
          <t>avverkningsanmälan</t>
        </is>
      </c>
      <c r="C188" t="inlineStr">
        <is>
          <t>Föryngringsavverkning</t>
        </is>
      </c>
      <c r="D188" s="1" t="n">
        <v>46062</v>
      </c>
      <c r="E188" s="1" t="n">
        <v>46222</v>
      </c>
      <c r="F188" t="inlineStr">
        <is>
          <t>NORRBOTTENS LÄN</t>
        </is>
      </c>
      <c r="G188" t="inlineStr">
        <is>
          <t>ÖVERTORNEÅ</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51000-2025</t>
        </is>
      </c>
      <c r="B189" t="inlineStr">
        <is>
          <t>avverkningsanmälan</t>
        </is>
      </c>
      <c r="C189" t="inlineStr">
        <is>
          <t>Föryngringsavverkning</t>
        </is>
      </c>
      <c r="D189" s="1" t="n">
        <v>45947</v>
      </c>
      <c r="E189" s="1" t="n">
        <v>46222</v>
      </c>
      <c r="F189" t="inlineStr">
        <is>
          <t>NORRBOTTENS LÄN</t>
        </is>
      </c>
      <c r="G189" t="inlineStr">
        <is>
          <t>ÖVERTORNEÅ</t>
        </is>
      </c>
      <c r="H189" t="inlineStr">
        <is>
          <t>Sveaskog</t>
        </is>
      </c>
      <c r="I189" t="n">
        <v>5.1</v>
      </c>
      <c r="J189" t="n">
        <v>0</v>
      </c>
      <c r="K189" t="n">
        <v>0</v>
      </c>
      <c r="L189" t="n">
        <v>0</v>
      </c>
      <c r="M189" t="n">
        <v>0</v>
      </c>
      <c r="N189" t="n">
        <v>0</v>
      </c>
      <c r="O189" t="n">
        <v>0</v>
      </c>
      <c r="P189" t="n">
        <v>0</v>
      </c>
      <c r="Q189" t="n">
        <v>0</v>
      </c>
      <c r="R189" t="n">
        <v>0</v>
      </c>
      <c r="S189" t="n">
        <v>0</v>
      </c>
      <c r="T189" t="n">
        <v>0</v>
      </c>
      <c r="U189" s="2" t="inlineStr"/>
    </row>
    <row r="190" ht="15" customHeight="1">
      <c r="A190" t="inlineStr">
        <is>
          <t>A 8062-2026</t>
        </is>
      </c>
      <c r="B190" t="inlineStr">
        <is>
          <t>avverkningsanmälan</t>
        </is>
      </c>
      <c r="C190" t="inlineStr">
        <is>
          <t>Föryngringsavverkning</t>
        </is>
      </c>
      <c r="D190" s="1" t="n">
        <v>46062</v>
      </c>
      <c r="E190" s="1" t="n">
        <v>46222</v>
      </c>
      <c r="F190" t="inlineStr">
        <is>
          <t>NORRBOTTENS LÄN</t>
        </is>
      </c>
      <c r="G190" t="inlineStr">
        <is>
          <t>ÖVERTORNEÅ</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7534-2026</t>
        </is>
      </c>
      <c r="B191" t="inlineStr">
        <is>
          <t>avverkningsanmälan</t>
        </is>
      </c>
      <c r="C191" t="inlineStr">
        <is>
          <t>Föryngringsavverkning</t>
        </is>
      </c>
      <c r="D191" s="1" t="n">
        <v>46059</v>
      </c>
      <c r="E191" s="1" t="n">
        <v>46222</v>
      </c>
      <c r="F191" t="inlineStr">
        <is>
          <t>NORRBOTTENS LÄN</t>
        </is>
      </c>
      <c r="G191" t="inlineStr">
        <is>
          <t>ÖVERTORNEÅ</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7536-2026</t>
        </is>
      </c>
      <c r="B192" t="inlineStr">
        <is>
          <t>avverkningsanmälan</t>
        </is>
      </c>
      <c r="C192" t="inlineStr">
        <is>
          <t>Föryngringsavverkning</t>
        </is>
      </c>
      <c r="D192" s="1" t="n">
        <v>46059</v>
      </c>
      <c r="E192" s="1" t="n">
        <v>46222</v>
      </c>
      <c r="F192" t="inlineStr">
        <is>
          <t>NORRBOTTENS LÄN</t>
        </is>
      </c>
      <c r="G192" t="inlineStr">
        <is>
          <t>ÖVERTORNEÅ</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51275-2024</t>
        </is>
      </c>
      <c r="B193" t="inlineStr">
        <is>
          <t>avverkningsanmälan</t>
        </is>
      </c>
      <c r="C193" t="inlineStr">
        <is>
          <t>Föryngringsavverkning</t>
        </is>
      </c>
      <c r="D193" s="1" t="n">
        <v>45602</v>
      </c>
      <c r="E193" s="1" t="n">
        <v>46222</v>
      </c>
      <c r="F193" t="inlineStr">
        <is>
          <t>NORRBOTTENS LÄN</t>
        </is>
      </c>
      <c r="G193" t="inlineStr">
        <is>
          <t>ÖVERTORNEÅ</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11617-2025</t>
        </is>
      </c>
      <c r="B194" t="inlineStr">
        <is>
          <t>avverkningsanmälan</t>
        </is>
      </c>
      <c r="C194" t="inlineStr">
        <is>
          <t>Föryngringsavverkning</t>
        </is>
      </c>
      <c r="D194" s="1" t="n">
        <v>45727</v>
      </c>
      <c r="E194" s="1" t="n">
        <v>46222</v>
      </c>
      <c r="F194" t="inlineStr">
        <is>
          <t>NORRBOTTENS LÄN</t>
        </is>
      </c>
      <c r="G194" t="inlineStr">
        <is>
          <t>ÖVERTORNEÅ</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52164-2025</t>
        </is>
      </c>
      <c r="B195" t="inlineStr">
        <is>
          <t>avverkningsanmälan</t>
        </is>
      </c>
      <c r="C195" t="inlineStr">
        <is>
          <t>Föryngringsavverkning</t>
        </is>
      </c>
      <c r="D195" s="1" t="n">
        <v>45953</v>
      </c>
      <c r="E195" s="1" t="n">
        <v>46222</v>
      </c>
      <c r="F195" t="inlineStr">
        <is>
          <t>NORRBOTTENS LÄN</t>
        </is>
      </c>
      <c r="G195" t="inlineStr">
        <is>
          <t>ÖVERTORNEÅ</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52191-2025</t>
        </is>
      </c>
      <c r="B196" t="inlineStr">
        <is>
          <t>avverkningsanmälan</t>
        </is>
      </c>
      <c r="C196" t="inlineStr">
        <is>
          <t>Föryngringsavverkning</t>
        </is>
      </c>
      <c r="D196" s="1" t="n">
        <v>45953</v>
      </c>
      <c r="E196" s="1" t="n">
        <v>46222</v>
      </c>
      <c r="F196" t="inlineStr">
        <is>
          <t>NORRBOTTENS LÄN</t>
        </is>
      </c>
      <c r="G196" t="inlineStr">
        <is>
          <t>ÖVERTORNEÅ</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62076-2024</t>
        </is>
      </c>
      <c r="B197" t="inlineStr">
        <is>
          <t>avverkningsanmälan</t>
        </is>
      </c>
      <c r="C197" t="inlineStr">
        <is>
          <t>Föryngringsavverkning</t>
        </is>
      </c>
      <c r="D197" s="1" t="n">
        <v>45656</v>
      </c>
      <c r="E197" s="1" t="n">
        <v>46222</v>
      </c>
      <c r="F197" t="inlineStr">
        <is>
          <t>NORRBOTTENS LÄN</t>
        </is>
      </c>
      <c r="G197" t="inlineStr">
        <is>
          <t>ÖVERTORNEÅ</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53429-2025</t>
        </is>
      </c>
      <c r="B198" t="inlineStr">
        <is>
          <t>avverkningsanmälan</t>
        </is>
      </c>
      <c r="C198" t="inlineStr">
        <is>
          <t>Föryngringsavverkning</t>
        </is>
      </c>
      <c r="D198" s="1" t="n">
        <v>45959</v>
      </c>
      <c r="E198" s="1" t="n">
        <v>46222</v>
      </c>
      <c r="F198" t="inlineStr">
        <is>
          <t>NORRBOTTENS LÄN</t>
        </is>
      </c>
      <c r="G198" t="inlineStr">
        <is>
          <t>ÖVERTORNEÅ</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54000-2025</t>
        </is>
      </c>
      <c r="B199" t="inlineStr">
        <is>
          <t>avverkningsanmälan</t>
        </is>
      </c>
      <c r="C199" t="inlineStr">
        <is>
          <t>Föryngringsavverkning</t>
        </is>
      </c>
      <c r="D199" s="1" t="n">
        <v>45961</v>
      </c>
      <c r="E199" s="1" t="n">
        <v>46222</v>
      </c>
      <c r="F199" t="inlineStr">
        <is>
          <t>NORRBOTTENS LÄN</t>
        </is>
      </c>
      <c r="G199" t="inlineStr">
        <is>
          <t>ÖVERTORNEÅ</t>
        </is>
      </c>
      <c r="H199" t="inlineStr">
        <is>
          <t>Sveaskog</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44079-2023</t>
        </is>
      </c>
      <c r="B200" t="inlineStr">
        <is>
          <t>avverkningsanmälan</t>
        </is>
      </c>
      <c r="C200" t="inlineStr">
        <is>
          <t>Föryngringsavverkning</t>
        </is>
      </c>
      <c r="D200" s="1" t="n">
        <v>45188</v>
      </c>
      <c r="E200" s="1" t="n">
        <v>46222</v>
      </c>
      <c r="F200" t="inlineStr">
        <is>
          <t>NORRBOTTENS LÄN</t>
        </is>
      </c>
      <c r="G200" t="inlineStr">
        <is>
          <t>ÖVERTORNEÅ</t>
        </is>
      </c>
      <c r="I200" t="n">
        <v>5.2</v>
      </c>
      <c r="J200" t="n">
        <v>0</v>
      </c>
      <c r="K200" t="n">
        <v>0</v>
      </c>
      <c r="L200" t="n">
        <v>0</v>
      </c>
      <c r="M200" t="n">
        <v>0</v>
      </c>
      <c r="N200" t="n">
        <v>0</v>
      </c>
      <c r="O200" t="n">
        <v>0</v>
      </c>
      <c r="P200" t="n">
        <v>0</v>
      </c>
      <c r="Q200" t="n">
        <v>0</v>
      </c>
      <c r="R200" t="n">
        <v>0</v>
      </c>
      <c r="S200" t="n">
        <v>0</v>
      </c>
      <c r="T200" t="n">
        <v>0</v>
      </c>
      <c r="U200" s="2" t="inlineStr"/>
    </row>
    <row r="201" ht="15" customHeight="1">
      <c r="A201" t="inlineStr">
        <is>
          <t>A 62851-2021</t>
        </is>
      </c>
      <c r="B201" t="inlineStr">
        <is>
          <t>avverkningsanmälan</t>
        </is>
      </c>
      <c r="C201" t="inlineStr">
        <is>
          <t>Föryngringsavverkning</t>
        </is>
      </c>
      <c r="D201" s="1" t="n">
        <v>44504</v>
      </c>
      <c r="E201" s="1" t="n">
        <v>46222</v>
      </c>
      <c r="F201" t="inlineStr">
        <is>
          <t>NORRBOTTENS LÄN</t>
        </is>
      </c>
      <c r="G201" t="inlineStr">
        <is>
          <t>ÖVERTORNEÅ</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4283-2025</t>
        </is>
      </c>
      <c r="B202" t="inlineStr">
        <is>
          <t>avverkningsanmälan</t>
        </is>
      </c>
      <c r="C202" t="inlineStr">
        <is>
          <t>Föryngringsavverkning</t>
        </is>
      </c>
      <c r="D202" s="1" t="n">
        <v>45685</v>
      </c>
      <c r="E202" s="1" t="n">
        <v>46222</v>
      </c>
      <c r="F202" t="inlineStr">
        <is>
          <t>NORRBOTTENS LÄN</t>
        </is>
      </c>
      <c r="G202" t="inlineStr">
        <is>
          <t>ÖVERTORNEÅ</t>
        </is>
      </c>
      <c r="I202" t="n">
        <v>7.7</v>
      </c>
      <c r="J202" t="n">
        <v>0</v>
      </c>
      <c r="K202" t="n">
        <v>0</v>
      </c>
      <c r="L202" t="n">
        <v>0</v>
      </c>
      <c r="M202" t="n">
        <v>0</v>
      </c>
      <c r="N202" t="n">
        <v>0</v>
      </c>
      <c r="O202" t="n">
        <v>0</v>
      </c>
      <c r="P202" t="n">
        <v>0</v>
      </c>
      <c r="Q202" t="n">
        <v>0</v>
      </c>
      <c r="R202" t="n">
        <v>0</v>
      </c>
      <c r="S202" t="n">
        <v>0</v>
      </c>
      <c r="T202" t="n">
        <v>0</v>
      </c>
      <c r="U202" s="2" t="inlineStr"/>
    </row>
    <row r="203" ht="15" customHeight="1">
      <c r="A203" t="inlineStr">
        <is>
          <t>A 54399-2025</t>
        </is>
      </c>
      <c r="B203" t="inlineStr">
        <is>
          <t>avverkningsanmälan</t>
        </is>
      </c>
      <c r="C203" t="inlineStr">
        <is>
          <t>Föryngringsavverkning</t>
        </is>
      </c>
      <c r="D203" s="1" t="n">
        <v>45965</v>
      </c>
      <c r="E203" s="1" t="n">
        <v>46222</v>
      </c>
      <c r="F203" t="inlineStr">
        <is>
          <t>NORRBOTTENS LÄN</t>
        </is>
      </c>
      <c r="G203" t="inlineStr">
        <is>
          <t>ÖVERTORNEÅ</t>
        </is>
      </c>
      <c r="I203" t="n">
        <v>6.2</v>
      </c>
      <c r="J203" t="n">
        <v>0</v>
      </c>
      <c r="K203" t="n">
        <v>0</v>
      </c>
      <c r="L203" t="n">
        <v>0</v>
      </c>
      <c r="M203" t="n">
        <v>0</v>
      </c>
      <c r="N203" t="n">
        <v>0</v>
      </c>
      <c r="O203" t="n">
        <v>0</v>
      </c>
      <c r="P203" t="n">
        <v>0</v>
      </c>
      <c r="Q203" t="n">
        <v>0</v>
      </c>
      <c r="R203" t="n">
        <v>0</v>
      </c>
      <c r="S203" t="n">
        <v>0</v>
      </c>
      <c r="T203" t="n">
        <v>0</v>
      </c>
      <c r="U203" s="2" t="inlineStr"/>
    </row>
    <row r="204" ht="15" customHeight="1">
      <c r="A204" t="inlineStr">
        <is>
          <t>A 54389-2025</t>
        </is>
      </c>
      <c r="B204" t="inlineStr">
        <is>
          <t>avverkningsanmälan</t>
        </is>
      </c>
      <c r="C204" t="inlineStr">
        <is>
          <t>Föryngringsavverkning</t>
        </is>
      </c>
      <c r="D204" s="1" t="n">
        <v>45965</v>
      </c>
      <c r="E204" s="1" t="n">
        <v>46222</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54384-2025</t>
        </is>
      </c>
      <c r="B205" t="inlineStr">
        <is>
          <t>avverkningsanmälan</t>
        </is>
      </c>
      <c r="C205" t="inlineStr">
        <is>
          <t>Föryngringsavverkning</t>
        </is>
      </c>
      <c r="D205" s="1" t="n">
        <v>45965</v>
      </c>
      <c r="E205" s="1" t="n">
        <v>46222</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13754-2024</t>
        </is>
      </c>
      <c r="B206" t="inlineStr">
        <is>
          <t>avverkningsanmälan</t>
        </is>
      </c>
      <c r="C206" t="inlineStr">
        <is>
          <t>Föryngringsavverkning</t>
        </is>
      </c>
      <c r="D206" s="1" t="n">
        <v>45390</v>
      </c>
      <c r="E206" s="1" t="n">
        <v>46222</v>
      </c>
      <c r="F206" t="inlineStr">
        <is>
          <t>NORRBOTTENS LÄN</t>
        </is>
      </c>
      <c r="G206" t="inlineStr">
        <is>
          <t>ÖVERTORNEÅ</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54394-2025</t>
        </is>
      </c>
      <c r="B207" t="inlineStr">
        <is>
          <t>avverkningsanmälan</t>
        </is>
      </c>
      <c r="C207" t="inlineStr">
        <is>
          <t>Föryngringsavverkning</t>
        </is>
      </c>
      <c r="D207" s="1" t="n">
        <v>45965</v>
      </c>
      <c r="E207" s="1" t="n">
        <v>46222</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4280-2025</t>
        </is>
      </c>
      <c r="B208" t="inlineStr">
        <is>
          <t>avverkningsanmälan</t>
        </is>
      </c>
      <c r="C208" t="inlineStr">
        <is>
          <t>Föryngringsavverkning</t>
        </is>
      </c>
      <c r="D208" s="1" t="n">
        <v>45685</v>
      </c>
      <c r="E208" s="1" t="n">
        <v>46222</v>
      </c>
      <c r="F208" t="inlineStr">
        <is>
          <t>NORRBOTTENS LÄN</t>
        </is>
      </c>
      <c r="G208" t="inlineStr">
        <is>
          <t>ÖVERTORNEÅ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37958-2025</t>
        </is>
      </c>
      <c r="B209" t="inlineStr">
        <is>
          <t>avverkningsanmälan</t>
        </is>
      </c>
      <c r="C209" t="inlineStr">
        <is>
          <t>Föryngringsavverkning</t>
        </is>
      </c>
      <c r="D209" s="1" t="n">
        <v>45881</v>
      </c>
      <c r="E209" s="1" t="n">
        <v>46222</v>
      </c>
      <c r="F209" t="inlineStr">
        <is>
          <t>NORRBOTTENS LÄN</t>
        </is>
      </c>
      <c r="G209" t="inlineStr">
        <is>
          <t>ÖVERTORNEÅ</t>
        </is>
      </c>
      <c r="H209" t="inlineStr">
        <is>
          <t>Sveaskog</t>
        </is>
      </c>
      <c r="I209" t="n">
        <v>16.3</v>
      </c>
      <c r="J209" t="n">
        <v>0</v>
      </c>
      <c r="K209" t="n">
        <v>0</v>
      </c>
      <c r="L209" t="n">
        <v>0</v>
      </c>
      <c r="M209" t="n">
        <v>0</v>
      </c>
      <c r="N209" t="n">
        <v>0</v>
      </c>
      <c r="O209" t="n">
        <v>0</v>
      </c>
      <c r="P209" t="n">
        <v>0</v>
      </c>
      <c r="Q209" t="n">
        <v>0</v>
      </c>
      <c r="R209" t="n">
        <v>0</v>
      </c>
      <c r="S209" t="n">
        <v>0</v>
      </c>
      <c r="T209" t="n">
        <v>0</v>
      </c>
      <c r="U209" s="2" t="inlineStr"/>
    </row>
    <row r="210" ht="15" customHeight="1">
      <c r="A210" t="inlineStr">
        <is>
          <t>A 23423-2025</t>
        </is>
      </c>
      <c r="B210" t="inlineStr">
        <is>
          <t>avverkningsanmälan</t>
        </is>
      </c>
      <c r="C210" t="inlineStr">
        <is>
          <t>Föryngringsavverkning</t>
        </is>
      </c>
      <c r="D210" s="1" t="n">
        <v>45792</v>
      </c>
      <c r="E210" s="1" t="n">
        <v>46222</v>
      </c>
      <c r="F210" t="inlineStr">
        <is>
          <t>NORRBOTTENS LÄN</t>
        </is>
      </c>
      <c r="G210" t="inlineStr">
        <is>
          <t>ÖVERTORNEÅ</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63285-2023</t>
        </is>
      </c>
      <c r="B211" t="inlineStr">
        <is>
          <t>avverkningsanmälan</t>
        </is>
      </c>
      <c r="C211" t="inlineStr">
        <is>
          <t>Föryngringsavverkning</t>
        </is>
      </c>
      <c r="D211" s="1" t="n">
        <v>45273</v>
      </c>
      <c r="E211" s="1" t="n">
        <v>46222</v>
      </c>
      <c r="F211" t="inlineStr">
        <is>
          <t>NORRBOTTENS LÄN</t>
        </is>
      </c>
      <c r="G211" t="inlineStr">
        <is>
          <t>ÖVERTORNEÅ</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10921-2026</t>
        </is>
      </c>
      <c r="B212" t="inlineStr">
        <is>
          <t>avverkningsanmälan</t>
        </is>
      </c>
      <c r="C212" t="inlineStr">
        <is>
          <t>Föryngringsavverkning</t>
        </is>
      </c>
      <c r="D212" s="1" t="n">
        <v>46079</v>
      </c>
      <c r="E212" s="1" t="n">
        <v>46222</v>
      </c>
      <c r="F212" t="inlineStr">
        <is>
          <t>NORRBOTTENS LÄN</t>
        </is>
      </c>
      <c r="G212" t="inlineStr">
        <is>
          <t>ÖVERTORNEÅ</t>
        </is>
      </c>
      <c r="I212" t="n">
        <v>5.4</v>
      </c>
      <c r="J212" t="n">
        <v>0</v>
      </c>
      <c r="K212" t="n">
        <v>0</v>
      </c>
      <c r="L212" t="n">
        <v>0</v>
      </c>
      <c r="M212" t="n">
        <v>0</v>
      </c>
      <c r="N212" t="n">
        <v>0</v>
      </c>
      <c r="O212" t="n">
        <v>0</v>
      </c>
      <c r="P212" t="n">
        <v>0</v>
      </c>
      <c r="Q212" t="n">
        <v>0</v>
      </c>
      <c r="R212" t="n">
        <v>0</v>
      </c>
      <c r="S212" t="n">
        <v>0</v>
      </c>
      <c r="T212" t="n">
        <v>0</v>
      </c>
      <c r="U212" s="2" t="inlineStr"/>
    </row>
    <row r="213" ht="15" customHeight="1">
      <c r="A213" t="inlineStr">
        <is>
          <t>A 4398-2025</t>
        </is>
      </c>
      <c r="B213" t="inlineStr">
        <is>
          <t>avverkningsanmälan</t>
        </is>
      </c>
      <c r="C213" t="inlineStr">
        <is>
          <t>Föryngringsavverkning</t>
        </is>
      </c>
      <c r="D213" s="1" t="n">
        <v>45686</v>
      </c>
      <c r="E213" s="1" t="n">
        <v>46222</v>
      </c>
      <c r="F213" t="inlineStr">
        <is>
          <t>NORRBOTTENS LÄN</t>
        </is>
      </c>
      <c r="G213" t="inlineStr">
        <is>
          <t>ÖVERTORNEÅ</t>
        </is>
      </c>
      <c r="I213" t="n">
        <v>3.2</v>
      </c>
      <c r="J213" t="n">
        <v>0</v>
      </c>
      <c r="K213" t="n">
        <v>0</v>
      </c>
      <c r="L213" t="n">
        <v>0</v>
      </c>
      <c r="M213" t="n">
        <v>0</v>
      </c>
      <c r="N213" t="n">
        <v>0</v>
      </c>
      <c r="O213" t="n">
        <v>0</v>
      </c>
      <c r="P213" t="n">
        <v>0</v>
      </c>
      <c r="Q213" t="n">
        <v>0</v>
      </c>
      <c r="R213" t="n">
        <v>0</v>
      </c>
      <c r="S213" t="n">
        <v>0</v>
      </c>
      <c r="T213" t="n">
        <v>0</v>
      </c>
      <c r="U213" s="2" t="inlineStr"/>
    </row>
    <row r="214" ht="15" customHeight="1">
      <c r="A214" t="inlineStr">
        <is>
          <t>A 4400-2025</t>
        </is>
      </c>
      <c r="B214" t="inlineStr">
        <is>
          <t>avverkningsanmälan</t>
        </is>
      </c>
      <c r="C214" t="inlineStr">
        <is>
          <t>Föryngringsavverkning</t>
        </is>
      </c>
      <c r="D214" s="1" t="n">
        <v>45686</v>
      </c>
      <c r="E214" s="1" t="n">
        <v>46222</v>
      </c>
      <c r="F214" t="inlineStr">
        <is>
          <t>NORRBOTTENS LÄN</t>
        </is>
      </c>
      <c r="G214" t="inlineStr">
        <is>
          <t>ÖVERTORNEÅ</t>
        </is>
      </c>
      <c r="I214" t="n">
        <v>3.6</v>
      </c>
      <c r="J214" t="n">
        <v>0</v>
      </c>
      <c r="K214" t="n">
        <v>0</v>
      </c>
      <c r="L214" t="n">
        <v>0</v>
      </c>
      <c r="M214" t="n">
        <v>0</v>
      </c>
      <c r="N214" t="n">
        <v>0</v>
      </c>
      <c r="O214" t="n">
        <v>0</v>
      </c>
      <c r="P214" t="n">
        <v>0</v>
      </c>
      <c r="Q214" t="n">
        <v>0</v>
      </c>
      <c r="R214" t="n">
        <v>0</v>
      </c>
      <c r="S214" t="n">
        <v>0</v>
      </c>
      <c r="T214" t="n">
        <v>0</v>
      </c>
      <c r="U214" s="2" t="inlineStr"/>
    </row>
    <row r="215" ht="15" customHeight="1">
      <c r="A215" t="inlineStr">
        <is>
          <t>A 11280-2026</t>
        </is>
      </c>
      <c r="B215" t="inlineStr">
        <is>
          <t>avverkningsanmälan</t>
        </is>
      </c>
      <c r="C215" t="inlineStr">
        <is>
          <t>Föryngringsavverkning</t>
        </is>
      </c>
      <c r="D215" s="1" t="n">
        <v>46080</v>
      </c>
      <c r="E215" s="1" t="n">
        <v>46222</v>
      </c>
      <c r="F215" t="inlineStr">
        <is>
          <t>NORRBOTTENS LÄN</t>
        </is>
      </c>
      <c r="G215" t="inlineStr">
        <is>
          <t>ÖVERTORNEÅ</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56952-2025</t>
        </is>
      </c>
      <c r="B216" t="inlineStr">
        <is>
          <t>avverkningsanmälan</t>
        </is>
      </c>
      <c r="C216" t="inlineStr">
        <is>
          <t>Föryngringsavverkning</t>
        </is>
      </c>
      <c r="D216" s="1" t="n">
        <v>45978</v>
      </c>
      <c r="E216" s="1" t="n">
        <v>46222</v>
      </c>
      <c r="F216" t="inlineStr">
        <is>
          <t>NORRBOTTENS LÄN</t>
        </is>
      </c>
      <c r="G216" t="inlineStr">
        <is>
          <t>ÖVERTORNEÅ</t>
        </is>
      </c>
      <c r="I216" t="n">
        <v>5.9</v>
      </c>
      <c r="J216" t="n">
        <v>0</v>
      </c>
      <c r="K216" t="n">
        <v>0</v>
      </c>
      <c r="L216" t="n">
        <v>0</v>
      </c>
      <c r="M216" t="n">
        <v>0</v>
      </c>
      <c r="N216" t="n">
        <v>0</v>
      </c>
      <c r="O216" t="n">
        <v>0</v>
      </c>
      <c r="P216" t="n">
        <v>0</v>
      </c>
      <c r="Q216" t="n">
        <v>0</v>
      </c>
      <c r="R216" t="n">
        <v>0</v>
      </c>
      <c r="S216" t="n">
        <v>0</v>
      </c>
      <c r="T216" t="n">
        <v>0</v>
      </c>
      <c r="U216" s="2" t="inlineStr"/>
    </row>
    <row r="217" ht="15" customHeight="1">
      <c r="A217" t="inlineStr">
        <is>
          <t>A 46651-2023</t>
        </is>
      </c>
      <c r="B217" t="inlineStr">
        <is>
          <t>avverkningsanmälan</t>
        </is>
      </c>
      <c r="C217" t="inlineStr">
        <is>
          <t>Föryngringsavverkning</t>
        </is>
      </c>
      <c r="D217" s="1" t="n">
        <v>45194</v>
      </c>
      <c r="E217" s="1" t="n">
        <v>46222</v>
      </c>
      <c r="F217" t="inlineStr">
        <is>
          <t>NORRBOTTENS LÄN</t>
        </is>
      </c>
      <c r="G217" t="inlineStr">
        <is>
          <t>ÖVERTORNEÅ</t>
        </is>
      </c>
      <c r="I217" t="n">
        <v>10.1</v>
      </c>
      <c r="J217" t="n">
        <v>0</v>
      </c>
      <c r="K217" t="n">
        <v>0</v>
      </c>
      <c r="L217" t="n">
        <v>0</v>
      </c>
      <c r="M217" t="n">
        <v>0</v>
      </c>
      <c r="N217" t="n">
        <v>0</v>
      </c>
      <c r="O217" t="n">
        <v>0</v>
      </c>
      <c r="P217" t="n">
        <v>0</v>
      </c>
      <c r="Q217" t="n">
        <v>0</v>
      </c>
      <c r="R217" t="n">
        <v>0</v>
      </c>
      <c r="S217" t="n">
        <v>0</v>
      </c>
      <c r="T217" t="n">
        <v>0</v>
      </c>
      <c r="U217" s="2" t="inlineStr"/>
    </row>
    <row r="218" ht="15" customHeight="1">
      <c r="A218" t="inlineStr">
        <is>
          <t>A 11203-2026</t>
        </is>
      </c>
      <c r="B218" t="inlineStr">
        <is>
          <t>avverkningsanmälan</t>
        </is>
      </c>
      <c r="C218" t="inlineStr">
        <is>
          <t>Föryngringsavverkning</t>
        </is>
      </c>
      <c r="D218" s="1" t="n">
        <v>46080</v>
      </c>
      <c r="E218" s="1" t="n">
        <v>46222</v>
      </c>
      <c r="F218" t="inlineStr">
        <is>
          <t>NORRBOTTENS LÄN</t>
        </is>
      </c>
      <c r="G218" t="inlineStr">
        <is>
          <t>ÖVERTORNEÅ</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57031-2025</t>
        </is>
      </c>
      <c r="B219" t="inlineStr">
        <is>
          <t>avverkningsanmälan</t>
        </is>
      </c>
      <c r="C219" t="inlineStr">
        <is>
          <t>Avverkning för annat ändamål</t>
        </is>
      </c>
      <c r="D219" s="1" t="n">
        <v>45979</v>
      </c>
      <c r="E219" s="1" t="n">
        <v>46222</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57027-2025</t>
        </is>
      </c>
      <c r="B220" t="inlineStr">
        <is>
          <t>avverkningsanmälan</t>
        </is>
      </c>
      <c r="C220" t="inlineStr">
        <is>
          <t>Avverkning för annat ändamål</t>
        </is>
      </c>
      <c r="D220" s="1" t="n">
        <v>45979</v>
      </c>
      <c r="E220" s="1" t="n">
        <v>46222</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57028-2025</t>
        </is>
      </c>
      <c r="B221" t="inlineStr">
        <is>
          <t>avverkningsanmälan</t>
        </is>
      </c>
      <c r="C221" t="inlineStr">
        <is>
          <t>Avverkning för annat ändamål</t>
        </is>
      </c>
      <c r="D221" s="1" t="n">
        <v>45979</v>
      </c>
      <c r="E221" s="1" t="n">
        <v>46222</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57032-2025</t>
        </is>
      </c>
      <c r="B222" t="inlineStr">
        <is>
          <t>avverkningsanmälan</t>
        </is>
      </c>
      <c r="C222" t="inlineStr">
        <is>
          <t>Avverkning för annat ändamål</t>
        </is>
      </c>
      <c r="D222" s="1" t="n">
        <v>45979</v>
      </c>
      <c r="E222" s="1" t="n">
        <v>46222</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57968-2025</t>
        </is>
      </c>
      <c r="B223" t="inlineStr">
        <is>
          <t>avverkningsanmälan</t>
        </is>
      </c>
      <c r="C223" t="inlineStr">
        <is>
          <t>Avverkning för annat ändamål</t>
        </is>
      </c>
      <c r="D223" s="1" t="n">
        <v>45982</v>
      </c>
      <c r="E223" s="1" t="n">
        <v>46222</v>
      </c>
      <c r="F223" t="inlineStr">
        <is>
          <t>NORRBOTTENS LÄN</t>
        </is>
      </c>
      <c r="G223" t="inlineStr">
        <is>
          <t>ÖVERTORNEÅ</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68764-2021</t>
        </is>
      </c>
      <c r="B224" t="inlineStr">
        <is>
          <t>avverkningsanmälan</t>
        </is>
      </c>
      <c r="C224" t="inlineStr">
        <is>
          <t>Föryngringsavverkning</t>
        </is>
      </c>
      <c r="D224" s="1" t="n">
        <v>44529</v>
      </c>
      <c r="E224" s="1" t="n">
        <v>46222</v>
      </c>
      <c r="F224" t="inlineStr">
        <is>
          <t>NORRBOTTENS LÄN</t>
        </is>
      </c>
      <c r="G224" t="inlineStr">
        <is>
          <t>ÖVERTORNEÅ</t>
        </is>
      </c>
      <c r="I224" t="n">
        <v>19.2</v>
      </c>
      <c r="J224" t="n">
        <v>0</v>
      </c>
      <c r="K224" t="n">
        <v>0</v>
      </c>
      <c r="L224" t="n">
        <v>0</v>
      </c>
      <c r="M224" t="n">
        <v>0</v>
      </c>
      <c r="N224" t="n">
        <v>0</v>
      </c>
      <c r="O224" t="n">
        <v>0</v>
      </c>
      <c r="P224" t="n">
        <v>0</v>
      </c>
      <c r="Q224" t="n">
        <v>0</v>
      </c>
      <c r="R224" t="n">
        <v>0</v>
      </c>
      <c r="S224" t="n">
        <v>0</v>
      </c>
      <c r="T224" t="n">
        <v>0</v>
      </c>
      <c r="U224" s="2" t="inlineStr"/>
    </row>
    <row r="225" ht="15" customHeight="1">
      <c r="A225" t="inlineStr">
        <is>
          <t>A 58424-2025</t>
        </is>
      </c>
      <c r="B225" t="inlineStr">
        <is>
          <t>avverkningsanmälan</t>
        </is>
      </c>
      <c r="C225" t="inlineStr">
        <is>
          <t>Föryngringsavverkning</t>
        </is>
      </c>
      <c r="D225" s="1" t="n">
        <v>45985</v>
      </c>
      <c r="E225" s="1" t="n">
        <v>46222</v>
      </c>
      <c r="F225" t="inlineStr">
        <is>
          <t>NORRBOTTENS LÄN</t>
        </is>
      </c>
      <c r="G225" t="inlineStr">
        <is>
          <t>ÖVERTORNEÅ</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16999-2025</t>
        </is>
      </c>
      <c r="B226" t="inlineStr">
        <is>
          <t>avverkningsanmälan</t>
        </is>
      </c>
      <c r="C226" t="inlineStr">
        <is>
          <t>Föryngringsavverkning</t>
        </is>
      </c>
      <c r="D226" s="1" t="n">
        <v>45755</v>
      </c>
      <c r="E226" s="1" t="n">
        <v>46222</v>
      </c>
      <c r="F226" t="inlineStr">
        <is>
          <t>NORRBOTTENS LÄN</t>
        </is>
      </c>
      <c r="G226" t="inlineStr">
        <is>
          <t>ÖVERTORNEÅ</t>
        </is>
      </c>
      <c r="I226" t="n">
        <v>8</v>
      </c>
      <c r="J226" t="n">
        <v>0</v>
      </c>
      <c r="K226" t="n">
        <v>0</v>
      </c>
      <c r="L226" t="n">
        <v>0</v>
      </c>
      <c r="M226" t="n">
        <v>0</v>
      </c>
      <c r="N226" t="n">
        <v>0</v>
      </c>
      <c r="O226" t="n">
        <v>0</v>
      </c>
      <c r="P226" t="n">
        <v>0</v>
      </c>
      <c r="Q226" t="n">
        <v>0</v>
      </c>
      <c r="R226" t="n">
        <v>0</v>
      </c>
      <c r="S226" t="n">
        <v>0</v>
      </c>
      <c r="T226" t="n">
        <v>0</v>
      </c>
      <c r="U226" s="2" t="inlineStr"/>
    </row>
    <row r="227" ht="15" customHeight="1">
      <c r="A227" t="inlineStr">
        <is>
          <t>A 53810-2025</t>
        </is>
      </c>
      <c r="B227" t="inlineStr">
        <is>
          <t>avverkningsanmälan</t>
        </is>
      </c>
      <c r="C227" t="inlineStr">
        <is>
          <t>Föryngringsavverkning</t>
        </is>
      </c>
      <c r="D227" s="1" t="n">
        <v>45960</v>
      </c>
      <c r="E227" s="1" t="n">
        <v>46222</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12456-2026</t>
        </is>
      </c>
      <c r="B228" t="inlineStr">
        <is>
          <t>avverkningsanmälan</t>
        </is>
      </c>
      <c r="C228" t="inlineStr">
        <is>
          <t>Föryngringsavverkning</t>
        </is>
      </c>
      <c r="D228" s="1" t="n">
        <v>46090</v>
      </c>
      <c r="E228" s="1" t="n">
        <v>46222</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34701-2024</t>
        </is>
      </c>
      <c r="B229" t="inlineStr">
        <is>
          <t>avverkningsanmälan</t>
        </is>
      </c>
      <c r="C229" t="inlineStr">
        <is>
          <t>Föryngringsavverkning</t>
        </is>
      </c>
      <c r="D229" s="1" t="n">
        <v>45526</v>
      </c>
      <c r="E229" s="1" t="n">
        <v>46222</v>
      </c>
      <c r="F229" t="inlineStr">
        <is>
          <t>NORRBOTTENS LÄN</t>
        </is>
      </c>
      <c r="G229" t="inlineStr">
        <is>
          <t>ÖVERTORNEÅ</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50447-2024</t>
        </is>
      </c>
      <c r="B230" t="inlineStr">
        <is>
          <t>avverkningsanmälan</t>
        </is>
      </c>
      <c r="C230" t="inlineStr">
        <is>
          <t>Avverkning för annat ändamål</t>
        </is>
      </c>
      <c r="D230" s="1" t="n">
        <v>45601</v>
      </c>
      <c r="E230" s="1" t="n">
        <v>46222</v>
      </c>
      <c r="F230" t="inlineStr">
        <is>
          <t>NORRBOTTENS LÄN</t>
        </is>
      </c>
      <c r="G230" t="inlineStr">
        <is>
          <t>ÖVERTORNEÅ</t>
        </is>
      </c>
      <c r="I230" t="n">
        <v>10</v>
      </c>
      <c r="J230" t="n">
        <v>0</v>
      </c>
      <c r="K230" t="n">
        <v>0</v>
      </c>
      <c r="L230" t="n">
        <v>0</v>
      </c>
      <c r="M230" t="n">
        <v>0</v>
      </c>
      <c r="N230" t="n">
        <v>0</v>
      </c>
      <c r="O230" t="n">
        <v>0</v>
      </c>
      <c r="P230" t="n">
        <v>0</v>
      </c>
      <c r="Q230" t="n">
        <v>0</v>
      </c>
      <c r="R230" t="n">
        <v>0</v>
      </c>
      <c r="S230" t="n">
        <v>0</v>
      </c>
      <c r="T230" t="n">
        <v>0</v>
      </c>
      <c r="U230" s="2" t="inlineStr"/>
    </row>
    <row r="231" ht="15" customHeight="1">
      <c r="A231" t="inlineStr">
        <is>
          <t>A 17624-2025</t>
        </is>
      </c>
      <c r="B231" t="inlineStr">
        <is>
          <t>avverkningsanmälan</t>
        </is>
      </c>
      <c r="C231" t="inlineStr">
        <is>
          <t>Föryngringsavverkning</t>
        </is>
      </c>
      <c r="D231" s="1" t="n">
        <v>45757</v>
      </c>
      <c r="E231" s="1" t="n">
        <v>46222</v>
      </c>
      <c r="F231" t="inlineStr">
        <is>
          <t>NORRBOTTENS LÄN</t>
        </is>
      </c>
      <c r="G231" t="inlineStr">
        <is>
          <t>ÖVERTORNEÅ</t>
        </is>
      </c>
      <c r="I231" t="n">
        <v>4.5</v>
      </c>
      <c r="J231" t="n">
        <v>0</v>
      </c>
      <c r="K231" t="n">
        <v>0</v>
      </c>
      <c r="L231" t="n">
        <v>0</v>
      </c>
      <c r="M231" t="n">
        <v>0</v>
      </c>
      <c r="N231" t="n">
        <v>0</v>
      </c>
      <c r="O231" t="n">
        <v>0</v>
      </c>
      <c r="P231" t="n">
        <v>0</v>
      </c>
      <c r="Q231" t="n">
        <v>0</v>
      </c>
      <c r="R231" t="n">
        <v>0</v>
      </c>
      <c r="S231" t="n">
        <v>0</v>
      </c>
      <c r="T231" t="n">
        <v>0</v>
      </c>
      <c r="U231" s="2" t="inlineStr"/>
    </row>
    <row r="232" ht="15" customHeight="1">
      <c r="A232" t="inlineStr">
        <is>
          <t>A 31699-2023</t>
        </is>
      </c>
      <c r="B232" t="inlineStr">
        <is>
          <t>avverkningsanmälan</t>
        </is>
      </c>
      <c r="C232" t="inlineStr">
        <is>
          <t>Avverkning för annat ändamål</t>
        </is>
      </c>
      <c r="D232" s="1" t="n">
        <v>45117</v>
      </c>
      <c r="E232" s="1" t="n">
        <v>46222</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13371-2026</t>
        </is>
      </c>
      <c r="B233" t="inlineStr">
        <is>
          <t>avverkningsanmälan</t>
        </is>
      </c>
      <c r="C233" t="inlineStr">
        <is>
          <t>Föryngringsavverkning</t>
        </is>
      </c>
      <c r="D233" s="1" t="n">
        <v>46094</v>
      </c>
      <c r="E233" s="1" t="n">
        <v>46222</v>
      </c>
      <c r="F233" t="inlineStr">
        <is>
          <t>NORRBOTTENS LÄN</t>
        </is>
      </c>
      <c r="G233" t="inlineStr">
        <is>
          <t>ÖVERTORNEÅ</t>
        </is>
      </c>
      <c r="I233" t="n">
        <v>6.9</v>
      </c>
      <c r="J233" t="n">
        <v>0</v>
      </c>
      <c r="K233" t="n">
        <v>0</v>
      </c>
      <c r="L233" t="n">
        <v>0</v>
      </c>
      <c r="M233" t="n">
        <v>0</v>
      </c>
      <c r="N233" t="n">
        <v>0</v>
      </c>
      <c r="O233" t="n">
        <v>0</v>
      </c>
      <c r="P233" t="n">
        <v>0</v>
      </c>
      <c r="Q233" t="n">
        <v>0</v>
      </c>
      <c r="R233" t="n">
        <v>0</v>
      </c>
      <c r="S233" t="n">
        <v>0</v>
      </c>
      <c r="T233" t="n">
        <v>0</v>
      </c>
      <c r="U233" s="2" t="inlineStr"/>
    </row>
    <row r="234" ht="15" customHeight="1">
      <c r="A234" t="inlineStr">
        <is>
          <t>A 13374-2026</t>
        </is>
      </c>
      <c r="B234" t="inlineStr">
        <is>
          <t>avverkningsanmälan</t>
        </is>
      </c>
      <c r="C234" t="inlineStr">
        <is>
          <t>Föryngringsavverkning</t>
        </is>
      </c>
      <c r="D234" s="1" t="n">
        <v>46094</v>
      </c>
      <c r="E234" s="1" t="n">
        <v>46222</v>
      </c>
      <c r="F234" t="inlineStr">
        <is>
          <t>NORRBOTTENS LÄN</t>
        </is>
      </c>
      <c r="G234" t="inlineStr">
        <is>
          <t>ÖVERTORNEÅ</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13383-2026</t>
        </is>
      </c>
      <c r="B235" t="inlineStr">
        <is>
          <t>avverkningsanmälan</t>
        </is>
      </c>
      <c r="C235" t="inlineStr">
        <is>
          <t>Föryngringsavverkning</t>
        </is>
      </c>
      <c r="D235" s="1" t="n">
        <v>46094</v>
      </c>
      <c r="E235" s="1" t="n">
        <v>46222</v>
      </c>
      <c r="F235" t="inlineStr">
        <is>
          <t>NORRBOTTENS LÄN</t>
        </is>
      </c>
      <c r="G235" t="inlineStr">
        <is>
          <t>ÖVERTORNEÅ</t>
        </is>
      </c>
      <c r="I235" t="n">
        <v>16.5</v>
      </c>
      <c r="J235" t="n">
        <v>0</v>
      </c>
      <c r="K235" t="n">
        <v>0</v>
      </c>
      <c r="L235" t="n">
        <v>0</v>
      </c>
      <c r="M235" t="n">
        <v>0</v>
      </c>
      <c r="N235" t="n">
        <v>0</v>
      </c>
      <c r="O235" t="n">
        <v>0</v>
      </c>
      <c r="P235" t="n">
        <v>0</v>
      </c>
      <c r="Q235" t="n">
        <v>0</v>
      </c>
      <c r="R235" t="n">
        <v>0</v>
      </c>
      <c r="S235" t="n">
        <v>0</v>
      </c>
      <c r="T235" t="n">
        <v>0</v>
      </c>
      <c r="U235" s="2" t="inlineStr"/>
    </row>
    <row r="236" ht="15" customHeight="1">
      <c r="A236" t="inlineStr">
        <is>
          <t>A 46031-2021</t>
        </is>
      </c>
      <c r="B236" t="inlineStr">
        <is>
          <t>avverkningsanmälan</t>
        </is>
      </c>
      <c r="C236" t="inlineStr">
        <is>
          <t>Föryngringsavverkning</t>
        </is>
      </c>
      <c r="D236" s="1" t="n">
        <v>44441</v>
      </c>
      <c r="E236" s="1" t="n">
        <v>46222</v>
      </c>
      <c r="F236" t="inlineStr">
        <is>
          <t>NORRBOTTENS LÄN</t>
        </is>
      </c>
      <c r="G236" t="inlineStr">
        <is>
          <t>ÖVERTORNEÅ</t>
        </is>
      </c>
      <c r="I236" t="n">
        <v>9.9</v>
      </c>
      <c r="J236" t="n">
        <v>0</v>
      </c>
      <c r="K236" t="n">
        <v>0</v>
      </c>
      <c r="L236" t="n">
        <v>0</v>
      </c>
      <c r="M236" t="n">
        <v>0</v>
      </c>
      <c r="N236" t="n">
        <v>0</v>
      </c>
      <c r="O236" t="n">
        <v>0</v>
      </c>
      <c r="P236" t="n">
        <v>0</v>
      </c>
      <c r="Q236" t="n">
        <v>0</v>
      </c>
      <c r="R236" t="n">
        <v>0</v>
      </c>
      <c r="S236" t="n">
        <v>0</v>
      </c>
      <c r="T236" t="n">
        <v>0</v>
      </c>
      <c r="U236" s="2" t="inlineStr"/>
    </row>
    <row r="237" ht="15" customHeight="1">
      <c r="A237" t="inlineStr">
        <is>
          <t>A 38677-2024</t>
        </is>
      </c>
      <c r="B237" t="inlineStr">
        <is>
          <t>avverkningsanmälan</t>
        </is>
      </c>
      <c r="C237" t="inlineStr">
        <is>
          <t>Föryngringsavverkning</t>
        </is>
      </c>
      <c r="D237" s="1" t="n">
        <v>45547</v>
      </c>
      <c r="E237" s="1" t="n">
        <v>46222</v>
      </c>
      <c r="F237" t="inlineStr">
        <is>
          <t>NORRBOTTENS LÄN</t>
        </is>
      </c>
      <c r="G237" t="inlineStr">
        <is>
          <t>ÖVERTORNEÅ</t>
        </is>
      </c>
      <c r="I237" t="n">
        <v>13.2</v>
      </c>
      <c r="J237" t="n">
        <v>0</v>
      </c>
      <c r="K237" t="n">
        <v>0</v>
      </c>
      <c r="L237" t="n">
        <v>0</v>
      </c>
      <c r="M237" t="n">
        <v>0</v>
      </c>
      <c r="N237" t="n">
        <v>0</v>
      </c>
      <c r="O237" t="n">
        <v>0</v>
      </c>
      <c r="P237" t="n">
        <v>0</v>
      </c>
      <c r="Q237" t="n">
        <v>0</v>
      </c>
      <c r="R237" t="n">
        <v>0</v>
      </c>
      <c r="S237" t="n">
        <v>0</v>
      </c>
      <c r="T237" t="n">
        <v>0</v>
      </c>
      <c r="U237" s="2" t="inlineStr"/>
    </row>
    <row r="238" ht="15" customHeight="1">
      <c r="A238" t="inlineStr">
        <is>
          <t>A 60675-2025</t>
        </is>
      </c>
      <c r="B238" t="inlineStr">
        <is>
          <t>avverkningsanmälan</t>
        </is>
      </c>
      <c r="C238" t="inlineStr">
        <is>
          <t>Föryngringsavverkning</t>
        </is>
      </c>
      <c r="D238" s="1" t="n">
        <v>45996</v>
      </c>
      <c r="E238" s="1" t="n">
        <v>46222</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60522-2025</t>
        </is>
      </c>
      <c r="B239" t="inlineStr">
        <is>
          <t>avverkningsanmälan</t>
        </is>
      </c>
      <c r="C239" t="inlineStr">
        <is>
          <t>Föryngringsavverkning</t>
        </is>
      </c>
      <c r="D239" s="1" t="n">
        <v>45995</v>
      </c>
      <c r="E239" s="1" t="n">
        <v>46222</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58172-2024</t>
        </is>
      </c>
      <c r="B240" t="inlineStr">
        <is>
          <t>avverkningsanmälan</t>
        </is>
      </c>
      <c r="C240" t="inlineStr">
        <is>
          <t>Föryngringsavverkning</t>
        </is>
      </c>
      <c r="D240" s="1" t="n">
        <v>45632</v>
      </c>
      <c r="E240" s="1" t="n">
        <v>46222</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58178-2024</t>
        </is>
      </c>
      <c r="B241" t="inlineStr">
        <is>
          <t>avverkningsanmälan</t>
        </is>
      </c>
      <c r="C241" t="inlineStr">
        <is>
          <t>Föryngringsavverkning</t>
        </is>
      </c>
      <c r="D241" s="1" t="n">
        <v>45632</v>
      </c>
      <c r="E241" s="1" t="n">
        <v>46222</v>
      </c>
      <c r="F241" t="inlineStr">
        <is>
          <t>NORRBOTTENS LÄN</t>
        </is>
      </c>
      <c r="G241" t="inlineStr">
        <is>
          <t>ÖVERTORNEÅ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58201-2024</t>
        </is>
      </c>
      <c r="B242" t="inlineStr">
        <is>
          <t>avverkningsanmälan</t>
        </is>
      </c>
      <c r="C242" t="inlineStr">
        <is>
          <t>Föryngringsavverkning</t>
        </is>
      </c>
      <c r="D242" s="1" t="n">
        <v>45632</v>
      </c>
      <c r="E242" s="1" t="n">
        <v>46222</v>
      </c>
      <c r="F242" t="inlineStr">
        <is>
          <t>NORRBOTTENS LÄN</t>
        </is>
      </c>
      <c r="G242" t="inlineStr">
        <is>
          <t>ÖVERTORNEÅ</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45049-2024</t>
        </is>
      </c>
      <c r="B243" t="inlineStr">
        <is>
          <t>avverkningsanmälan</t>
        </is>
      </c>
      <c r="C243" t="inlineStr">
        <is>
          <t>Föryngringsavverkning</t>
        </is>
      </c>
      <c r="D243" s="1" t="n">
        <v>45575</v>
      </c>
      <c r="E243" s="1" t="n">
        <v>46222</v>
      </c>
      <c r="F243" t="inlineStr">
        <is>
          <t>NORRBOTTENS LÄN</t>
        </is>
      </c>
      <c r="G243" t="inlineStr">
        <is>
          <t>ÖVERTORNEÅ</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1476-2023</t>
        </is>
      </c>
      <c r="B244" t="inlineStr">
        <is>
          <t>avverkningsanmälan</t>
        </is>
      </c>
      <c r="C244" t="inlineStr">
        <is>
          <t>Föryngringsavverkning</t>
        </is>
      </c>
      <c r="D244" s="1" t="n">
        <v>44937</v>
      </c>
      <c r="E244" s="1" t="n">
        <v>46222</v>
      </c>
      <c r="F244" t="inlineStr">
        <is>
          <t>NORRBOTTENS LÄN</t>
        </is>
      </c>
      <c r="G244" t="inlineStr">
        <is>
          <t>ÖVERTORNEÅ</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28839-2023</t>
        </is>
      </c>
      <c r="B245" t="inlineStr">
        <is>
          <t>avverkningsanmälan</t>
        </is>
      </c>
      <c r="C245" t="inlineStr">
        <is>
          <t>Föryngringsavverkning</t>
        </is>
      </c>
      <c r="D245" s="1" t="n">
        <v>45104</v>
      </c>
      <c r="E245" s="1" t="n">
        <v>46222</v>
      </c>
      <c r="F245" t="inlineStr">
        <is>
          <t>NORRBOTTENS LÄN</t>
        </is>
      </c>
      <c r="G245" t="inlineStr">
        <is>
          <t>ÖVERTORNEÅ</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14418-2026</t>
        </is>
      </c>
      <c r="B246" t="inlineStr">
        <is>
          <t>avverkningsanmälan</t>
        </is>
      </c>
      <c r="C246" t="inlineStr">
        <is>
          <t>Föryngringsavverkning</t>
        </is>
      </c>
      <c r="D246" s="1" t="n">
        <v>46100</v>
      </c>
      <c r="E246" s="1" t="n">
        <v>46222</v>
      </c>
      <c r="F246" t="inlineStr">
        <is>
          <t>NORRBOTTENS LÄN</t>
        </is>
      </c>
      <c r="G246" t="inlineStr">
        <is>
          <t>ÖVERTORNEÅ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61921-2025</t>
        </is>
      </c>
      <c r="B247" t="inlineStr">
        <is>
          <t>avverkningsanmälan</t>
        </is>
      </c>
      <c r="C247" t="inlineStr">
        <is>
          <t>Föryngringsavverkning</t>
        </is>
      </c>
      <c r="D247" s="1" t="n">
        <v>46003</v>
      </c>
      <c r="E247" s="1" t="n">
        <v>46222</v>
      </c>
      <c r="F247" t="inlineStr">
        <is>
          <t>NORRBOTTENS LÄN</t>
        </is>
      </c>
      <c r="G247" t="inlineStr">
        <is>
          <t>ÖVERTORNEÅ</t>
        </is>
      </c>
      <c r="I247" t="n">
        <v>18.4</v>
      </c>
      <c r="J247" t="n">
        <v>0</v>
      </c>
      <c r="K247" t="n">
        <v>0</v>
      </c>
      <c r="L247" t="n">
        <v>0</v>
      </c>
      <c r="M247" t="n">
        <v>0</v>
      </c>
      <c r="N247" t="n">
        <v>0</v>
      </c>
      <c r="O247" t="n">
        <v>0</v>
      </c>
      <c r="P247" t="n">
        <v>0</v>
      </c>
      <c r="Q247" t="n">
        <v>0</v>
      </c>
      <c r="R247" t="n">
        <v>0</v>
      </c>
      <c r="S247" t="n">
        <v>0</v>
      </c>
      <c r="T247" t="n">
        <v>0</v>
      </c>
      <c r="U247" s="2" t="inlineStr"/>
    </row>
    <row r="248" ht="15" customHeight="1">
      <c r="A248" t="inlineStr">
        <is>
          <t>A 61923-2025</t>
        </is>
      </c>
      <c r="B248" t="inlineStr">
        <is>
          <t>avverkningsanmälan</t>
        </is>
      </c>
      <c r="C248" t="inlineStr">
        <is>
          <t>Föryngringsavverkning</t>
        </is>
      </c>
      <c r="D248" s="1" t="n">
        <v>46003</v>
      </c>
      <c r="E248" s="1" t="n">
        <v>46222</v>
      </c>
      <c r="F248" t="inlineStr">
        <is>
          <t>NORRBOTTENS LÄN</t>
        </is>
      </c>
      <c r="G248" t="inlineStr">
        <is>
          <t>ÖVERTORNEÅ</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62669-2025</t>
        </is>
      </c>
      <c r="B249" t="inlineStr">
        <is>
          <t>avverkningsanmälan</t>
        </is>
      </c>
      <c r="C249" t="inlineStr">
        <is>
          <t>Föryngringsavverkning</t>
        </is>
      </c>
      <c r="D249" s="1" t="n">
        <v>46008</v>
      </c>
      <c r="E249" s="1" t="n">
        <v>46222</v>
      </c>
      <c r="F249" t="inlineStr">
        <is>
          <t>NORRBOTTENS LÄN</t>
        </is>
      </c>
      <c r="G249" t="inlineStr">
        <is>
          <t>ÖVERTORNEÅ</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62786-2025</t>
        </is>
      </c>
      <c r="B250" t="inlineStr">
        <is>
          <t>avverkningsanmälan</t>
        </is>
      </c>
      <c r="C250" t="inlineStr">
        <is>
          <t>Föryngringsavverkning</t>
        </is>
      </c>
      <c r="D250" s="1" t="n">
        <v>46008</v>
      </c>
      <c r="E250" s="1" t="n">
        <v>46222</v>
      </c>
      <c r="F250" t="inlineStr">
        <is>
          <t>NORRBOTTENS LÄN</t>
        </is>
      </c>
      <c r="G250" t="inlineStr">
        <is>
          <t>ÖVERTORNEÅ</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62658-2025</t>
        </is>
      </c>
      <c r="B251" t="inlineStr">
        <is>
          <t>avverkningsanmälan</t>
        </is>
      </c>
      <c r="C251" t="inlineStr">
        <is>
          <t>Föryngringsavverkning</t>
        </is>
      </c>
      <c r="D251" s="1" t="n">
        <v>46008</v>
      </c>
      <c r="E251" s="1" t="n">
        <v>46222</v>
      </c>
      <c r="F251" t="inlineStr">
        <is>
          <t>NORRBOTTENS LÄN</t>
        </is>
      </c>
      <c r="G251" t="inlineStr">
        <is>
          <t>ÖVERTORNEÅ</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62653-2025</t>
        </is>
      </c>
      <c r="B252" t="inlineStr">
        <is>
          <t>avverkningsanmälan</t>
        </is>
      </c>
      <c r="C252" t="inlineStr">
        <is>
          <t>Föryngringsavverkning</t>
        </is>
      </c>
      <c r="D252" s="1" t="n">
        <v>46008</v>
      </c>
      <c r="E252" s="1" t="n">
        <v>46222</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s="2" t="inlineStr"/>
    </row>
    <row r="253" ht="15" customHeight="1">
      <c r="A253" t="inlineStr">
        <is>
          <t>A 63174-2025</t>
        </is>
      </c>
      <c r="B253" t="inlineStr">
        <is>
          <t>avverkningsanmälan</t>
        </is>
      </c>
      <c r="C253" t="inlineStr">
        <is>
          <t>Föryngringsavverkning</t>
        </is>
      </c>
      <c r="D253" s="1" t="n">
        <v>46010</v>
      </c>
      <c r="E253" s="1" t="n">
        <v>46222</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s="2" t="inlineStr"/>
    </row>
    <row r="254" ht="15" customHeight="1">
      <c r="A254" t="inlineStr">
        <is>
          <t>A 14420-2026</t>
        </is>
      </c>
      <c r="B254" t="inlineStr">
        <is>
          <t>avverkningsanmälan</t>
        </is>
      </c>
      <c r="C254" t="inlineStr">
        <is>
          <t>Föryngringsavverkning</t>
        </is>
      </c>
      <c r="D254" s="1" t="n">
        <v>46100</v>
      </c>
      <c r="E254" s="1" t="n">
        <v>46222</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48891-2022</t>
        </is>
      </c>
      <c r="B255" t="inlineStr">
        <is>
          <t>avverkningsanmälan</t>
        </is>
      </c>
      <c r="C255" t="inlineStr">
        <is>
          <t>Föryngringsavverkning</t>
        </is>
      </c>
      <c r="D255" s="1" t="n">
        <v>44859</v>
      </c>
      <c r="E255" s="1" t="n">
        <v>46222</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14985-2026</t>
        </is>
      </c>
      <c r="B256" t="inlineStr">
        <is>
          <t>avverkningsanmälan</t>
        </is>
      </c>
      <c r="C256" t="inlineStr">
        <is>
          <t>Föryngringsavverkning</t>
        </is>
      </c>
      <c r="D256" s="1" t="n">
        <v>46104</v>
      </c>
      <c r="E256" s="1" t="n">
        <v>46222</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s="2" t="inlineStr"/>
    </row>
    <row r="257" ht="15" customHeight="1">
      <c r="A257" t="inlineStr">
        <is>
          <t>A 57849-2021</t>
        </is>
      </c>
      <c r="B257" t="inlineStr">
        <is>
          <t>avverkningsanmälan</t>
        </is>
      </c>
      <c r="C257" t="inlineStr">
        <is>
          <t>Föryngringsavverkning</t>
        </is>
      </c>
      <c r="D257" s="1" t="n">
        <v>44484</v>
      </c>
      <c r="E257" s="1" t="n">
        <v>46222</v>
      </c>
      <c r="F257" t="inlineStr">
        <is>
          <t>NORRBOTTENS LÄN</t>
        </is>
      </c>
      <c r="G257" t="inlineStr">
        <is>
          <t>ÖVERTORNEÅ</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34798-2025</t>
        </is>
      </c>
      <c r="B258" t="inlineStr">
        <is>
          <t>avverkningsanmälan</t>
        </is>
      </c>
      <c r="C258" t="inlineStr">
        <is>
          <t>Föryngringsavverkning</t>
        </is>
      </c>
      <c r="D258" s="1" t="n">
        <v>45848</v>
      </c>
      <c r="E258" s="1" t="n">
        <v>46222</v>
      </c>
      <c r="F258" t="inlineStr">
        <is>
          <t>NORRBOTTENS LÄN</t>
        </is>
      </c>
      <c r="G258" t="inlineStr">
        <is>
          <t>ÖVERTORNEÅ</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10193-2024</t>
        </is>
      </c>
      <c r="B259" t="inlineStr">
        <is>
          <t>avverkningsanmälan</t>
        </is>
      </c>
      <c r="C259" t="inlineStr">
        <is>
          <t>Föryngringsavverkning</t>
        </is>
      </c>
      <c r="D259" s="1" t="n">
        <v>45364</v>
      </c>
      <c r="E259" s="1" t="n">
        <v>46222</v>
      </c>
      <c r="F259" t="inlineStr">
        <is>
          <t>NORRBOTTENS LÄN</t>
        </is>
      </c>
      <c r="G259" t="inlineStr">
        <is>
          <t>ÖVERTORNEÅ</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1775-2026</t>
        </is>
      </c>
      <c r="B260" t="inlineStr">
        <is>
          <t>avverkningsanmälan</t>
        </is>
      </c>
      <c r="C260" t="inlineStr">
        <is>
          <t>Avverkning för annat ändamål</t>
        </is>
      </c>
      <c r="D260" s="1" t="n">
        <v>46034</v>
      </c>
      <c r="E260" s="1" t="n">
        <v>46222</v>
      </c>
      <c r="F260" t="inlineStr">
        <is>
          <t>NORRBOTTENS LÄN</t>
        </is>
      </c>
      <c r="G260" t="inlineStr">
        <is>
          <t>ÖVERTORNEÅ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1779-2026</t>
        </is>
      </c>
      <c r="B261" t="inlineStr">
        <is>
          <t>avverkningsanmälan</t>
        </is>
      </c>
      <c r="C261" t="inlineStr">
        <is>
          <t>Föryngringsavverkning</t>
        </is>
      </c>
      <c r="D261" s="1" t="n">
        <v>46034</v>
      </c>
      <c r="E261" s="1" t="n">
        <v>46222</v>
      </c>
      <c r="F261" t="inlineStr">
        <is>
          <t>NORRBOTTENS LÄN</t>
        </is>
      </c>
      <c r="G261" t="inlineStr">
        <is>
          <t>ÖVERTORNEÅ</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2421-2026</t>
        </is>
      </c>
      <c r="B262" t="inlineStr">
        <is>
          <t>avverkningsanmälan</t>
        </is>
      </c>
      <c r="C262" t="inlineStr">
        <is>
          <t>Föryngringsavverkning</t>
        </is>
      </c>
      <c r="D262" s="1" t="n">
        <v>46034</v>
      </c>
      <c r="E262" s="1" t="n">
        <v>46222</v>
      </c>
      <c r="F262" t="inlineStr">
        <is>
          <t>NORRBOTTENS LÄN</t>
        </is>
      </c>
      <c r="G262" t="inlineStr">
        <is>
          <t>ÖVERTORNEÅ</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58691-2021</t>
        </is>
      </c>
      <c r="B263" t="inlineStr">
        <is>
          <t>avverkningsanmälan</t>
        </is>
      </c>
      <c r="C263" t="inlineStr">
        <is>
          <t>Föryngringsavverkning</t>
        </is>
      </c>
      <c r="D263" s="1" t="n">
        <v>44489</v>
      </c>
      <c r="E263" s="1" t="n">
        <v>46222</v>
      </c>
      <c r="F263" t="inlineStr">
        <is>
          <t>NORRBOTTENS LÄN</t>
        </is>
      </c>
      <c r="G263" t="inlineStr">
        <is>
          <t>ÖVERTORNEÅ</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2422-2026</t>
        </is>
      </c>
      <c r="B264" t="inlineStr">
        <is>
          <t>avverkningsanmälan</t>
        </is>
      </c>
      <c r="C264" t="inlineStr">
        <is>
          <t>Föryngringsavverkning</t>
        </is>
      </c>
      <c r="D264" s="1" t="n">
        <v>46034</v>
      </c>
      <c r="E264" s="1" t="n">
        <v>46222</v>
      </c>
      <c r="F264" t="inlineStr">
        <is>
          <t>NORRBOTTENS LÄN</t>
        </is>
      </c>
      <c r="G264" t="inlineStr">
        <is>
          <t>ÖVERTORNEÅ</t>
        </is>
      </c>
      <c r="I264" t="n">
        <v>2.4</v>
      </c>
      <c r="J264" t="n">
        <v>0</v>
      </c>
      <c r="K264" t="n">
        <v>0</v>
      </c>
      <c r="L264" t="n">
        <v>0</v>
      </c>
      <c r="M264" t="n">
        <v>0</v>
      </c>
      <c r="N264" t="n">
        <v>0</v>
      </c>
      <c r="O264" t="n">
        <v>0</v>
      </c>
      <c r="P264" t="n">
        <v>0</v>
      </c>
      <c r="Q264" t="n">
        <v>0</v>
      </c>
      <c r="R264" t="n">
        <v>0</v>
      </c>
      <c r="S264" t="n">
        <v>0</v>
      </c>
      <c r="T264" t="n">
        <v>0</v>
      </c>
      <c r="U264" s="2" t="inlineStr"/>
    </row>
    <row r="265" ht="15" customHeight="1">
      <c r="A265" t="inlineStr">
        <is>
          <t>A 1783-2026</t>
        </is>
      </c>
      <c r="B265" t="inlineStr">
        <is>
          <t>avverkningsanmälan</t>
        </is>
      </c>
      <c r="C265" t="inlineStr">
        <is>
          <t>Föryngringsavverkning</t>
        </is>
      </c>
      <c r="D265" s="1" t="n">
        <v>46034</v>
      </c>
      <c r="E265" s="1" t="n">
        <v>46222</v>
      </c>
      <c r="F265" t="inlineStr">
        <is>
          <t>NORRBOTTENS LÄN</t>
        </is>
      </c>
      <c r="G265" t="inlineStr">
        <is>
          <t>ÖVERTORNEÅ</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1444-2026</t>
        </is>
      </c>
      <c r="B266" t="inlineStr">
        <is>
          <t>avverkningsanmälan</t>
        </is>
      </c>
      <c r="C266" t="inlineStr">
        <is>
          <t>Föryngringsavverkning</t>
        </is>
      </c>
      <c r="D266" s="1" t="n">
        <v>46032</v>
      </c>
      <c r="E266" s="1" t="n">
        <v>46222</v>
      </c>
      <c r="F266" t="inlineStr">
        <is>
          <t>NORRBOTTENS LÄN</t>
        </is>
      </c>
      <c r="G266" t="inlineStr">
        <is>
          <t>ÖVERTORNEÅ</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60537-2022</t>
        </is>
      </c>
      <c r="B267" t="inlineStr">
        <is>
          <t>avverkningsanmälan</t>
        </is>
      </c>
      <c r="C267" t="inlineStr">
        <is>
          <t>Föryngringsavverkning</t>
        </is>
      </c>
      <c r="D267" s="1" t="n">
        <v>44904</v>
      </c>
      <c r="E267" s="1" t="n">
        <v>46222</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1558-2026</t>
        </is>
      </c>
      <c r="B268" t="inlineStr">
        <is>
          <t>avverkningsanmälan</t>
        </is>
      </c>
      <c r="C268" t="inlineStr">
        <is>
          <t>Föryngringsavverkning</t>
        </is>
      </c>
      <c r="D268" s="1" t="n">
        <v>46034</v>
      </c>
      <c r="E268" s="1" t="n">
        <v>46222</v>
      </c>
      <c r="F268" t="inlineStr">
        <is>
          <t>NORRBOTTENS LÄN</t>
        </is>
      </c>
      <c r="G268" t="inlineStr">
        <is>
          <t>ÖVERTORNEÅ</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1782-2026</t>
        </is>
      </c>
      <c r="B269" t="inlineStr">
        <is>
          <t>avverkningsanmälan</t>
        </is>
      </c>
      <c r="C269" t="inlineStr">
        <is>
          <t>Föryngringsavverkning</t>
        </is>
      </c>
      <c r="D269" s="1" t="n">
        <v>46034</v>
      </c>
      <c r="E269" s="1" t="n">
        <v>46222</v>
      </c>
      <c r="F269" t="inlineStr">
        <is>
          <t>NORRBOTTENS LÄN</t>
        </is>
      </c>
      <c r="G269" t="inlineStr">
        <is>
          <t>ÖVERTORNEÅ</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69898-2021</t>
        </is>
      </c>
      <c r="B270" t="inlineStr">
        <is>
          <t>avverkningsanmälan</t>
        </is>
      </c>
      <c r="C270" t="inlineStr">
        <is>
          <t>Föryngringsavverkning</t>
        </is>
      </c>
      <c r="D270" s="1" t="n">
        <v>44532</v>
      </c>
      <c r="E270" s="1" t="n">
        <v>46222</v>
      </c>
      <c r="F270" t="inlineStr">
        <is>
          <t>NORRBOTTENS LÄN</t>
        </is>
      </c>
      <c r="G270" t="inlineStr">
        <is>
          <t>ÖVERTORNEÅ</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16152-2026</t>
        </is>
      </c>
      <c r="B271" t="inlineStr">
        <is>
          <t>avverkningsanmälan</t>
        </is>
      </c>
      <c r="C271" t="inlineStr">
        <is>
          <t>Föryngringsavverkning</t>
        </is>
      </c>
      <c r="D271" s="1" t="n">
        <v>46108</v>
      </c>
      <c r="E271" s="1" t="n">
        <v>46222</v>
      </c>
      <c r="F271" t="inlineStr">
        <is>
          <t>NORRBOTTENS LÄN</t>
        </is>
      </c>
      <c r="G271" t="inlineStr">
        <is>
          <t>ÖVERTORNEÅ</t>
        </is>
      </c>
      <c r="I271" t="n">
        <v>11.1</v>
      </c>
      <c r="J271" t="n">
        <v>0</v>
      </c>
      <c r="K271" t="n">
        <v>0</v>
      </c>
      <c r="L271" t="n">
        <v>0</v>
      </c>
      <c r="M271" t="n">
        <v>0</v>
      </c>
      <c r="N271" t="n">
        <v>0</v>
      </c>
      <c r="O271" t="n">
        <v>0</v>
      </c>
      <c r="P271" t="n">
        <v>0</v>
      </c>
      <c r="Q271" t="n">
        <v>0</v>
      </c>
      <c r="R271" t="n">
        <v>0</v>
      </c>
      <c r="S271" t="n">
        <v>0</v>
      </c>
      <c r="T271" t="n">
        <v>0</v>
      </c>
      <c r="U271" s="2" t="inlineStr"/>
    </row>
    <row r="272" ht="15" customHeight="1">
      <c r="A272" t="inlineStr">
        <is>
          <t>A 16148-2026</t>
        </is>
      </c>
      <c r="B272" t="inlineStr">
        <is>
          <t>avverkningsanmälan</t>
        </is>
      </c>
      <c r="C272" t="inlineStr">
        <is>
          <t>Föryngringsavverkning</t>
        </is>
      </c>
      <c r="D272" s="1" t="n">
        <v>46108</v>
      </c>
      <c r="E272" s="1" t="n">
        <v>46222</v>
      </c>
      <c r="F272" t="inlineStr">
        <is>
          <t>NORRBOTTENS LÄN</t>
        </is>
      </c>
      <c r="G272" t="inlineStr">
        <is>
          <t>ÖVERTORNEÅ</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2904-2026</t>
        </is>
      </c>
      <c r="B273" t="inlineStr">
        <is>
          <t>avverkningsanmälan</t>
        </is>
      </c>
      <c r="C273" t="inlineStr">
        <is>
          <t>Föryngringsavverkning</t>
        </is>
      </c>
      <c r="D273" s="1" t="n">
        <v>46038</v>
      </c>
      <c r="E273" s="1" t="n">
        <v>46222</v>
      </c>
      <c r="F273" t="inlineStr">
        <is>
          <t>NORRBOTTENS LÄN</t>
        </is>
      </c>
      <c r="G273" t="inlineStr">
        <is>
          <t>ÖVERTORNEÅ</t>
        </is>
      </c>
      <c r="I273" t="n">
        <v>7.3</v>
      </c>
      <c r="J273" t="n">
        <v>0</v>
      </c>
      <c r="K273" t="n">
        <v>0</v>
      </c>
      <c r="L273" t="n">
        <v>0</v>
      </c>
      <c r="M273" t="n">
        <v>0</v>
      </c>
      <c r="N273" t="n">
        <v>0</v>
      </c>
      <c r="O273" t="n">
        <v>0</v>
      </c>
      <c r="P273" t="n">
        <v>0</v>
      </c>
      <c r="Q273" t="n">
        <v>0</v>
      </c>
      <c r="R273" t="n">
        <v>0</v>
      </c>
      <c r="S273" t="n">
        <v>0</v>
      </c>
      <c r="T273" t="n">
        <v>0</v>
      </c>
      <c r="U273" s="2" t="inlineStr"/>
    </row>
    <row r="274" ht="15" customHeight="1">
      <c r="A274" t="inlineStr">
        <is>
          <t>A 2894-2026</t>
        </is>
      </c>
      <c r="B274" t="inlineStr">
        <is>
          <t>avverkningsanmälan</t>
        </is>
      </c>
      <c r="C274" t="inlineStr">
        <is>
          <t>Föryngringsavverkning</t>
        </is>
      </c>
      <c r="D274" s="1" t="n">
        <v>46038</v>
      </c>
      <c r="E274" s="1" t="n">
        <v>46222</v>
      </c>
      <c r="F274" t="inlineStr">
        <is>
          <t>NORRBOTTENS LÄN</t>
        </is>
      </c>
      <c r="G274" t="inlineStr">
        <is>
          <t>ÖVERTORNEÅ</t>
        </is>
      </c>
      <c r="I274" t="n">
        <v>6.6</v>
      </c>
      <c r="J274" t="n">
        <v>0</v>
      </c>
      <c r="K274" t="n">
        <v>0</v>
      </c>
      <c r="L274" t="n">
        <v>0</v>
      </c>
      <c r="M274" t="n">
        <v>0</v>
      </c>
      <c r="N274" t="n">
        <v>0</v>
      </c>
      <c r="O274" t="n">
        <v>0</v>
      </c>
      <c r="P274" t="n">
        <v>0</v>
      </c>
      <c r="Q274" t="n">
        <v>0</v>
      </c>
      <c r="R274" t="n">
        <v>0</v>
      </c>
      <c r="S274" t="n">
        <v>0</v>
      </c>
      <c r="T274" t="n">
        <v>0</v>
      </c>
      <c r="U274" s="2" t="inlineStr"/>
    </row>
    <row r="275" ht="15" customHeight="1">
      <c r="A275" t="inlineStr">
        <is>
          <t>A 2918-2026</t>
        </is>
      </c>
      <c r="B275" t="inlineStr">
        <is>
          <t>avverkningsanmälan</t>
        </is>
      </c>
      <c r="C275" t="inlineStr">
        <is>
          <t>Föryngringsavverkning</t>
        </is>
      </c>
      <c r="D275" s="1" t="n">
        <v>46038</v>
      </c>
      <c r="E275" s="1" t="n">
        <v>46222</v>
      </c>
      <c r="F275" t="inlineStr">
        <is>
          <t>NORRBOTTENS LÄN</t>
        </is>
      </c>
      <c r="G275" t="inlineStr">
        <is>
          <t>ÖVERTORNEÅ</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2883-2026</t>
        </is>
      </c>
      <c r="B276" t="inlineStr">
        <is>
          <t>avverkningsanmälan</t>
        </is>
      </c>
      <c r="C276" t="inlineStr">
        <is>
          <t>Föryngringsavverkning</t>
        </is>
      </c>
      <c r="D276" s="1" t="n">
        <v>46038</v>
      </c>
      <c r="E276" s="1" t="n">
        <v>46222</v>
      </c>
      <c r="F276" t="inlineStr">
        <is>
          <t>NORRBOTTENS LÄN</t>
        </is>
      </c>
      <c r="G276" t="inlineStr">
        <is>
          <t>ÖVERTORNEÅ</t>
        </is>
      </c>
      <c r="I276" t="n">
        <v>5.6</v>
      </c>
      <c r="J276" t="n">
        <v>0</v>
      </c>
      <c r="K276" t="n">
        <v>0</v>
      </c>
      <c r="L276" t="n">
        <v>0</v>
      </c>
      <c r="M276" t="n">
        <v>0</v>
      </c>
      <c r="N276" t="n">
        <v>0</v>
      </c>
      <c r="O276" t="n">
        <v>0</v>
      </c>
      <c r="P276" t="n">
        <v>0</v>
      </c>
      <c r="Q276" t="n">
        <v>0</v>
      </c>
      <c r="R276" t="n">
        <v>0</v>
      </c>
      <c r="S276" t="n">
        <v>0</v>
      </c>
      <c r="T276" t="n">
        <v>0</v>
      </c>
      <c r="U276" s="2" t="inlineStr"/>
    </row>
    <row r="277" ht="15" customHeight="1">
      <c r="A277" t="inlineStr">
        <is>
          <t>A 2887-2026</t>
        </is>
      </c>
      <c r="B277" t="inlineStr">
        <is>
          <t>avverkningsanmälan</t>
        </is>
      </c>
      <c r="C277" t="inlineStr">
        <is>
          <t>Föryngringsavverkning</t>
        </is>
      </c>
      <c r="D277" s="1" t="n">
        <v>46038</v>
      </c>
      <c r="E277" s="1" t="n">
        <v>46222</v>
      </c>
      <c r="F277" t="inlineStr">
        <is>
          <t>NORRBOTTENS LÄN</t>
        </is>
      </c>
      <c r="G277" t="inlineStr">
        <is>
          <t>ÖVERTORNEÅ</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31329-2024</t>
        </is>
      </c>
      <c r="B278" t="inlineStr">
        <is>
          <t>avverkningsanmälan</t>
        </is>
      </c>
      <c r="C278" t="inlineStr">
        <is>
          <t>Föryngringsavverkning</t>
        </is>
      </c>
      <c r="D278" s="1" t="n">
        <v>45504</v>
      </c>
      <c r="E278" s="1" t="n">
        <v>46222</v>
      </c>
      <c r="F278" t="inlineStr">
        <is>
          <t>NORRBOTTENS LÄN</t>
        </is>
      </c>
      <c r="G278" t="inlineStr">
        <is>
          <t>ÖVERTORNEÅ</t>
        </is>
      </c>
      <c r="H278" t="inlineStr">
        <is>
          <t>Sveaskog</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16150-2026</t>
        </is>
      </c>
      <c r="B279" t="inlineStr">
        <is>
          <t>avverkningsanmälan</t>
        </is>
      </c>
      <c r="C279" t="inlineStr">
        <is>
          <t>Föryngringsavverkning</t>
        </is>
      </c>
      <c r="D279" s="1" t="n">
        <v>46108</v>
      </c>
      <c r="E279" s="1" t="n">
        <v>46222</v>
      </c>
      <c r="F279" t="inlineStr">
        <is>
          <t>NORRBOTTENS LÄN</t>
        </is>
      </c>
      <c r="G279" t="inlineStr">
        <is>
          <t>ÖVERTORNEÅ</t>
        </is>
      </c>
      <c r="I279" t="n">
        <v>14.9</v>
      </c>
      <c r="J279" t="n">
        <v>0</v>
      </c>
      <c r="K279" t="n">
        <v>0</v>
      </c>
      <c r="L279" t="n">
        <v>0</v>
      </c>
      <c r="M279" t="n">
        <v>0</v>
      </c>
      <c r="N279" t="n">
        <v>0</v>
      </c>
      <c r="O279" t="n">
        <v>0</v>
      </c>
      <c r="P279" t="n">
        <v>0</v>
      </c>
      <c r="Q279" t="n">
        <v>0</v>
      </c>
      <c r="R279" t="n">
        <v>0</v>
      </c>
      <c r="S279" t="n">
        <v>0</v>
      </c>
      <c r="T279" t="n">
        <v>0</v>
      </c>
      <c r="U279" s="2" t="inlineStr"/>
    </row>
    <row r="280" ht="15" customHeight="1">
      <c r="A280" t="inlineStr">
        <is>
          <t>A 24653-2024</t>
        </is>
      </c>
      <c r="B280" t="inlineStr">
        <is>
          <t>avverkningsanmälan</t>
        </is>
      </c>
      <c r="C280" t="inlineStr">
        <is>
          <t>Föryngringsavverkning</t>
        </is>
      </c>
      <c r="D280" s="1" t="n">
        <v>45460</v>
      </c>
      <c r="E280" s="1" t="n">
        <v>46222</v>
      </c>
      <c r="F280" t="inlineStr">
        <is>
          <t>NORRBOTTENS LÄN</t>
        </is>
      </c>
      <c r="G280" t="inlineStr">
        <is>
          <t>ÖVERTORNEÅ</t>
        </is>
      </c>
      <c r="H280" t="inlineStr">
        <is>
          <t>Sveaskog</t>
        </is>
      </c>
      <c r="I280" t="n">
        <v>9.699999999999999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597-2023</t>
        </is>
      </c>
      <c r="B281" t="inlineStr">
        <is>
          <t>avverkningsanmälan</t>
        </is>
      </c>
      <c r="C281" t="inlineStr">
        <is>
          <t>Föryngringsavverkning</t>
        </is>
      </c>
      <c r="D281" s="1" t="n">
        <v>44930</v>
      </c>
      <c r="E281" s="1" t="n">
        <v>46222</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24785-2024</t>
        </is>
      </c>
      <c r="B282" t="inlineStr">
        <is>
          <t>avverkningsanmälan</t>
        </is>
      </c>
      <c r="C282" t="inlineStr">
        <is>
          <t>Föryngringsavverkning</t>
        </is>
      </c>
      <c r="D282" s="1" t="n">
        <v>45460</v>
      </c>
      <c r="E282" s="1" t="n">
        <v>46222</v>
      </c>
      <c r="F282" t="inlineStr">
        <is>
          <t>NORRBOTTENS LÄN</t>
        </is>
      </c>
      <c r="G282" t="inlineStr">
        <is>
          <t>ÖVERTORNEÅ</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26162-2024</t>
        </is>
      </c>
      <c r="B283" t="inlineStr">
        <is>
          <t>avverkningsanmälan</t>
        </is>
      </c>
      <c r="C283" t="inlineStr">
        <is>
          <t>Föryngringsavverkning</t>
        </is>
      </c>
      <c r="D283" s="1" t="n">
        <v>45467</v>
      </c>
      <c r="E283" s="1" t="n">
        <v>46222</v>
      </c>
      <c r="F283" t="inlineStr">
        <is>
          <t>NORRBOTTENS LÄN</t>
        </is>
      </c>
      <c r="G283" t="inlineStr">
        <is>
          <t>ÖVERTORNEÅ</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34579-2024</t>
        </is>
      </c>
      <c r="B284" t="inlineStr">
        <is>
          <t>avverkningsanmälan</t>
        </is>
      </c>
      <c r="C284" t="inlineStr">
        <is>
          <t>Föryngringsavverkning</t>
        </is>
      </c>
      <c r="D284" s="1" t="n">
        <v>45526</v>
      </c>
      <c r="E284" s="1" t="n">
        <v>46222</v>
      </c>
      <c r="F284" t="inlineStr">
        <is>
          <t>NORRBOTTENS LÄN</t>
        </is>
      </c>
      <c r="G284" t="inlineStr">
        <is>
          <t>ÖVERTORNEÅ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17987-2026</t>
        </is>
      </c>
      <c r="B285" t="inlineStr">
        <is>
          <t>avverkningsanmälan</t>
        </is>
      </c>
      <c r="C285" t="inlineStr">
        <is>
          <t>Föryngringsavverkning</t>
        </is>
      </c>
      <c r="D285" s="1" t="n">
        <v>46124</v>
      </c>
      <c r="E285" s="1" t="n">
        <v>46222</v>
      </c>
      <c r="F285" t="inlineStr">
        <is>
          <t>NORRBOTTENS LÄN</t>
        </is>
      </c>
      <c r="G285" t="inlineStr">
        <is>
          <t>ÖVERTORNEÅ</t>
        </is>
      </c>
      <c r="I285" t="n">
        <v>12.3</v>
      </c>
      <c r="J285" t="n">
        <v>0</v>
      </c>
      <c r="K285" t="n">
        <v>0</v>
      </c>
      <c r="L285" t="n">
        <v>0</v>
      </c>
      <c r="M285" t="n">
        <v>0</v>
      </c>
      <c r="N285" t="n">
        <v>0</v>
      </c>
      <c r="O285" t="n">
        <v>0</v>
      </c>
      <c r="P285" t="n">
        <v>0</v>
      </c>
      <c r="Q285" t="n">
        <v>0</v>
      </c>
      <c r="R285" t="n">
        <v>0</v>
      </c>
      <c r="S285" t="n">
        <v>0</v>
      </c>
      <c r="T285" t="n">
        <v>0</v>
      </c>
      <c r="U285" s="2" t="inlineStr"/>
    </row>
    <row r="286" ht="15" customHeight="1">
      <c r="A286" t="inlineStr">
        <is>
          <t>A 10528-2023</t>
        </is>
      </c>
      <c r="B286" t="inlineStr">
        <is>
          <t>avverkningsanmälan</t>
        </is>
      </c>
      <c r="C286" t="inlineStr">
        <is>
          <t>Avverkning för annat ändamål</t>
        </is>
      </c>
      <c r="D286" s="1" t="n">
        <v>44987</v>
      </c>
      <c r="E286" s="1" t="n">
        <v>46222</v>
      </c>
      <c r="F286" t="inlineStr">
        <is>
          <t>NORRBOTTENS LÄN</t>
        </is>
      </c>
      <c r="G286" t="inlineStr">
        <is>
          <t>ÖVERTORNEÅ</t>
        </is>
      </c>
      <c r="I286" t="n">
        <v>0.3</v>
      </c>
      <c r="J286" t="n">
        <v>0</v>
      </c>
      <c r="K286" t="n">
        <v>0</v>
      </c>
      <c r="L286" t="n">
        <v>0</v>
      </c>
      <c r="M286" t="n">
        <v>0</v>
      </c>
      <c r="N286" t="n">
        <v>0</v>
      </c>
      <c r="O286" t="n">
        <v>0</v>
      </c>
      <c r="P286" t="n">
        <v>0</v>
      </c>
      <c r="Q286" t="n">
        <v>0</v>
      </c>
      <c r="R286" t="n">
        <v>0</v>
      </c>
      <c r="S286" t="n">
        <v>0</v>
      </c>
      <c r="T286" t="n">
        <v>0</v>
      </c>
      <c r="U286" s="2" t="inlineStr"/>
    </row>
    <row r="287" ht="15" customHeight="1">
      <c r="A287" t="inlineStr">
        <is>
          <t>A 49299-2024</t>
        </is>
      </c>
      <c r="B287" t="inlineStr">
        <is>
          <t>avverkningsanmälan</t>
        </is>
      </c>
      <c r="C287" t="inlineStr">
        <is>
          <t>Föryngringsavverkning</t>
        </is>
      </c>
      <c r="D287" s="1" t="n">
        <v>45595</v>
      </c>
      <c r="E287" s="1" t="n">
        <v>46222</v>
      </c>
      <c r="F287" t="inlineStr">
        <is>
          <t>NORRBOTTENS LÄN</t>
        </is>
      </c>
      <c r="G287" t="inlineStr">
        <is>
          <t>ÖVERTORNEÅ</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4250-2025</t>
        </is>
      </c>
      <c r="B288" t="inlineStr">
        <is>
          <t>avverkningsanmälan</t>
        </is>
      </c>
      <c r="C288" t="inlineStr">
        <is>
          <t>Föryngringsavverkning</t>
        </is>
      </c>
      <c r="D288" s="1" t="n">
        <v>45685</v>
      </c>
      <c r="E288" s="1" t="n">
        <v>46222</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44096-2023</t>
        </is>
      </c>
      <c r="B289" t="inlineStr">
        <is>
          <t>avverkningsanmälan</t>
        </is>
      </c>
      <c r="C289" t="inlineStr">
        <is>
          <t>Föryngringsavverkning</t>
        </is>
      </c>
      <c r="D289" s="1" t="n">
        <v>45188</v>
      </c>
      <c r="E289" s="1" t="n">
        <v>46222</v>
      </c>
      <c r="F289" t="inlineStr">
        <is>
          <t>NORRBOTTENS LÄN</t>
        </is>
      </c>
      <c r="G289" t="inlineStr">
        <is>
          <t>ÖVERTORNEÅ</t>
        </is>
      </c>
      <c r="I289" t="n">
        <v>16.2</v>
      </c>
      <c r="J289" t="n">
        <v>0</v>
      </c>
      <c r="K289" t="n">
        <v>0</v>
      </c>
      <c r="L289" t="n">
        <v>0</v>
      </c>
      <c r="M289" t="n">
        <v>0</v>
      </c>
      <c r="N289" t="n">
        <v>0</v>
      </c>
      <c r="O289" t="n">
        <v>0</v>
      </c>
      <c r="P289" t="n">
        <v>0</v>
      </c>
      <c r="Q289" t="n">
        <v>0</v>
      </c>
      <c r="R289" t="n">
        <v>0</v>
      </c>
      <c r="S289" t="n">
        <v>0</v>
      </c>
      <c r="T289" t="n">
        <v>0</v>
      </c>
      <c r="U289" s="2" t="inlineStr"/>
    </row>
    <row r="290" ht="15" customHeight="1">
      <c r="A290" t="inlineStr">
        <is>
          <t>A 18925-2026</t>
        </is>
      </c>
      <c r="B290" t="inlineStr">
        <is>
          <t>avverkningsanmälan</t>
        </is>
      </c>
      <c r="C290" t="inlineStr">
        <is>
          <t>Föryngringsavverkning</t>
        </is>
      </c>
      <c r="D290" s="1" t="n">
        <v>46129</v>
      </c>
      <c r="E290" s="1" t="n">
        <v>46222</v>
      </c>
      <c r="F290" t="inlineStr">
        <is>
          <t>NORRBOTTENS LÄN</t>
        </is>
      </c>
      <c r="G290" t="inlineStr">
        <is>
          <t>ÖVERTORNEÅ</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23055-2024</t>
        </is>
      </c>
      <c r="B291" t="inlineStr">
        <is>
          <t>avverkningsanmälan</t>
        </is>
      </c>
      <c r="C291" t="inlineStr">
        <is>
          <t>Föryngringsavverkning</t>
        </is>
      </c>
      <c r="D291" s="1" t="n">
        <v>45449</v>
      </c>
      <c r="E291" s="1" t="n">
        <v>46222</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48036-2024</t>
        </is>
      </c>
      <c r="B292" t="inlineStr">
        <is>
          <t>avverkningsanmälan</t>
        </is>
      </c>
      <c r="C292" t="inlineStr">
        <is>
          <t>Föryngringsavverkning</t>
        </is>
      </c>
      <c r="D292" s="1" t="n">
        <v>45589</v>
      </c>
      <c r="E292" s="1" t="n">
        <v>46222</v>
      </c>
      <c r="F292" t="inlineStr">
        <is>
          <t>NORRBOTTENS LÄN</t>
        </is>
      </c>
      <c r="G292" t="inlineStr">
        <is>
          <t>ÖVERTORNEÅ</t>
        </is>
      </c>
      <c r="H292" t="inlineStr">
        <is>
          <t>Kommuner</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16028-2024</t>
        </is>
      </c>
      <c r="B293" t="inlineStr">
        <is>
          <t>avverkningsanmälan</t>
        </is>
      </c>
      <c r="C293" t="inlineStr">
        <is>
          <t>Föryngringsavverkning</t>
        </is>
      </c>
      <c r="D293" s="1" t="n">
        <v>45405</v>
      </c>
      <c r="E293" s="1" t="n">
        <v>46222</v>
      </c>
      <c r="F293" t="inlineStr">
        <is>
          <t>NORRBOTTENS LÄN</t>
        </is>
      </c>
      <c r="G293" t="inlineStr">
        <is>
          <t>ÖVERTORNEÅ</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19100-2026</t>
        </is>
      </c>
      <c r="B294" t="inlineStr">
        <is>
          <t>avverkningsanmälan</t>
        </is>
      </c>
      <c r="C294" t="inlineStr">
        <is>
          <t>Föryngringsavverkning</t>
        </is>
      </c>
      <c r="D294" s="1" t="n">
        <v>46132</v>
      </c>
      <c r="E294" s="1" t="n">
        <v>46222</v>
      </c>
      <c r="F294" t="inlineStr">
        <is>
          <t>NORRBOTTENS LÄN</t>
        </is>
      </c>
      <c r="G294" t="inlineStr">
        <is>
          <t>ÖVERTORNEÅ</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28927-2024</t>
        </is>
      </c>
      <c r="B295" t="inlineStr">
        <is>
          <t>avverkningsanmälan</t>
        </is>
      </c>
      <c r="C295" t="inlineStr">
        <is>
          <t>Föryngringsavverkning</t>
        </is>
      </c>
      <c r="D295" s="1" t="n">
        <v>45481</v>
      </c>
      <c r="E295" s="1" t="n">
        <v>46222</v>
      </c>
      <c r="F295" t="inlineStr">
        <is>
          <t>NORRBOTTENS LÄN</t>
        </is>
      </c>
      <c r="G295" t="inlineStr">
        <is>
          <t>ÖVERTORNEÅ</t>
        </is>
      </c>
      <c r="H295" t="inlineStr">
        <is>
          <t>Sveaskog</t>
        </is>
      </c>
      <c r="I295" t="n">
        <v>7.8</v>
      </c>
      <c r="J295" t="n">
        <v>0</v>
      </c>
      <c r="K295" t="n">
        <v>0</v>
      </c>
      <c r="L295" t="n">
        <v>0</v>
      </c>
      <c r="M295" t="n">
        <v>0</v>
      </c>
      <c r="N295" t="n">
        <v>0</v>
      </c>
      <c r="O295" t="n">
        <v>0</v>
      </c>
      <c r="P295" t="n">
        <v>0</v>
      </c>
      <c r="Q295" t="n">
        <v>0</v>
      </c>
      <c r="R295" t="n">
        <v>0</v>
      </c>
      <c r="S295" t="n">
        <v>0</v>
      </c>
      <c r="T295" t="n">
        <v>0</v>
      </c>
      <c r="U295" s="2" t="inlineStr"/>
    </row>
    <row r="296" ht="15" customHeight="1">
      <c r="A296" t="inlineStr">
        <is>
          <t>A 12653-2025</t>
        </is>
      </c>
      <c r="B296" t="inlineStr">
        <is>
          <t>avverkningsanmälan</t>
        </is>
      </c>
      <c r="C296" t="inlineStr">
        <is>
          <t>Föryngringsavverkning</t>
        </is>
      </c>
      <c r="D296" s="1" t="n">
        <v>45733</v>
      </c>
      <c r="E296" s="1" t="n">
        <v>46222</v>
      </c>
      <c r="F296" t="inlineStr">
        <is>
          <t>NORRBOTTENS LÄN</t>
        </is>
      </c>
      <c r="G296" t="inlineStr">
        <is>
          <t>ÖVERTORNEÅ</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33518-2023</t>
        </is>
      </c>
      <c r="B297" t="inlineStr">
        <is>
          <t>avverkningsanmälan</t>
        </is>
      </c>
      <c r="C297" t="inlineStr">
        <is>
          <t>Föryngringsavverkning</t>
        </is>
      </c>
      <c r="D297" s="1" t="n">
        <v>45118</v>
      </c>
      <c r="E297" s="1" t="n">
        <v>46222</v>
      </c>
      <c r="F297" t="inlineStr">
        <is>
          <t>NORRBOTTENS LÄN</t>
        </is>
      </c>
      <c r="G297" t="inlineStr">
        <is>
          <t>ÖVERTORNEÅ</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31827-2024</t>
        </is>
      </c>
      <c r="B298" t="inlineStr">
        <is>
          <t>avverkningsanmälan</t>
        </is>
      </c>
      <c r="C298" t="inlineStr">
        <is>
          <t>Föryngringsavverkning</t>
        </is>
      </c>
      <c r="D298" s="1" t="n">
        <v>45509</v>
      </c>
      <c r="E298" s="1" t="n">
        <v>46222</v>
      </c>
      <c r="F298" t="inlineStr">
        <is>
          <t>NORRBOTTENS LÄN</t>
        </is>
      </c>
      <c r="G298" t="inlineStr">
        <is>
          <t>ÖVERTORNEÅ</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59662-2024</t>
        </is>
      </c>
      <c r="B299" t="inlineStr">
        <is>
          <t>avverkningsanmälan</t>
        </is>
      </c>
      <c r="C299" t="inlineStr">
        <is>
          <t>Föryngringsavverkning</t>
        </is>
      </c>
      <c r="D299" s="1" t="n">
        <v>45639</v>
      </c>
      <c r="E299" s="1" t="n">
        <v>46222</v>
      </c>
      <c r="F299" t="inlineStr">
        <is>
          <t>NORRBOTTENS LÄN</t>
        </is>
      </c>
      <c r="G299" t="inlineStr">
        <is>
          <t>ÖVERTORNEÅ</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20129-2026</t>
        </is>
      </c>
      <c r="B300" t="inlineStr">
        <is>
          <t>avverkningsanmälan</t>
        </is>
      </c>
      <c r="C300" t="inlineStr">
        <is>
          <t>Föryngringsavverkning</t>
        </is>
      </c>
      <c r="D300" s="1" t="n">
        <v>46136</v>
      </c>
      <c r="E300" s="1" t="n">
        <v>46222</v>
      </c>
      <c r="F300" t="inlineStr">
        <is>
          <t>NORRBOTTENS LÄN</t>
        </is>
      </c>
      <c r="G300" t="inlineStr">
        <is>
          <t>ÖVERTORNEÅ</t>
        </is>
      </c>
      <c r="H300" t="inlineStr">
        <is>
          <t>Sveaskog</t>
        </is>
      </c>
      <c r="I300" t="n">
        <v>33.5</v>
      </c>
      <c r="J300" t="n">
        <v>0</v>
      </c>
      <c r="K300" t="n">
        <v>0</v>
      </c>
      <c r="L300" t="n">
        <v>0</v>
      </c>
      <c r="M300" t="n">
        <v>0</v>
      </c>
      <c r="N300" t="n">
        <v>0</v>
      </c>
      <c r="O300" t="n">
        <v>0</v>
      </c>
      <c r="P300" t="n">
        <v>0</v>
      </c>
      <c r="Q300" t="n">
        <v>0</v>
      </c>
      <c r="R300" t="n">
        <v>0</v>
      </c>
      <c r="S300" t="n">
        <v>0</v>
      </c>
      <c r="T300" t="n">
        <v>0</v>
      </c>
      <c r="U300" s="2" t="inlineStr"/>
    </row>
    <row r="301" ht="15" customHeight="1">
      <c r="A301" t="inlineStr">
        <is>
          <t>A 57111-2024</t>
        </is>
      </c>
      <c r="B301" t="inlineStr">
        <is>
          <t>avverkningsanmälan</t>
        </is>
      </c>
      <c r="C301" t="inlineStr">
        <is>
          <t>Föryngringsavverkning</t>
        </is>
      </c>
      <c r="D301" s="1" t="n">
        <v>45629</v>
      </c>
      <c r="E301" s="1" t="n">
        <v>46222</v>
      </c>
      <c r="F301" t="inlineStr">
        <is>
          <t>NORRBOTTENS LÄN</t>
        </is>
      </c>
      <c r="G301" t="inlineStr">
        <is>
          <t>ÖVERTORNEÅ</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46032-2021</t>
        </is>
      </c>
      <c r="B302" t="inlineStr">
        <is>
          <t>avverkningsanmälan</t>
        </is>
      </c>
      <c r="C302" t="inlineStr">
        <is>
          <t>Föryngringsavverkning</t>
        </is>
      </c>
      <c r="D302" s="1" t="n">
        <v>44441</v>
      </c>
      <c r="E302" s="1" t="n">
        <v>46222</v>
      </c>
      <c r="F302" t="inlineStr">
        <is>
          <t>NORRBOTTENS LÄN</t>
        </is>
      </c>
      <c r="G302" t="inlineStr">
        <is>
          <t>ÖVERTORNEÅ</t>
        </is>
      </c>
      <c r="I302" t="n">
        <v>6</v>
      </c>
      <c r="J302" t="n">
        <v>0</v>
      </c>
      <c r="K302" t="n">
        <v>0</v>
      </c>
      <c r="L302" t="n">
        <v>0</v>
      </c>
      <c r="M302" t="n">
        <v>0</v>
      </c>
      <c r="N302" t="n">
        <v>0</v>
      </c>
      <c r="O302" t="n">
        <v>0</v>
      </c>
      <c r="P302" t="n">
        <v>0</v>
      </c>
      <c r="Q302" t="n">
        <v>0</v>
      </c>
      <c r="R302" t="n">
        <v>0</v>
      </c>
      <c r="S302" t="n">
        <v>0</v>
      </c>
      <c r="T302" t="n">
        <v>0</v>
      </c>
      <c r="U302" s="2" t="inlineStr"/>
    </row>
    <row r="303" ht="15" customHeight="1">
      <c r="A303" t="inlineStr">
        <is>
          <t>A 23259-2024</t>
        </is>
      </c>
      <c r="B303" t="inlineStr">
        <is>
          <t>avverkningsanmälan</t>
        </is>
      </c>
      <c r="C303" t="inlineStr">
        <is>
          <t>Föryngringsavverkning</t>
        </is>
      </c>
      <c r="D303" s="1" t="n">
        <v>45453</v>
      </c>
      <c r="E303" s="1" t="n">
        <v>46222</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74228-2021</t>
        </is>
      </c>
      <c r="B304" t="inlineStr">
        <is>
          <t>avverkningsanmälan</t>
        </is>
      </c>
      <c r="C304" t="inlineStr">
        <is>
          <t>Föryngringsavverkning</t>
        </is>
      </c>
      <c r="D304" s="1" t="n">
        <v>44553</v>
      </c>
      <c r="E304" s="1" t="n">
        <v>46222</v>
      </c>
      <c r="F304" t="inlineStr">
        <is>
          <t>NORRBOTTENS LÄN</t>
        </is>
      </c>
      <c r="G304" t="inlineStr">
        <is>
          <t>ÖVERTORNEÅ</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11622-2025</t>
        </is>
      </c>
      <c r="B305" t="inlineStr">
        <is>
          <t>avverkningsanmälan</t>
        </is>
      </c>
      <c r="C305" t="inlineStr">
        <is>
          <t>Föryngringsavverkning</t>
        </is>
      </c>
      <c r="D305" s="1" t="n">
        <v>45727</v>
      </c>
      <c r="E305" s="1" t="n">
        <v>46222</v>
      </c>
      <c r="F305" t="inlineStr">
        <is>
          <t>NORRBOTTENS LÄN</t>
        </is>
      </c>
      <c r="G305" t="inlineStr">
        <is>
          <t>ÖVERTORNEÅ</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26156-2026</t>
        </is>
      </c>
      <c r="B306" t="inlineStr">
        <is>
          <t>avverkningsanmälan</t>
        </is>
      </c>
      <c r="C306" t="inlineStr">
        <is>
          <t>Avverkning för annat ändamål</t>
        </is>
      </c>
      <c r="D306" s="1" t="n">
        <v>46181</v>
      </c>
      <c r="E306" s="1" t="n">
        <v>46222</v>
      </c>
      <c r="F306" t="inlineStr">
        <is>
          <t>NORRBOTTENS LÄN</t>
        </is>
      </c>
      <c r="G306" t="inlineStr">
        <is>
          <t>ÖVERTORNEÅ</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26154-2026</t>
        </is>
      </c>
      <c r="B307" t="inlineStr">
        <is>
          <t>avverkningsanmälan</t>
        </is>
      </c>
      <c r="C307" t="inlineStr">
        <is>
          <t>Avverkning för annat ändamål</t>
        </is>
      </c>
      <c r="D307" s="1" t="n">
        <v>46181</v>
      </c>
      <c r="E307" s="1" t="n">
        <v>46222</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55545-2024</t>
        </is>
      </c>
      <c r="B308" t="inlineStr">
        <is>
          <t>avverkningsanmälan</t>
        </is>
      </c>
      <c r="C308" t="inlineStr">
        <is>
          <t>Föryngringsavverkning</t>
        </is>
      </c>
      <c r="D308" s="1" t="n">
        <v>45622</v>
      </c>
      <c r="E308" s="1" t="n">
        <v>46222</v>
      </c>
      <c r="F308" t="inlineStr">
        <is>
          <t>NORRBOTTENS LÄN</t>
        </is>
      </c>
      <c r="G308" t="inlineStr">
        <is>
          <t>ÖVERTORNEÅ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47475-2023</t>
        </is>
      </c>
      <c r="B309" t="inlineStr">
        <is>
          <t>avverkningsanmälan</t>
        </is>
      </c>
      <c r="C309" t="inlineStr">
        <is>
          <t>Föryngringsavverkning</t>
        </is>
      </c>
      <c r="D309" s="1" t="n">
        <v>45202</v>
      </c>
      <c r="E309" s="1" t="n">
        <v>46222</v>
      </c>
      <c r="F309" t="inlineStr">
        <is>
          <t>NORRBOTTENS LÄN</t>
        </is>
      </c>
      <c r="G309" t="inlineStr">
        <is>
          <t>ÖVERTORNEÅ</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5095-2025</t>
        </is>
      </c>
      <c r="B310" t="inlineStr">
        <is>
          <t>avverkningsanmälan</t>
        </is>
      </c>
      <c r="C310" t="inlineStr">
        <is>
          <t>Avverkning för annat ändamål</t>
        </is>
      </c>
      <c r="D310" s="1" t="n">
        <v>45691</v>
      </c>
      <c r="E310" s="1" t="n">
        <v>46222</v>
      </c>
      <c r="F310" t="inlineStr">
        <is>
          <t>NORRBOTTENS LÄN</t>
        </is>
      </c>
      <c r="G310" t="inlineStr">
        <is>
          <t>ÖVERTORNEÅ</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55245-2024</t>
        </is>
      </c>
      <c r="B311" t="inlineStr">
        <is>
          <t>avverkningsanmälan</t>
        </is>
      </c>
      <c r="C311" t="inlineStr">
        <is>
          <t>Föryngringsavverkning</t>
        </is>
      </c>
      <c r="D311" s="1" t="n">
        <v>45621</v>
      </c>
      <c r="E311" s="1" t="n">
        <v>46222</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6935-2026</t>
        </is>
      </c>
      <c r="B312" t="inlineStr">
        <is>
          <t>avverkningsanmälan</t>
        </is>
      </c>
      <c r="C312" t="inlineStr">
        <is>
          <t>Föryngringsavverkning</t>
        </is>
      </c>
      <c r="D312" s="1" t="n">
        <v>46057</v>
      </c>
      <c r="E312" s="1" t="n">
        <v>46222</v>
      </c>
      <c r="F312" t="inlineStr">
        <is>
          <t>NORRBOTTENS LÄN</t>
        </is>
      </c>
      <c r="G312" t="inlineStr">
        <is>
          <t>ÖVERTORNEÅ</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11972-2024</t>
        </is>
      </c>
      <c r="B313" t="inlineStr">
        <is>
          <t>avverkningsanmälan</t>
        </is>
      </c>
      <c r="C313" t="inlineStr">
        <is>
          <t>Föryngringsavverkning</t>
        </is>
      </c>
      <c r="D313" s="1" t="n">
        <v>45376</v>
      </c>
      <c r="E313" s="1" t="n">
        <v>46222</v>
      </c>
      <c r="F313" t="inlineStr">
        <is>
          <t>NORRBOTTENS LÄN</t>
        </is>
      </c>
      <c r="G313" t="inlineStr">
        <is>
          <t>ÖVERTORNEÅ</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11831-2022</t>
        </is>
      </c>
      <c r="B314" t="inlineStr">
        <is>
          <t>avverkningsanmälan</t>
        </is>
      </c>
      <c r="C314" t="inlineStr">
        <is>
          <t>Föryngringsavverkning</t>
        </is>
      </c>
      <c r="D314" s="1" t="n">
        <v>44634</v>
      </c>
      <c r="E314" s="1" t="n">
        <v>46222</v>
      </c>
      <c r="F314" t="inlineStr">
        <is>
          <t>NORRBOTTENS LÄN</t>
        </is>
      </c>
      <c r="G314" t="inlineStr">
        <is>
          <t>ÖVERTORNEÅ</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46644-2023</t>
        </is>
      </c>
      <c r="B315" t="inlineStr">
        <is>
          <t>avverkningsanmälan</t>
        </is>
      </c>
      <c r="C315" t="inlineStr">
        <is>
          <t>Föryngringsavverkning</t>
        </is>
      </c>
      <c r="D315" s="1" t="n">
        <v>45194</v>
      </c>
      <c r="E315" s="1" t="n">
        <v>46222</v>
      </c>
      <c r="F315" t="inlineStr">
        <is>
          <t>NORRBOTTENS LÄN</t>
        </is>
      </c>
      <c r="G315" t="inlineStr">
        <is>
          <t>ÖVERTORNEÅ</t>
        </is>
      </c>
      <c r="I315" t="n">
        <v>5.3</v>
      </c>
      <c r="J315" t="n">
        <v>0</v>
      </c>
      <c r="K315" t="n">
        <v>0</v>
      </c>
      <c r="L315" t="n">
        <v>0</v>
      </c>
      <c r="M315" t="n">
        <v>0</v>
      </c>
      <c r="N315" t="n">
        <v>0</v>
      </c>
      <c r="O315" t="n">
        <v>0</v>
      </c>
      <c r="P315" t="n">
        <v>0</v>
      </c>
      <c r="Q315" t="n">
        <v>0</v>
      </c>
      <c r="R315" t="n">
        <v>0</v>
      </c>
      <c r="S315" t="n">
        <v>0</v>
      </c>
      <c r="T315" t="n">
        <v>0</v>
      </c>
      <c r="U315" s="2" t="inlineStr"/>
    </row>
    <row r="316" ht="15" customHeight="1">
      <c r="A316" t="inlineStr">
        <is>
          <t>A 63465-2025</t>
        </is>
      </c>
      <c r="B316" t="inlineStr">
        <is>
          <t>avverkningsanmälan</t>
        </is>
      </c>
      <c r="C316" t="inlineStr">
        <is>
          <t>Föryngringsavverkning</t>
        </is>
      </c>
      <c r="D316" s="1" t="n">
        <v>46013</v>
      </c>
      <c r="E316" s="1" t="n">
        <v>46222</v>
      </c>
      <c r="F316" t="inlineStr">
        <is>
          <t>NORRBOTTENS LÄN</t>
        </is>
      </c>
      <c r="G316" t="inlineStr">
        <is>
          <t>ÖVERTORNEÅ</t>
        </is>
      </c>
      <c r="I316" t="n">
        <v>12.7</v>
      </c>
      <c r="J316" t="n">
        <v>0</v>
      </c>
      <c r="K316" t="n">
        <v>0</v>
      </c>
      <c r="L316" t="n">
        <v>0</v>
      </c>
      <c r="M316" t="n">
        <v>0</v>
      </c>
      <c r="N316" t="n">
        <v>0</v>
      </c>
      <c r="O316" t="n">
        <v>0</v>
      </c>
      <c r="P316" t="n">
        <v>0</v>
      </c>
      <c r="Q316" t="n">
        <v>0</v>
      </c>
      <c r="R316" t="n">
        <v>0</v>
      </c>
      <c r="S316" t="n">
        <v>0</v>
      </c>
      <c r="T316" t="n">
        <v>0</v>
      </c>
      <c r="U316" s="2" t="inlineStr"/>
    </row>
    <row r="317" ht="15" customHeight="1">
      <c r="A317" t="inlineStr">
        <is>
          <t>A 24647-2024</t>
        </is>
      </c>
      <c r="B317" t="inlineStr">
        <is>
          <t>avverkningsanmälan</t>
        </is>
      </c>
      <c r="C317" t="inlineStr">
        <is>
          <t>Föryngringsavverkning</t>
        </is>
      </c>
      <c r="D317" s="1" t="n">
        <v>45460</v>
      </c>
      <c r="E317" s="1" t="n">
        <v>46222</v>
      </c>
      <c r="F317" t="inlineStr">
        <is>
          <t>NORRBOTTENS LÄN</t>
        </is>
      </c>
      <c r="G317" t="inlineStr">
        <is>
          <t>ÖVERTORNEÅ</t>
        </is>
      </c>
      <c r="H317" t="inlineStr">
        <is>
          <t>Sveaskog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20516-2026</t>
        </is>
      </c>
      <c r="B318" t="inlineStr">
        <is>
          <t>avverkningsanmälan</t>
        </is>
      </c>
      <c r="C318" t="inlineStr">
        <is>
          <t>Föryngringsavverkning</t>
        </is>
      </c>
      <c r="D318" s="1" t="n">
        <v>46140</v>
      </c>
      <c r="E318" s="1" t="n">
        <v>46222</v>
      </c>
      <c r="F318" t="inlineStr">
        <is>
          <t>NORRBOTTENS LÄN</t>
        </is>
      </c>
      <c r="G318" t="inlineStr">
        <is>
          <t>ÖVERTORNEÅ</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32741-2024</t>
        </is>
      </c>
      <c r="B319" t="inlineStr">
        <is>
          <t>avverkningsanmälan</t>
        </is>
      </c>
      <c r="C319" t="inlineStr">
        <is>
          <t>Föryngringsavverkning</t>
        </is>
      </c>
      <c r="D319" s="1" t="n">
        <v>45516</v>
      </c>
      <c r="E319" s="1" t="n">
        <v>46222</v>
      </c>
      <c r="F319" t="inlineStr">
        <is>
          <t>NORRBOTTENS LÄN</t>
        </is>
      </c>
      <c r="G319" t="inlineStr">
        <is>
          <t>ÖVERTORNEÅ</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20537-2026</t>
        </is>
      </c>
      <c r="B320" t="inlineStr">
        <is>
          <t>avverkningsanmälan</t>
        </is>
      </c>
      <c r="C320" t="inlineStr">
        <is>
          <t>Föryngringsavverkning</t>
        </is>
      </c>
      <c r="D320" s="1" t="n">
        <v>46140</v>
      </c>
      <c r="E320" s="1" t="n">
        <v>46222</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21316-2026</t>
        </is>
      </c>
      <c r="B321" t="inlineStr">
        <is>
          <t>avverkningsanmälan</t>
        </is>
      </c>
      <c r="C321" t="inlineStr">
        <is>
          <t>Föryngringsavverkning</t>
        </is>
      </c>
      <c r="D321" s="1" t="n">
        <v>46142</v>
      </c>
      <c r="E321" s="1" t="n">
        <v>46222</v>
      </c>
      <c r="F321" t="inlineStr">
        <is>
          <t>NORRBOTTENS LÄN</t>
        </is>
      </c>
      <c r="G321" t="inlineStr">
        <is>
          <t>ÖVERTORNEÅ</t>
        </is>
      </c>
      <c r="I321" t="n">
        <v>10.7</v>
      </c>
      <c r="J321" t="n">
        <v>0</v>
      </c>
      <c r="K321" t="n">
        <v>0</v>
      </c>
      <c r="L321" t="n">
        <v>0</v>
      </c>
      <c r="M321" t="n">
        <v>0</v>
      </c>
      <c r="N321" t="n">
        <v>0</v>
      </c>
      <c r="O321" t="n">
        <v>0</v>
      </c>
      <c r="P321" t="n">
        <v>0</v>
      </c>
      <c r="Q321" t="n">
        <v>0</v>
      </c>
      <c r="R321" t="n">
        <v>0</v>
      </c>
      <c r="S321" t="n">
        <v>0</v>
      </c>
      <c r="T321" t="n">
        <v>0</v>
      </c>
      <c r="U321" s="2" t="inlineStr"/>
    </row>
    <row r="322" ht="15" customHeight="1">
      <c r="A322" t="inlineStr">
        <is>
          <t>A 26372-2026</t>
        </is>
      </c>
      <c r="B322" t="inlineStr">
        <is>
          <t>avverkningsanmälan</t>
        </is>
      </c>
      <c r="C322" t="inlineStr">
        <is>
          <t>Föryngringsavverkning</t>
        </is>
      </c>
      <c r="D322" s="1" t="n">
        <v>46183</v>
      </c>
      <c r="E322" s="1" t="n">
        <v>46222</v>
      </c>
      <c r="F322" t="inlineStr">
        <is>
          <t>NORRBOTTENS LÄN</t>
        </is>
      </c>
      <c r="G322" t="inlineStr">
        <is>
          <t>ÖVERTORNEÅ</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19358-2022</t>
        </is>
      </c>
      <c r="B323" t="inlineStr">
        <is>
          <t>avverkningsanmälan</t>
        </is>
      </c>
      <c r="C323" t="inlineStr">
        <is>
          <t>Avverkning för annat ändamål</t>
        </is>
      </c>
      <c r="D323" s="1" t="n">
        <v>44692</v>
      </c>
      <c r="E323" s="1" t="n">
        <v>46222</v>
      </c>
      <c r="F323" t="inlineStr">
        <is>
          <t>NORRBOTTENS LÄN</t>
        </is>
      </c>
      <c r="G323" t="inlineStr">
        <is>
          <t>ÖVERTORNEÅ</t>
        </is>
      </c>
      <c r="H323" t="inlineStr">
        <is>
          <t>Sveaskog</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25149-2022</t>
        </is>
      </c>
      <c r="B324" t="inlineStr">
        <is>
          <t>avverkningsanmälan</t>
        </is>
      </c>
      <c r="C324" t="inlineStr">
        <is>
          <t>Föryngringsavverkning</t>
        </is>
      </c>
      <c r="D324" s="1" t="n">
        <v>44729</v>
      </c>
      <c r="E324" s="1" t="n">
        <v>46222</v>
      </c>
      <c r="F324" t="inlineStr">
        <is>
          <t>NORRBOTTENS LÄN</t>
        </is>
      </c>
      <c r="G324" t="inlineStr">
        <is>
          <t>ÖVERTORNEÅ</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6423-2025</t>
        </is>
      </c>
      <c r="B325" t="inlineStr">
        <is>
          <t>avverkningsanmälan</t>
        </is>
      </c>
      <c r="C325" t="inlineStr">
        <is>
          <t>Föryngringsavverkning</t>
        </is>
      </c>
      <c r="D325" s="1" t="n">
        <v>45699</v>
      </c>
      <c r="E325" s="1" t="n">
        <v>46222</v>
      </c>
      <c r="F325" t="inlineStr">
        <is>
          <t>NORRBOTTENS LÄN</t>
        </is>
      </c>
      <c r="G325" t="inlineStr">
        <is>
          <t>ÖVERTORNEÅ</t>
        </is>
      </c>
      <c r="I325" t="n">
        <v>16.5</v>
      </c>
      <c r="J325" t="n">
        <v>0</v>
      </c>
      <c r="K325" t="n">
        <v>0</v>
      </c>
      <c r="L325" t="n">
        <v>0</v>
      </c>
      <c r="M325" t="n">
        <v>0</v>
      </c>
      <c r="N325" t="n">
        <v>0</v>
      </c>
      <c r="O325" t="n">
        <v>0</v>
      </c>
      <c r="P325" t="n">
        <v>0</v>
      </c>
      <c r="Q325" t="n">
        <v>0</v>
      </c>
      <c r="R325" t="n">
        <v>0</v>
      </c>
      <c r="S325" t="n">
        <v>0</v>
      </c>
      <c r="T325" t="n">
        <v>0</v>
      </c>
      <c r="U325" s="2" t="inlineStr"/>
    </row>
    <row r="326" ht="15" customHeight="1">
      <c r="A326" t="inlineStr">
        <is>
          <t>A 16471-2022</t>
        </is>
      </c>
      <c r="B326" t="inlineStr">
        <is>
          <t>avverkningsanmälan</t>
        </is>
      </c>
      <c r="C326" t="inlineStr">
        <is>
          <t>Föryngringsavverkning</t>
        </is>
      </c>
      <c r="D326" s="1" t="n">
        <v>44671</v>
      </c>
      <c r="E326" s="1" t="n">
        <v>46222</v>
      </c>
      <c r="F326" t="inlineStr">
        <is>
          <t>NORRBOTTENS LÄN</t>
        </is>
      </c>
      <c r="G326" t="inlineStr">
        <is>
          <t>ÖVERTORNEÅ</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16566-2022</t>
        </is>
      </c>
      <c r="B327" t="inlineStr">
        <is>
          <t>avverkningsanmälan</t>
        </is>
      </c>
      <c r="C327" t="inlineStr">
        <is>
          <t>Avverkning för annat ändamål</t>
        </is>
      </c>
      <c r="D327" s="1" t="n">
        <v>44672</v>
      </c>
      <c r="E327" s="1" t="n">
        <v>46222</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26615-2026</t>
        </is>
      </c>
      <c r="B328" t="inlineStr">
        <is>
          <t>avverkningsanmälan</t>
        </is>
      </c>
      <c r="C328" t="inlineStr">
        <is>
          <t>Föryngringsavverkning</t>
        </is>
      </c>
      <c r="D328" s="1" t="n">
        <v>46184</v>
      </c>
      <c r="E328" s="1" t="n">
        <v>46222</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20645-2026</t>
        </is>
      </c>
      <c r="B329" t="inlineStr">
        <is>
          <t>avverkningsanmälan</t>
        </is>
      </c>
      <c r="C329" t="inlineStr">
        <is>
          <t>Föryngringsavverkning</t>
        </is>
      </c>
      <c r="D329" s="1" t="n">
        <v>46141</v>
      </c>
      <c r="E329" s="1" t="n">
        <v>46222</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s="2" t="inlineStr"/>
    </row>
    <row r="330" ht="15" customHeight="1">
      <c r="A330" t="inlineStr">
        <is>
          <t>A 38500-2021</t>
        </is>
      </c>
      <c r="B330" t="inlineStr">
        <is>
          <t>avverkningsanmälan</t>
        </is>
      </c>
      <c r="C330" t="inlineStr">
        <is>
          <t>Föryngringsavverkning</t>
        </is>
      </c>
      <c r="D330" s="1" t="n">
        <v>44406</v>
      </c>
      <c r="E330" s="1" t="n">
        <v>46222</v>
      </c>
      <c r="F330" t="inlineStr">
        <is>
          <t>NORRBOTTENS LÄN</t>
        </is>
      </c>
      <c r="G330" t="inlineStr">
        <is>
          <t>ÖVERTORNEÅ</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1575-2026</t>
        </is>
      </c>
      <c r="B331" t="inlineStr">
        <is>
          <t>avverkningsanmälan</t>
        </is>
      </c>
      <c r="C331" t="inlineStr">
        <is>
          <t>Föryngringsavverkning</t>
        </is>
      </c>
      <c r="D331" s="1" t="n">
        <v>46034</v>
      </c>
      <c r="E331" s="1" t="n">
        <v>46222</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28658-2022</t>
        </is>
      </c>
      <c r="B332" t="inlineStr">
        <is>
          <t>avverkningsanmälan</t>
        </is>
      </c>
      <c r="C332" t="inlineStr">
        <is>
          <t>Föryngringsavverkning</t>
        </is>
      </c>
      <c r="D332" s="1" t="n">
        <v>44748</v>
      </c>
      <c r="E332" s="1" t="n">
        <v>46222</v>
      </c>
      <c r="F332" t="inlineStr">
        <is>
          <t>NORRBOTTENS LÄN</t>
        </is>
      </c>
      <c r="G332" t="inlineStr">
        <is>
          <t>ÖVERTORNEÅ</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63475-2023</t>
        </is>
      </c>
      <c r="B333" t="inlineStr">
        <is>
          <t>avverkningsanmälan</t>
        </is>
      </c>
      <c r="C333" t="inlineStr">
        <is>
          <t>Föryngringsavverkning</t>
        </is>
      </c>
      <c r="D333" s="1" t="n">
        <v>45274</v>
      </c>
      <c r="E333" s="1" t="n">
        <v>46222</v>
      </c>
      <c r="F333" t="inlineStr">
        <is>
          <t>NORRBOTTENS LÄN</t>
        </is>
      </c>
      <c r="G333" t="inlineStr">
        <is>
          <t>ÖVERTORNEÅ</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26716-2026</t>
        </is>
      </c>
      <c r="B334" t="inlineStr">
        <is>
          <t>avverkningsanmälan</t>
        </is>
      </c>
      <c r="C334" t="inlineStr">
        <is>
          <t>Föryngringsavverkning</t>
        </is>
      </c>
      <c r="D334" s="1" t="n">
        <v>46184</v>
      </c>
      <c r="E334" s="1" t="n">
        <v>46222</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27012-2026</t>
        </is>
      </c>
      <c r="B335" t="inlineStr">
        <is>
          <t>avverkningsanmälan</t>
        </is>
      </c>
      <c r="C335" t="inlineStr">
        <is>
          <t>Föryngringsavverkning</t>
        </is>
      </c>
      <c r="D335" s="1" t="n">
        <v>46185</v>
      </c>
      <c r="E335" s="1" t="n">
        <v>46222</v>
      </c>
      <c r="F335" t="inlineStr">
        <is>
          <t>NORRBOTTENS LÄN</t>
        </is>
      </c>
      <c r="G335" t="inlineStr">
        <is>
          <t>ÖVERTORNEÅ</t>
        </is>
      </c>
      <c r="I335" t="n">
        <v>22.7</v>
      </c>
      <c r="J335" t="n">
        <v>0</v>
      </c>
      <c r="K335" t="n">
        <v>0</v>
      </c>
      <c r="L335" t="n">
        <v>0</v>
      </c>
      <c r="M335" t="n">
        <v>0</v>
      </c>
      <c r="N335" t="n">
        <v>0</v>
      </c>
      <c r="O335" t="n">
        <v>0</v>
      </c>
      <c r="P335" t="n">
        <v>0</v>
      </c>
      <c r="Q335" t="n">
        <v>0</v>
      </c>
      <c r="R335" t="n">
        <v>0</v>
      </c>
      <c r="S335" t="n">
        <v>0</v>
      </c>
      <c r="T335" t="n">
        <v>0</v>
      </c>
      <c r="U335" s="2" t="inlineStr"/>
    </row>
    <row r="336" ht="15" customHeight="1">
      <c r="A336" t="inlineStr">
        <is>
          <t>A 24644-2024</t>
        </is>
      </c>
      <c r="B336" t="inlineStr">
        <is>
          <t>avverkningsanmälan</t>
        </is>
      </c>
      <c r="C336" t="inlineStr">
        <is>
          <t>Föryngringsavverkning</t>
        </is>
      </c>
      <c r="D336" s="1" t="n">
        <v>45460</v>
      </c>
      <c r="E336" s="1" t="n">
        <v>46222</v>
      </c>
      <c r="F336" t="inlineStr">
        <is>
          <t>NORRBOTTENS LÄN</t>
        </is>
      </c>
      <c r="G336" t="inlineStr">
        <is>
          <t>ÖVERTORNEÅ</t>
        </is>
      </c>
      <c r="H336" t="inlineStr">
        <is>
          <t>Sveaskog</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27015-2026</t>
        </is>
      </c>
      <c r="B337" t="inlineStr">
        <is>
          <t>avverkningsanmälan</t>
        </is>
      </c>
      <c r="C337" t="inlineStr">
        <is>
          <t>Föryngringsavverkning</t>
        </is>
      </c>
      <c r="D337" s="1" t="n">
        <v>46185</v>
      </c>
      <c r="E337" s="1" t="n">
        <v>46222</v>
      </c>
      <c r="F337" t="inlineStr">
        <is>
          <t>NORRBOTTENS LÄN</t>
        </is>
      </c>
      <c r="G337" t="inlineStr">
        <is>
          <t>ÖVERTORNEÅ</t>
        </is>
      </c>
      <c r="I337" t="n">
        <v>10.6</v>
      </c>
      <c r="J337" t="n">
        <v>0</v>
      </c>
      <c r="K337" t="n">
        <v>0</v>
      </c>
      <c r="L337" t="n">
        <v>0</v>
      </c>
      <c r="M337" t="n">
        <v>0</v>
      </c>
      <c r="N337" t="n">
        <v>0</v>
      </c>
      <c r="O337" t="n">
        <v>0</v>
      </c>
      <c r="P337" t="n">
        <v>0</v>
      </c>
      <c r="Q337" t="n">
        <v>0</v>
      </c>
      <c r="R337" t="n">
        <v>0</v>
      </c>
      <c r="S337" t="n">
        <v>0</v>
      </c>
      <c r="T337" t="n">
        <v>0</v>
      </c>
      <c r="U337" s="2" t="inlineStr"/>
    </row>
    <row r="338" ht="15" customHeight="1">
      <c r="A338" t="inlineStr">
        <is>
          <t>A 26272-2026</t>
        </is>
      </c>
      <c r="B338" t="inlineStr">
        <is>
          <t>avverkningsanmälan</t>
        </is>
      </c>
      <c r="C338" t="inlineStr">
        <is>
          <t>Föryngringsavverkning</t>
        </is>
      </c>
      <c r="D338" s="1" t="n">
        <v>46182</v>
      </c>
      <c r="E338" s="1" t="n">
        <v>46222</v>
      </c>
      <c r="F338" t="inlineStr">
        <is>
          <t>NORRBOTTENS LÄN</t>
        </is>
      </c>
      <c r="G338" t="inlineStr">
        <is>
          <t>ÖVERTORNEÅ</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27678-2026</t>
        </is>
      </c>
      <c r="B339" t="inlineStr">
        <is>
          <t>avverkningsanmälan</t>
        </is>
      </c>
      <c r="C339" t="inlineStr">
        <is>
          <t>Föryngringsavverkning</t>
        </is>
      </c>
      <c r="D339" s="1" t="n">
        <v>46190</v>
      </c>
      <c r="E339" s="1" t="n">
        <v>46222</v>
      </c>
      <c r="F339" t="inlineStr">
        <is>
          <t>NORRBOTTENS LÄN</t>
        </is>
      </c>
      <c r="G339" t="inlineStr">
        <is>
          <t>ÖVERTORNEÅ</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35218-2022</t>
        </is>
      </c>
      <c r="B340" t="inlineStr">
        <is>
          <t>avverkningsanmälan</t>
        </is>
      </c>
      <c r="C340" t="inlineStr">
        <is>
          <t>Föryngringsavverkning</t>
        </is>
      </c>
      <c r="D340" s="1" t="n">
        <v>44797</v>
      </c>
      <c r="E340" s="1" t="n">
        <v>46222</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23196-2024</t>
        </is>
      </c>
      <c r="B341" t="inlineStr">
        <is>
          <t>avverkningsanmälan</t>
        </is>
      </c>
      <c r="C341" t="inlineStr">
        <is>
          <t>Föryngringsavverkning</t>
        </is>
      </c>
      <c r="D341" s="1" t="n">
        <v>45451</v>
      </c>
      <c r="E341" s="1" t="n">
        <v>46222</v>
      </c>
      <c r="F341" t="inlineStr">
        <is>
          <t>NORRBOTTENS LÄN</t>
        </is>
      </c>
      <c r="G341" t="inlineStr">
        <is>
          <t>ÖVERTORNEÅ</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46026-2021</t>
        </is>
      </c>
      <c r="B342" t="inlineStr">
        <is>
          <t>avverkningsanmälan</t>
        </is>
      </c>
      <c r="C342" t="inlineStr">
        <is>
          <t>Föryngringsavverkning</t>
        </is>
      </c>
      <c r="D342" s="1" t="n">
        <v>44441</v>
      </c>
      <c r="E342" s="1" t="n">
        <v>46222</v>
      </c>
      <c r="F342" t="inlineStr">
        <is>
          <t>NORRBOTTENS LÄN</t>
        </is>
      </c>
      <c r="G342" t="inlineStr">
        <is>
          <t>ÖVERTORNEÅ</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46035-2021</t>
        </is>
      </c>
      <c r="B343" t="inlineStr">
        <is>
          <t>avverkningsanmälan</t>
        </is>
      </c>
      <c r="C343" t="inlineStr">
        <is>
          <t>Föryngringsavverkning</t>
        </is>
      </c>
      <c r="D343" s="1" t="n">
        <v>44441</v>
      </c>
      <c r="E343" s="1" t="n">
        <v>46222</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14591-2024</t>
        </is>
      </c>
      <c r="B344" t="inlineStr">
        <is>
          <t>avverkningsanmälan</t>
        </is>
      </c>
      <c r="C344" t="inlineStr">
        <is>
          <t>Föryngringsavverkning</t>
        </is>
      </c>
      <c r="D344" s="1" t="n">
        <v>45395</v>
      </c>
      <c r="E344" s="1" t="n">
        <v>46222</v>
      </c>
      <c r="F344" t="inlineStr">
        <is>
          <t>NORRBOTTENS LÄN</t>
        </is>
      </c>
      <c r="G344" t="inlineStr">
        <is>
          <t>ÖVERTORNEÅ</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15201-2023</t>
        </is>
      </c>
      <c r="B345" t="inlineStr">
        <is>
          <t>avverkningsanmälan</t>
        </is>
      </c>
      <c r="C345" t="inlineStr">
        <is>
          <t>Föryngringsavverkning</t>
        </is>
      </c>
      <c r="D345" s="1" t="n">
        <v>45017</v>
      </c>
      <c r="E345" s="1" t="n">
        <v>46222</v>
      </c>
      <c r="F345" t="inlineStr">
        <is>
          <t>NORRBOTTENS LÄN</t>
        </is>
      </c>
      <c r="G345" t="inlineStr">
        <is>
          <t>ÖVERTORNEÅ</t>
        </is>
      </c>
      <c r="I345" t="n">
        <v>6.9</v>
      </c>
      <c r="J345" t="n">
        <v>0</v>
      </c>
      <c r="K345" t="n">
        <v>0</v>
      </c>
      <c r="L345" t="n">
        <v>0</v>
      </c>
      <c r="M345" t="n">
        <v>0</v>
      </c>
      <c r="N345" t="n">
        <v>0</v>
      </c>
      <c r="O345" t="n">
        <v>0</v>
      </c>
      <c r="P345" t="n">
        <v>0</v>
      </c>
      <c r="Q345" t="n">
        <v>0</v>
      </c>
      <c r="R345" t="n">
        <v>0</v>
      </c>
      <c r="S345" t="n">
        <v>0</v>
      </c>
      <c r="T345" t="n">
        <v>0</v>
      </c>
      <c r="U345" s="2" t="inlineStr"/>
    </row>
    <row r="346" ht="15" customHeight="1">
      <c r="A346" t="inlineStr">
        <is>
          <t>A 39775-2023</t>
        </is>
      </c>
      <c r="B346" t="inlineStr">
        <is>
          <t>avverkningsanmälan</t>
        </is>
      </c>
      <c r="C346" t="inlineStr">
        <is>
          <t>Avverkning för annat ändamål</t>
        </is>
      </c>
      <c r="D346" s="1" t="n">
        <v>45167</v>
      </c>
      <c r="E346" s="1" t="n">
        <v>46222</v>
      </c>
      <c r="F346" t="inlineStr">
        <is>
          <t>NORRBOTTENS LÄN</t>
        </is>
      </c>
      <c r="G346" t="inlineStr">
        <is>
          <t>ÖVERTORNEÅ</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34142-2023</t>
        </is>
      </c>
      <c r="B347" t="inlineStr">
        <is>
          <t>avverkningsanmälan</t>
        </is>
      </c>
      <c r="C347" t="inlineStr">
        <is>
          <t>Föryngringsavverkning</t>
        </is>
      </c>
      <c r="D347" s="1" t="n">
        <v>45136</v>
      </c>
      <c r="E347" s="1" t="n">
        <v>46222</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s="2" t="inlineStr"/>
    </row>
    <row r="348" ht="15" customHeight="1">
      <c r="A348" t="inlineStr">
        <is>
          <t>A 23014-2024</t>
        </is>
      </c>
      <c r="B348" t="inlineStr">
        <is>
          <t>avverkningsanmälan</t>
        </is>
      </c>
      <c r="C348" t="inlineStr">
        <is>
          <t>Föryngringsavverkning</t>
        </is>
      </c>
      <c r="D348" s="1" t="n">
        <v>45449</v>
      </c>
      <c r="E348" s="1" t="n">
        <v>46222</v>
      </c>
      <c r="F348" t="inlineStr">
        <is>
          <t>NORRBOTTENS LÄN</t>
        </is>
      </c>
      <c r="G348" t="inlineStr">
        <is>
          <t>ÖVERTORNEÅ</t>
        </is>
      </c>
      <c r="I348" t="n">
        <v>13.8</v>
      </c>
      <c r="J348" t="n">
        <v>0</v>
      </c>
      <c r="K348" t="n">
        <v>0</v>
      </c>
      <c r="L348" t="n">
        <v>0</v>
      </c>
      <c r="M348" t="n">
        <v>0</v>
      </c>
      <c r="N348" t="n">
        <v>0</v>
      </c>
      <c r="O348" t="n">
        <v>0</v>
      </c>
      <c r="P348" t="n">
        <v>0</v>
      </c>
      <c r="Q348" t="n">
        <v>0</v>
      </c>
      <c r="R348" t="n">
        <v>0</v>
      </c>
      <c r="S348" t="n">
        <v>0</v>
      </c>
      <c r="T348" t="n">
        <v>0</v>
      </c>
      <c r="U348" s="2" t="inlineStr"/>
    </row>
    <row r="349" ht="15" customHeight="1">
      <c r="A349" t="inlineStr">
        <is>
          <t>A 34145-2023</t>
        </is>
      </c>
      <c r="B349" t="inlineStr">
        <is>
          <t>avverkningsanmälan</t>
        </is>
      </c>
      <c r="C349" t="inlineStr">
        <is>
          <t>Avverkning för annat ändamål</t>
        </is>
      </c>
      <c r="D349" s="1" t="n">
        <v>45136</v>
      </c>
      <c r="E349" s="1" t="n">
        <v>46222</v>
      </c>
      <c r="F349" t="inlineStr">
        <is>
          <t>NORRBOTTENS LÄN</t>
        </is>
      </c>
      <c r="G349" t="inlineStr">
        <is>
          <t>ÖVERTORNEÅ</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16006-2024</t>
        </is>
      </c>
      <c r="B350" t="inlineStr">
        <is>
          <t>avverkningsanmälan</t>
        </is>
      </c>
      <c r="C350" t="inlineStr">
        <is>
          <t>Föryngringsavverkning</t>
        </is>
      </c>
      <c r="D350" s="1" t="n">
        <v>45405</v>
      </c>
      <c r="E350" s="1" t="n">
        <v>46222</v>
      </c>
      <c r="F350" t="inlineStr">
        <is>
          <t>NORRBOTTENS LÄN</t>
        </is>
      </c>
      <c r="G350" t="inlineStr">
        <is>
          <t>ÖVERTORNEÅ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61040-2022</t>
        </is>
      </c>
      <c r="B351" t="inlineStr">
        <is>
          <t>avverkningsanmälan</t>
        </is>
      </c>
      <c r="C351" t="inlineStr">
        <is>
          <t>Föryngringsavverkning</t>
        </is>
      </c>
      <c r="D351" s="1" t="n">
        <v>44914</v>
      </c>
      <c r="E351" s="1" t="n">
        <v>46222</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12202-2025</t>
        </is>
      </c>
      <c r="B352" t="inlineStr">
        <is>
          <t>avverkningsanmälan</t>
        </is>
      </c>
      <c r="C352" t="inlineStr">
        <is>
          <t>Föryngringsavverkning</t>
        </is>
      </c>
      <c r="D352" s="1" t="n">
        <v>45729</v>
      </c>
      <c r="E352" s="1" t="n">
        <v>46222</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16000-2024</t>
        </is>
      </c>
      <c r="B353" t="inlineStr">
        <is>
          <t>avverkningsanmälan</t>
        </is>
      </c>
      <c r="C353" t="inlineStr">
        <is>
          <t>Föryngringsavverkning</t>
        </is>
      </c>
      <c r="D353" s="1" t="n">
        <v>45405</v>
      </c>
      <c r="E353" s="1" t="n">
        <v>46222</v>
      </c>
      <c r="F353" t="inlineStr">
        <is>
          <t>NORRBOTTENS LÄN</t>
        </is>
      </c>
      <c r="G353" t="inlineStr">
        <is>
          <t>ÖVERTORNEÅ</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4274-2025</t>
        </is>
      </c>
      <c r="B354" t="inlineStr">
        <is>
          <t>avverkningsanmälan</t>
        </is>
      </c>
      <c r="C354" t="inlineStr">
        <is>
          <t>Föryngringsavverkning</t>
        </is>
      </c>
      <c r="D354" s="1" t="n">
        <v>45685</v>
      </c>
      <c r="E354" s="1" t="n">
        <v>46222</v>
      </c>
      <c r="F354" t="inlineStr">
        <is>
          <t>NORRBOTTENS LÄN</t>
        </is>
      </c>
      <c r="G354" t="inlineStr">
        <is>
          <t>ÖVERTORNEÅ</t>
        </is>
      </c>
      <c r="I354" t="n">
        <v>7.1</v>
      </c>
      <c r="J354" t="n">
        <v>0</v>
      </c>
      <c r="K354" t="n">
        <v>0</v>
      </c>
      <c r="L354" t="n">
        <v>0</v>
      </c>
      <c r="M354" t="n">
        <v>0</v>
      </c>
      <c r="N354" t="n">
        <v>0</v>
      </c>
      <c r="O354" t="n">
        <v>0</v>
      </c>
      <c r="P354" t="n">
        <v>0</v>
      </c>
      <c r="Q354" t="n">
        <v>0</v>
      </c>
      <c r="R354" t="n">
        <v>0</v>
      </c>
      <c r="S354" t="n">
        <v>0</v>
      </c>
      <c r="T354" t="n">
        <v>0</v>
      </c>
      <c r="U354" s="2" t="inlineStr"/>
    </row>
    <row r="355" ht="15" customHeight="1">
      <c r="A355" t="inlineStr">
        <is>
          <t>A 22600-2026</t>
        </is>
      </c>
      <c r="B355" t="inlineStr">
        <is>
          <t>avverkningsanmälan</t>
        </is>
      </c>
      <c r="C355" t="inlineStr">
        <is>
          <t>Föryngringsavverkning</t>
        </is>
      </c>
      <c r="D355" s="1" t="n">
        <v>46155</v>
      </c>
      <c r="E355" s="1" t="n">
        <v>46222</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28457-2026</t>
        </is>
      </c>
      <c r="B356" t="inlineStr">
        <is>
          <t>avverkningsanmälan</t>
        </is>
      </c>
      <c r="C356" t="inlineStr">
        <is>
          <t>Föryngringsavverkning</t>
        </is>
      </c>
      <c r="D356" s="1" t="n">
        <v>46197</v>
      </c>
      <c r="E356" s="1" t="n">
        <v>46222</v>
      </c>
      <c r="F356" t="inlineStr">
        <is>
          <t>NORRBOTTENS LÄN</t>
        </is>
      </c>
      <c r="G356" t="inlineStr">
        <is>
          <t>ÖVERTORNEÅ</t>
        </is>
      </c>
      <c r="I356" t="n">
        <v>3.3</v>
      </c>
      <c r="J356" t="n">
        <v>0</v>
      </c>
      <c r="K356" t="n">
        <v>0</v>
      </c>
      <c r="L356" t="n">
        <v>0</v>
      </c>
      <c r="M356" t="n">
        <v>0</v>
      </c>
      <c r="N356" t="n">
        <v>0</v>
      </c>
      <c r="O356" t="n">
        <v>0</v>
      </c>
      <c r="P356" t="n">
        <v>0</v>
      </c>
      <c r="Q356" t="n">
        <v>0</v>
      </c>
      <c r="R356" t="n">
        <v>0</v>
      </c>
      <c r="S356" t="n">
        <v>0</v>
      </c>
      <c r="T356" t="n">
        <v>0</v>
      </c>
      <c r="U356" s="2" t="inlineStr"/>
    </row>
    <row r="357" ht="15" customHeight="1">
      <c r="A357" t="inlineStr">
        <is>
          <t>A 45431-2024</t>
        </is>
      </c>
      <c r="B357" t="inlineStr">
        <is>
          <t>avverkningsanmälan</t>
        </is>
      </c>
      <c r="C357" t="inlineStr">
        <is>
          <t>Föryngringsavverkning</t>
        </is>
      </c>
      <c r="D357" s="1" t="n">
        <v>45576</v>
      </c>
      <c r="E357" s="1" t="n">
        <v>46222</v>
      </c>
      <c r="F357" t="inlineStr">
        <is>
          <t>NORRBOTTENS LÄN</t>
        </is>
      </c>
      <c r="G357" t="inlineStr">
        <is>
          <t>ÖVERTORNEÅ</t>
        </is>
      </c>
      <c r="H357" t="inlineStr">
        <is>
          <t>Sveaskog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22908-2026</t>
        </is>
      </c>
      <c r="B358" t="inlineStr">
        <is>
          <t>avverkningsanmälan</t>
        </is>
      </c>
      <c r="C358" t="inlineStr">
        <is>
          <t>Föryngringsavverkning</t>
        </is>
      </c>
      <c r="D358" s="1" t="n">
        <v>46160</v>
      </c>
      <c r="E358" s="1" t="n">
        <v>46222</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22910-2026</t>
        </is>
      </c>
      <c r="B359" t="inlineStr">
        <is>
          <t>avverkningsanmälan</t>
        </is>
      </c>
      <c r="C359" t="inlineStr">
        <is>
          <t>Föryngringsavverkning</t>
        </is>
      </c>
      <c r="D359" s="1" t="n">
        <v>46160</v>
      </c>
      <c r="E359" s="1" t="n">
        <v>46222</v>
      </c>
      <c r="F359" t="inlineStr">
        <is>
          <t>NORRBOTTENS LÄN</t>
        </is>
      </c>
      <c r="G359" t="inlineStr">
        <is>
          <t>ÖVERTORNEÅ</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48037-2024</t>
        </is>
      </c>
      <c r="B360" t="inlineStr">
        <is>
          <t>avverkningsanmälan</t>
        </is>
      </c>
      <c r="C360" t="inlineStr">
        <is>
          <t>Föryngringsavverkning</t>
        </is>
      </c>
      <c r="D360" s="1" t="n">
        <v>45589</v>
      </c>
      <c r="E360" s="1" t="n">
        <v>46222</v>
      </c>
      <c r="F360" t="inlineStr">
        <is>
          <t>NORRBOTTENS LÄN</t>
        </is>
      </c>
      <c r="G360" t="inlineStr">
        <is>
          <t>ÖVERTORNEÅ</t>
        </is>
      </c>
      <c r="H360" t="inlineStr">
        <is>
          <t>Kommuner</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4011-2022</t>
        </is>
      </c>
      <c r="B361" t="inlineStr">
        <is>
          <t>avverkningsanmälan</t>
        </is>
      </c>
      <c r="C361" t="inlineStr">
        <is>
          <t>Avverkning för att bevara och utveckla /försöksver</t>
        </is>
      </c>
      <c r="D361" s="1" t="n">
        <v>44587</v>
      </c>
      <c r="E361" s="1" t="n">
        <v>46222</v>
      </c>
      <c r="F361" t="inlineStr">
        <is>
          <t>NORRBOTTENS LÄN</t>
        </is>
      </c>
      <c r="G361" t="inlineStr">
        <is>
          <t>ÖVERTORNEÅ</t>
        </is>
      </c>
      <c r="H361" t="inlineStr">
        <is>
          <t>Kommuner</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44431-2024</t>
        </is>
      </c>
      <c r="B362" t="inlineStr">
        <is>
          <t>avverkningsanmälan</t>
        </is>
      </c>
      <c r="C362" t="inlineStr">
        <is>
          <t>Föryngringsavverkning</t>
        </is>
      </c>
      <c r="D362" s="1" t="n">
        <v>45574</v>
      </c>
      <c r="E362" s="1" t="n">
        <v>46222</v>
      </c>
      <c r="F362" t="inlineStr">
        <is>
          <t>NORRBOTTENS LÄN</t>
        </is>
      </c>
      <c r="G362" t="inlineStr">
        <is>
          <t>ÖVERTORNEÅ</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64554-2023</t>
        </is>
      </c>
      <c r="B363" t="inlineStr">
        <is>
          <t>avverkningsanmälan</t>
        </is>
      </c>
      <c r="C363" t="inlineStr">
        <is>
          <t>Föryngringsavverkning</t>
        </is>
      </c>
      <c r="D363" s="1" t="n">
        <v>45281</v>
      </c>
      <c r="E363" s="1" t="n">
        <v>46222</v>
      </c>
      <c r="F363" t="inlineStr">
        <is>
          <t>NORRBOTTENS LÄN</t>
        </is>
      </c>
      <c r="G363" t="inlineStr">
        <is>
          <t>ÖVERTORNEÅ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45698-2024</t>
        </is>
      </c>
      <c r="B364" t="inlineStr">
        <is>
          <t>avverkningsanmälan</t>
        </is>
      </c>
      <c r="C364" t="inlineStr">
        <is>
          <t>Föryngringsavverkning</t>
        </is>
      </c>
      <c r="D364" s="1" t="n">
        <v>45579</v>
      </c>
      <c r="E364" s="1" t="n">
        <v>46222</v>
      </c>
      <c r="F364" t="inlineStr">
        <is>
          <t>NORRBOTTENS LÄN</t>
        </is>
      </c>
      <c r="G364" t="inlineStr">
        <is>
          <t>ÖVERTORNEÅ</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49157-2022</t>
        </is>
      </c>
      <c r="B365" t="inlineStr">
        <is>
          <t>avverkningsanmälan</t>
        </is>
      </c>
      <c r="C365" t="inlineStr">
        <is>
          <t>Föryngringsavverkning</t>
        </is>
      </c>
      <c r="D365" s="1" t="n">
        <v>44860</v>
      </c>
      <c r="E365" s="1" t="n">
        <v>46222</v>
      </c>
      <c r="F365" t="inlineStr">
        <is>
          <t>NORRBOTTENS LÄN</t>
        </is>
      </c>
      <c r="G365" t="inlineStr">
        <is>
          <t>ÖVERTORNEÅ</t>
        </is>
      </c>
      <c r="I365" t="n">
        <v>5.6</v>
      </c>
      <c r="J365" t="n">
        <v>0</v>
      </c>
      <c r="K365" t="n">
        <v>0</v>
      </c>
      <c r="L365" t="n">
        <v>0</v>
      </c>
      <c r="M365" t="n">
        <v>0</v>
      </c>
      <c r="N365" t="n">
        <v>0</v>
      </c>
      <c r="O365" t="n">
        <v>0</v>
      </c>
      <c r="P365" t="n">
        <v>0</v>
      </c>
      <c r="Q365" t="n">
        <v>0</v>
      </c>
      <c r="R365" t="n">
        <v>0</v>
      </c>
      <c r="S365" t="n">
        <v>0</v>
      </c>
      <c r="T365" t="n">
        <v>0</v>
      </c>
      <c r="U365" s="2" t="inlineStr"/>
    </row>
    <row r="366" ht="15" customHeight="1">
      <c r="A366" t="inlineStr">
        <is>
          <t>A 13842-2024</t>
        </is>
      </c>
      <c r="B366" t="inlineStr">
        <is>
          <t>avverkningsanmälan</t>
        </is>
      </c>
      <c r="C366" t="inlineStr">
        <is>
          <t>Föryngringsavverkning</t>
        </is>
      </c>
      <c r="D366" s="1" t="n">
        <v>45390</v>
      </c>
      <c r="E366" s="1" t="n">
        <v>46222</v>
      </c>
      <c r="F366" t="inlineStr">
        <is>
          <t>NORRBOTTENS LÄN</t>
        </is>
      </c>
      <c r="G366" t="inlineStr">
        <is>
          <t>ÖVERTORNEÅ</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23363-2026</t>
        </is>
      </c>
      <c r="B367" t="inlineStr">
        <is>
          <t>avverkningsanmälan</t>
        </is>
      </c>
      <c r="C367" t="inlineStr">
        <is>
          <t>Föryngringsavverkning</t>
        </is>
      </c>
      <c r="D367" s="1" t="n">
        <v>46162</v>
      </c>
      <c r="E367" s="1" t="n">
        <v>46222</v>
      </c>
      <c r="F367" t="inlineStr">
        <is>
          <t>NORRBOTTENS LÄN</t>
        </is>
      </c>
      <c r="G367" t="inlineStr">
        <is>
          <t>ÖVERTORNEÅ</t>
        </is>
      </c>
      <c r="H367" t="inlineStr">
        <is>
          <t>Sveaskog</t>
        </is>
      </c>
      <c r="I367" t="n">
        <v>12.2</v>
      </c>
      <c r="J367" t="n">
        <v>0</v>
      </c>
      <c r="K367" t="n">
        <v>0</v>
      </c>
      <c r="L367" t="n">
        <v>0</v>
      </c>
      <c r="M367" t="n">
        <v>0</v>
      </c>
      <c r="N367" t="n">
        <v>0</v>
      </c>
      <c r="O367" t="n">
        <v>0</v>
      </c>
      <c r="P367" t="n">
        <v>0</v>
      </c>
      <c r="Q367" t="n">
        <v>0</v>
      </c>
      <c r="R367" t="n">
        <v>0</v>
      </c>
      <c r="S367" t="n">
        <v>0</v>
      </c>
      <c r="T367" t="n">
        <v>0</v>
      </c>
      <c r="U367" s="2" t="inlineStr"/>
    </row>
    <row r="368" ht="15" customHeight="1">
      <c r="A368" t="inlineStr">
        <is>
          <t>A 30647-2023</t>
        </is>
      </c>
      <c r="B368" t="inlineStr">
        <is>
          <t>avverkningsanmälan</t>
        </is>
      </c>
      <c r="C368" t="inlineStr">
        <is>
          <t>Föryngringsavverkning</t>
        </is>
      </c>
      <c r="D368" s="1" t="n">
        <v>45112</v>
      </c>
      <c r="E368" s="1" t="n">
        <v>46222</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26209-2024</t>
        </is>
      </c>
      <c r="B369" t="inlineStr">
        <is>
          <t>avverkningsanmälan</t>
        </is>
      </c>
      <c r="C369" t="inlineStr">
        <is>
          <t>Föryngringsavverkning</t>
        </is>
      </c>
      <c r="D369" s="1" t="n">
        <v>45467</v>
      </c>
      <c r="E369" s="1" t="n">
        <v>46222</v>
      </c>
      <c r="F369" t="inlineStr">
        <is>
          <t>NORRBOTTENS LÄN</t>
        </is>
      </c>
      <c r="G369" t="inlineStr">
        <is>
          <t>ÖVERTORNEÅ</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6593-2022</t>
        </is>
      </c>
      <c r="B370" t="inlineStr">
        <is>
          <t>avverkningsanmälan</t>
        </is>
      </c>
      <c r="C370" t="inlineStr">
        <is>
          <t>Föryngringsavverkning</t>
        </is>
      </c>
      <c r="D370" s="1" t="n">
        <v>44601</v>
      </c>
      <c r="E370" s="1" t="n">
        <v>46222</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48780-2021</t>
        </is>
      </c>
      <c r="B371" t="inlineStr">
        <is>
          <t>avverkningsanmälan</t>
        </is>
      </c>
      <c r="C371" t="inlineStr">
        <is>
          <t>Föryngringsavverkning</t>
        </is>
      </c>
      <c r="D371" s="1" t="n">
        <v>44452</v>
      </c>
      <c r="E371" s="1" t="n">
        <v>46222</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23538-2026</t>
        </is>
      </c>
      <c r="B372" t="inlineStr">
        <is>
          <t>avverkningsanmälan</t>
        </is>
      </c>
      <c r="C372" t="inlineStr">
        <is>
          <t>Föryngringsavverkning</t>
        </is>
      </c>
      <c r="D372" s="1" t="n">
        <v>46163</v>
      </c>
      <c r="E372" s="1" t="n">
        <v>46222</v>
      </c>
      <c r="F372" t="inlineStr">
        <is>
          <t>NORRBOTTENS LÄN</t>
        </is>
      </c>
      <c r="G372" t="inlineStr">
        <is>
          <t>ÖVERTORNEÅ</t>
        </is>
      </c>
      <c r="I372" t="n">
        <v>11.5</v>
      </c>
      <c r="J372" t="n">
        <v>0</v>
      </c>
      <c r="K372" t="n">
        <v>0</v>
      </c>
      <c r="L372" t="n">
        <v>0</v>
      </c>
      <c r="M372" t="n">
        <v>0</v>
      </c>
      <c r="N372" t="n">
        <v>0</v>
      </c>
      <c r="O372" t="n">
        <v>0</v>
      </c>
      <c r="P372" t="n">
        <v>0</v>
      </c>
      <c r="Q372" t="n">
        <v>0</v>
      </c>
      <c r="R372" t="n">
        <v>0</v>
      </c>
      <c r="S372" t="n">
        <v>0</v>
      </c>
      <c r="T372" t="n">
        <v>0</v>
      </c>
      <c r="U372" s="2" t="inlineStr"/>
    </row>
    <row r="373" ht="15" customHeight="1">
      <c r="A373" t="inlineStr">
        <is>
          <t>A 26556-2023</t>
        </is>
      </c>
      <c r="B373" t="inlineStr">
        <is>
          <t>avverkningsanmälan</t>
        </is>
      </c>
      <c r="C373" t="inlineStr">
        <is>
          <t>Avverkning för annat ändamål</t>
        </is>
      </c>
      <c r="D373" s="1" t="n">
        <v>45092</v>
      </c>
      <c r="E373" s="1" t="n">
        <v>46222</v>
      </c>
      <c r="F373" t="inlineStr">
        <is>
          <t>NORRBOTTENS LÄN</t>
        </is>
      </c>
      <c r="G373" t="inlineStr">
        <is>
          <t>ÖVERTORNEÅ</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30062-2026</t>
        </is>
      </c>
      <c r="B374" t="inlineStr">
        <is>
          <t>avverkningsanmälan</t>
        </is>
      </c>
      <c r="C374" t="inlineStr">
        <is>
          <t>Föryngringsavverkning</t>
        </is>
      </c>
      <c r="D374" s="1" t="n">
        <v>46206</v>
      </c>
      <c r="E374" s="1" t="n">
        <v>46222</v>
      </c>
      <c r="F374" t="inlineStr">
        <is>
          <t>NORRBOTTENS LÄN</t>
        </is>
      </c>
      <c r="G374" t="inlineStr">
        <is>
          <t>ÖVERTORNEÅ</t>
        </is>
      </c>
      <c r="H374" t="inlineStr">
        <is>
          <t>Sveaskog</t>
        </is>
      </c>
      <c r="I374" t="n">
        <v>10.2</v>
      </c>
      <c r="J374" t="n">
        <v>0</v>
      </c>
      <c r="K374" t="n">
        <v>0</v>
      </c>
      <c r="L374" t="n">
        <v>0</v>
      </c>
      <c r="M374" t="n">
        <v>0</v>
      </c>
      <c r="N374" t="n">
        <v>0</v>
      </c>
      <c r="O374" t="n">
        <v>0</v>
      </c>
      <c r="P374" t="n">
        <v>0</v>
      </c>
      <c r="Q374" t="n">
        <v>0</v>
      </c>
      <c r="R374" t="n">
        <v>0</v>
      </c>
      <c r="S374" t="n">
        <v>0</v>
      </c>
      <c r="T374" t="n">
        <v>0</v>
      </c>
      <c r="U374" s="2" t="inlineStr"/>
    </row>
    <row r="375" ht="15" customHeight="1">
      <c r="A375" t="inlineStr">
        <is>
          <t>A 23813-2026</t>
        </is>
      </c>
      <c r="B375" t="inlineStr">
        <is>
          <t>avverkningsanmälan</t>
        </is>
      </c>
      <c r="C375" t="inlineStr">
        <is>
          <t>Föryngringsavverkning</t>
        </is>
      </c>
      <c r="D375" s="1" t="n">
        <v>46164</v>
      </c>
      <c r="E375" s="1" t="n">
        <v>46222</v>
      </c>
      <c r="F375" t="inlineStr">
        <is>
          <t>NORRBOTTENS LÄN</t>
        </is>
      </c>
      <c r="G375" t="inlineStr">
        <is>
          <t>ÖVERTORNEÅ</t>
        </is>
      </c>
      <c r="I375" t="n">
        <v>12.5</v>
      </c>
      <c r="J375" t="n">
        <v>0</v>
      </c>
      <c r="K375" t="n">
        <v>0</v>
      </c>
      <c r="L375" t="n">
        <v>0</v>
      </c>
      <c r="M375" t="n">
        <v>0</v>
      </c>
      <c r="N375" t="n">
        <v>0</v>
      </c>
      <c r="O375" t="n">
        <v>0</v>
      </c>
      <c r="P375" t="n">
        <v>0</v>
      </c>
      <c r="Q375" t="n">
        <v>0</v>
      </c>
      <c r="R375" t="n">
        <v>0</v>
      </c>
      <c r="S375" t="n">
        <v>0</v>
      </c>
      <c r="T375" t="n">
        <v>0</v>
      </c>
      <c r="U375" s="2" t="inlineStr"/>
    </row>
    <row r="376" ht="15" customHeight="1">
      <c r="A376" t="inlineStr">
        <is>
          <t>A 30079-2026</t>
        </is>
      </c>
      <c r="B376" t="inlineStr">
        <is>
          <t>avverkningsanmälan</t>
        </is>
      </c>
      <c r="C376" t="inlineStr">
        <is>
          <t>Föryngringsavverkning</t>
        </is>
      </c>
      <c r="D376" s="1" t="n">
        <v>46206</v>
      </c>
      <c r="E376" s="1" t="n">
        <v>46222</v>
      </c>
      <c r="F376" t="inlineStr">
        <is>
          <t>NORRBOTTENS LÄN</t>
        </is>
      </c>
      <c r="G376" t="inlineStr">
        <is>
          <t>ÖVERTORNEÅ</t>
        </is>
      </c>
      <c r="H376" t="inlineStr">
        <is>
          <t>Sveaskog</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1859-2026</t>
        </is>
      </c>
      <c r="B377" t="inlineStr">
        <is>
          <t>avverkningsanmälan</t>
        </is>
      </c>
      <c r="C377" t="inlineStr">
        <is>
          <t>Föryngringsavverkning</t>
        </is>
      </c>
      <c r="D377" s="1" t="n">
        <v>46035</v>
      </c>
      <c r="E377" s="1" t="n">
        <v>46222</v>
      </c>
      <c r="F377" t="inlineStr">
        <is>
          <t>NORRBOTTENS LÄN</t>
        </is>
      </c>
      <c r="G377" t="inlineStr">
        <is>
          <t>ÖVERTORNEÅ</t>
        </is>
      </c>
      <c r="I377" t="n">
        <v>5.3</v>
      </c>
      <c r="J377" t="n">
        <v>0</v>
      </c>
      <c r="K377" t="n">
        <v>0</v>
      </c>
      <c r="L377" t="n">
        <v>0</v>
      </c>
      <c r="M377" t="n">
        <v>0</v>
      </c>
      <c r="N377" t="n">
        <v>0</v>
      </c>
      <c r="O377" t="n">
        <v>0</v>
      </c>
      <c r="P377" t="n">
        <v>0</v>
      </c>
      <c r="Q377" t="n">
        <v>0</v>
      </c>
      <c r="R377" t="n">
        <v>0</v>
      </c>
      <c r="S377" t="n">
        <v>0</v>
      </c>
      <c r="T377" t="n">
        <v>0</v>
      </c>
      <c r="U377" s="2" t="inlineStr"/>
    </row>
    <row r="378" ht="15" customHeight="1">
      <c r="A378" t="inlineStr">
        <is>
          <t>A 35220-2022</t>
        </is>
      </c>
      <c r="B378" t="inlineStr">
        <is>
          <t>avverkningsanmälan</t>
        </is>
      </c>
      <c r="C378" t="inlineStr">
        <is>
          <t>Föryngringsavverkning</t>
        </is>
      </c>
      <c r="D378" s="1" t="n">
        <v>44797</v>
      </c>
      <c r="E378" s="1" t="n">
        <v>46222</v>
      </c>
      <c r="F378" t="inlineStr">
        <is>
          <t>NORRBOTTENS LÄN</t>
        </is>
      </c>
      <c r="G378" t="inlineStr">
        <is>
          <t>ÖVERTORNEÅ</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1470-2025</t>
        </is>
      </c>
      <c r="B379" t="inlineStr">
        <is>
          <t>avverkningsanmälan</t>
        </is>
      </c>
      <c r="C379" t="inlineStr">
        <is>
          <t>Föryngringsavverkning</t>
        </is>
      </c>
      <c r="D379" s="1" t="n">
        <v>45670</v>
      </c>
      <c r="E379" s="1" t="n">
        <v>46222</v>
      </c>
      <c r="F379" t="inlineStr">
        <is>
          <t>NORRBOTTENS LÄN</t>
        </is>
      </c>
      <c r="G379" t="inlineStr">
        <is>
          <t>ÖVERTORNEÅ</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23913-2026</t>
        </is>
      </c>
      <c r="B380" t="inlineStr">
        <is>
          <t>avverkningsanmälan</t>
        </is>
      </c>
      <c r="C380" t="inlineStr">
        <is>
          <t>Föryngringsavverkning</t>
        </is>
      </c>
      <c r="D380" s="1" t="n">
        <v>46167</v>
      </c>
      <c r="E380" s="1" t="n">
        <v>46222</v>
      </c>
      <c r="F380" t="inlineStr">
        <is>
          <t>NORRBOTTENS LÄN</t>
        </is>
      </c>
      <c r="G380" t="inlineStr">
        <is>
          <t>ÖVERTORNEÅ</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23991-2026</t>
        </is>
      </c>
      <c r="B381" t="inlineStr">
        <is>
          <t>avverkningsanmälan</t>
        </is>
      </c>
      <c r="C381" t="inlineStr">
        <is>
          <t>Föryngringsavverkning</t>
        </is>
      </c>
      <c r="D381" s="1" t="n">
        <v>46167</v>
      </c>
      <c r="E381" s="1" t="n">
        <v>46222</v>
      </c>
      <c r="F381" t="inlineStr">
        <is>
          <t>NORRBOTTENS LÄN</t>
        </is>
      </c>
      <c r="G381" t="inlineStr">
        <is>
          <t>ÖVERTORNEÅ</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23911-2026</t>
        </is>
      </c>
      <c r="B382" t="inlineStr">
        <is>
          <t>avverkningsanmälan</t>
        </is>
      </c>
      <c r="C382" t="inlineStr">
        <is>
          <t>Föryngringsavverkning</t>
        </is>
      </c>
      <c r="D382" s="1" t="n">
        <v>46167</v>
      </c>
      <c r="E382" s="1" t="n">
        <v>46222</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23954-2026</t>
        </is>
      </c>
      <c r="B383" t="inlineStr">
        <is>
          <t>avverkningsanmälan</t>
        </is>
      </c>
      <c r="C383" t="inlineStr">
        <is>
          <t>Föryngringsavverkning</t>
        </is>
      </c>
      <c r="D383" s="1" t="n">
        <v>46167</v>
      </c>
      <c r="E383" s="1" t="n">
        <v>46222</v>
      </c>
      <c r="F383" t="inlineStr">
        <is>
          <t>NORRBOTTENS LÄN</t>
        </is>
      </c>
      <c r="G383" t="inlineStr">
        <is>
          <t>ÖVERTORNEÅ</t>
        </is>
      </c>
      <c r="I383" t="n">
        <v>12.2</v>
      </c>
      <c r="J383" t="n">
        <v>0</v>
      </c>
      <c r="K383" t="n">
        <v>0</v>
      </c>
      <c r="L383" t="n">
        <v>0</v>
      </c>
      <c r="M383" t="n">
        <v>0</v>
      </c>
      <c r="N383" t="n">
        <v>0</v>
      </c>
      <c r="O383" t="n">
        <v>0</v>
      </c>
      <c r="P383" t="n">
        <v>0</v>
      </c>
      <c r="Q383" t="n">
        <v>0</v>
      </c>
      <c r="R383" t="n">
        <v>0</v>
      </c>
      <c r="S383" t="n">
        <v>0</v>
      </c>
      <c r="T383" t="n">
        <v>0</v>
      </c>
      <c r="U383" s="2" t="inlineStr"/>
    </row>
    <row r="384" ht="15" customHeight="1">
      <c r="A384" t="inlineStr">
        <is>
          <t>A 23955-2026</t>
        </is>
      </c>
      <c r="B384" t="inlineStr">
        <is>
          <t>avverkningsanmälan</t>
        </is>
      </c>
      <c r="C384" t="inlineStr">
        <is>
          <t>Föryngringsavverkning</t>
        </is>
      </c>
      <c r="D384" s="1" t="n">
        <v>46167</v>
      </c>
      <c r="E384" s="1" t="n">
        <v>46222</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15043-2025</t>
        </is>
      </c>
      <c r="B385" t="inlineStr">
        <is>
          <t>avverkningsanmälan</t>
        </is>
      </c>
      <c r="C385" t="inlineStr">
        <is>
          <t>Föryngringsavverkning</t>
        </is>
      </c>
      <c r="D385" s="1" t="n">
        <v>45743</v>
      </c>
      <c r="E385" s="1" t="n">
        <v>46222</v>
      </c>
      <c r="F385" t="inlineStr">
        <is>
          <t>NORRBOTTENS LÄN</t>
        </is>
      </c>
      <c r="G385" t="inlineStr">
        <is>
          <t>ÖVERTORNEÅ</t>
        </is>
      </c>
      <c r="I385" t="n">
        <v>3.9</v>
      </c>
      <c r="J385" t="n">
        <v>0</v>
      </c>
      <c r="K385" t="n">
        <v>0</v>
      </c>
      <c r="L385" t="n">
        <v>0</v>
      </c>
      <c r="M385" t="n">
        <v>0</v>
      </c>
      <c r="N385" t="n">
        <v>0</v>
      </c>
      <c r="O385" t="n">
        <v>0</v>
      </c>
      <c r="P385" t="n">
        <v>0</v>
      </c>
      <c r="Q385" t="n">
        <v>0</v>
      </c>
      <c r="R385" t="n">
        <v>0</v>
      </c>
      <c r="S385" t="n">
        <v>0</v>
      </c>
      <c r="T385" t="n">
        <v>0</v>
      </c>
      <c r="U385" s="2" t="inlineStr"/>
    </row>
    <row r="386" ht="15" customHeight="1">
      <c r="A386" t="inlineStr">
        <is>
          <t>A 24388-2026</t>
        </is>
      </c>
      <c r="B386" t="inlineStr">
        <is>
          <t>avverkningsanmälan</t>
        </is>
      </c>
      <c r="C386" t="inlineStr">
        <is>
          <t>Föryngringsavverkning</t>
        </is>
      </c>
      <c r="D386" s="1" t="n">
        <v>46167</v>
      </c>
      <c r="E386" s="1" t="n">
        <v>46222</v>
      </c>
      <c r="F386" t="inlineStr">
        <is>
          <t>NORRBOTTENS LÄN</t>
        </is>
      </c>
      <c r="G386" t="inlineStr">
        <is>
          <t>ÖVERTORNEÅ</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1469-2025</t>
        </is>
      </c>
      <c r="B387" t="inlineStr">
        <is>
          <t>avverkningsanmälan</t>
        </is>
      </c>
      <c r="C387" t="inlineStr">
        <is>
          <t>Föryngringsavverkning</t>
        </is>
      </c>
      <c r="D387" s="1" t="n">
        <v>45670</v>
      </c>
      <c r="E387" s="1" t="n">
        <v>46222</v>
      </c>
      <c r="F387" t="inlineStr">
        <is>
          <t>NORRBOTTENS LÄN</t>
        </is>
      </c>
      <c r="G387" t="inlineStr">
        <is>
          <t>ÖVERTORNEÅ</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34143-2023</t>
        </is>
      </c>
      <c r="B388" t="inlineStr">
        <is>
          <t>avverkningsanmälan</t>
        </is>
      </c>
      <c r="C388" t="inlineStr">
        <is>
          <t>Avverkning för annat ändamål</t>
        </is>
      </c>
      <c r="D388" s="1" t="n">
        <v>45136</v>
      </c>
      <c r="E388" s="1" t="n">
        <v>46222</v>
      </c>
      <c r="F388" t="inlineStr">
        <is>
          <t>NORRBOTTENS LÄN</t>
        </is>
      </c>
      <c r="G388" t="inlineStr">
        <is>
          <t>ÖVERTORNEÅ</t>
        </is>
      </c>
      <c r="I388" t="n">
        <v>4.4</v>
      </c>
      <c r="J388" t="n">
        <v>0</v>
      </c>
      <c r="K388" t="n">
        <v>0</v>
      </c>
      <c r="L388" t="n">
        <v>0</v>
      </c>
      <c r="M388" t="n">
        <v>0</v>
      </c>
      <c r="N388" t="n">
        <v>0</v>
      </c>
      <c r="O388" t="n">
        <v>0</v>
      </c>
      <c r="P388" t="n">
        <v>0</v>
      </c>
      <c r="Q388" t="n">
        <v>0</v>
      </c>
      <c r="R388" t="n">
        <v>0</v>
      </c>
      <c r="S388" t="n">
        <v>0</v>
      </c>
      <c r="T388" t="n">
        <v>0</v>
      </c>
      <c r="U388" s="2" t="inlineStr"/>
    </row>
    <row r="389" ht="15" customHeight="1">
      <c r="A389" t="inlineStr">
        <is>
          <t>A 34144-2023</t>
        </is>
      </c>
      <c r="B389" t="inlineStr">
        <is>
          <t>avverkningsanmälan</t>
        </is>
      </c>
      <c r="C389" t="inlineStr">
        <is>
          <t>Föryngringsavverkning</t>
        </is>
      </c>
      <c r="D389" s="1" t="n">
        <v>45136</v>
      </c>
      <c r="E389" s="1" t="n">
        <v>46222</v>
      </c>
      <c r="F389" t="inlineStr">
        <is>
          <t>NORRBOTTENS LÄN</t>
        </is>
      </c>
      <c r="G389" t="inlineStr">
        <is>
          <t>ÖVERTORNEÅ</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24381-2026</t>
        </is>
      </c>
      <c r="B390" t="inlineStr">
        <is>
          <t>avverkningsanmälan</t>
        </is>
      </c>
      <c r="C390" t="inlineStr">
        <is>
          <t>Föryngringsavverkning</t>
        </is>
      </c>
      <c r="D390" s="1" t="n">
        <v>46167</v>
      </c>
      <c r="E390" s="1" t="n">
        <v>46222</v>
      </c>
      <c r="F390" t="inlineStr">
        <is>
          <t>NORRBOTTENS LÄN</t>
        </is>
      </c>
      <c r="G390" t="inlineStr">
        <is>
          <t>ÖVERTORNEÅ</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24396-2026</t>
        </is>
      </c>
      <c r="B391" t="inlineStr">
        <is>
          <t>avverkningsanmälan</t>
        </is>
      </c>
      <c r="C391" t="inlineStr">
        <is>
          <t>Föryngringsavverkning</t>
        </is>
      </c>
      <c r="D391" s="1" t="n">
        <v>46167</v>
      </c>
      <c r="E391" s="1" t="n">
        <v>46222</v>
      </c>
      <c r="F391" t="inlineStr">
        <is>
          <t>NORRBOTTENS LÄN</t>
        </is>
      </c>
      <c r="G391" t="inlineStr">
        <is>
          <t>ÖVERTORNEÅ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24401-2026</t>
        </is>
      </c>
      <c r="B392" t="inlineStr">
        <is>
          <t>avverkningsanmälan</t>
        </is>
      </c>
      <c r="C392" t="inlineStr">
        <is>
          <t>Föryngringsavverkning</t>
        </is>
      </c>
      <c r="D392" s="1" t="n">
        <v>46167</v>
      </c>
      <c r="E392" s="1" t="n">
        <v>46222</v>
      </c>
      <c r="F392" t="inlineStr">
        <is>
          <t>NORRBOTTENS LÄN</t>
        </is>
      </c>
      <c r="G392" t="inlineStr">
        <is>
          <t>ÖVERTORNEÅ</t>
        </is>
      </c>
      <c r="I392" t="n">
        <v>16.5</v>
      </c>
      <c r="J392" t="n">
        <v>0</v>
      </c>
      <c r="K392" t="n">
        <v>0</v>
      </c>
      <c r="L392" t="n">
        <v>0</v>
      </c>
      <c r="M392" t="n">
        <v>0</v>
      </c>
      <c r="N392" t="n">
        <v>0</v>
      </c>
      <c r="O392" t="n">
        <v>0</v>
      </c>
      <c r="P392" t="n">
        <v>0</v>
      </c>
      <c r="Q392" t="n">
        <v>0</v>
      </c>
      <c r="R392" t="n">
        <v>0</v>
      </c>
      <c r="S392" t="n">
        <v>0</v>
      </c>
      <c r="T392" t="n">
        <v>0</v>
      </c>
      <c r="U392" s="2" t="inlineStr"/>
    </row>
    <row r="393" ht="15" customHeight="1">
      <c r="A393" t="inlineStr">
        <is>
          <t>A 30567-2026</t>
        </is>
      </c>
      <c r="B393" t="inlineStr">
        <is>
          <t>avverkningsanmälan</t>
        </is>
      </c>
      <c r="C393" t="inlineStr">
        <is>
          <t>Föryngringsavverkning</t>
        </is>
      </c>
      <c r="D393" s="1" t="n">
        <v>46210</v>
      </c>
      <c r="E393" s="1" t="n">
        <v>46222</v>
      </c>
      <c r="F393" t="inlineStr">
        <is>
          <t>NORRBOTTENS LÄN</t>
        </is>
      </c>
      <c r="G393" t="inlineStr">
        <is>
          <t>ÖVERTORNEÅ</t>
        </is>
      </c>
      <c r="I393" t="n">
        <v>20.4</v>
      </c>
      <c r="J393" t="n">
        <v>0</v>
      </c>
      <c r="K393" t="n">
        <v>0</v>
      </c>
      <c r="L393" t="n">
        <v>0</v>
      </c>
      <c r="M393" t="n">
        <v>0</v>
      </c>
      <c r="N393" t="n">
        <v>0</v>
      </c>
      <c r="O393" t="n">
        <v>0</v>
      </c>
      <c r="P393" t="n">
        <v>0</v>
      </c>
      <c r="Q393" t="n">
        <v>0</v>
      </c>
      <c r="R393" t="n">
        <v>0</v>
      </c>
      <c r="S393" t="n">
        <v>0</v>
      </c>
      <c r="T393" t="n">
        <v>0</v>
      </c>
      <c r="U393" s="2" t="inlineStr"/>
    </row>
    <row r="394" ht="15" customHeight="1">
      <c r="A394" t="inlineStr">
        <is>
          <t>A 58386-2024</t>
        </is>
      </c>
      <c r="B394" t="inlineStr">
        <is>
          <t>avverkningsanmälan</t>
        </is>
      </c>
      <c r="C394" t="inlineStr">
        <is>
          <t>Föryngringsavverkning</t>
        </is>
      </c>
      <c r="D394" s="1" t="n">
        <v>45633</v>
      </c>
      <c r="E394" s="1" t="n">
        <v>46222</v>
      </c>
      <c r="F394" t="inlineStr">
        <is>
          <t>NORRBOTTENS LÄN</t>
        </is>
      </c>
      <c r="G394" t="inlineStr">
        <is>
          <t>ÖVERTORNEÅ</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33323-2023</t>
        </is>
      </c>
      <c r="B395" t="inlineStr">
        <is>
          <t>avverkningsanmälan</t>
        </is>
      </c>
      <c r="C395" t="inlineStr">
        <is>
          <t>Föryngringsavverkning</t>
        </is>
      </c>
      <c r="D395" s="1" t="n">
        <v>45127</v>
      </c>
      <c r="E395" s="1" t="n">
        <v>46222</v>
      </c>
      <c r="F395" t="inlineStr">
        <is>
          <t>NORRBOTTENS LÄN</t>
        </is>
      </c>
      <c r="G395" t="inlineStr">
        <is>
          <t>ÖVERTORNEÅ</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44540-2024</t>
        </is>
      </c>
      <c r="B396" t="inlineStr">
        <is>
          <t>avverkningsanmälan</t>
        </is>
      </c>
      <c r="C396" t="inlineStr">
        <is>
          <t>Föryngringsavverkning</t>
        </is>
      </c>
      <c r="D396" s="1" t="n">
        <v>45574</v>
      </c>
      <c r="E396" s="1" t="n">
        <v>46222</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35593-2025</t>
        </is>
      </c>
      <c r="B397" t="inlineStr">
        <is>
          <t>avverkningsanmälan</t>
        </is>
      </c>
      <c r="C397" t="inlineStr">
        <is>
          <t>Föryngringsavverkning</t>
        </is>
      </c>
      <c r="D397" s="1" t="n">
        <v>45857</v>
      </c>
      <c r="E397" s="1" t="n">
        <v>46222</v>
      </c>
      <c r="F397" t="inlineStr">
        <is>
          <t>NORRBOTTENS LÄN</t>
        </is>
      </c>
      <c r="G397" t="inlineStr">
        <is>
          <t>ÖVERTORNEÅ</t>
        </is>
      </c>
      <c r="I397" t="n">
        <v>3.1</v>
      </c>
      <c r="J397" t="n">
        <v>0</v>
      </c>
      <c r="K397" t="n">
        <v>0</v>
      </c>
      <c r="L397" t="n">
        <v>0</v>
      </c>
      <c r="M397" t="n">
        <v>0</v>
      </c>
      <c r="N397" t="n">
        <v>0</v>
      </c>
      <c r="O397" t="n">
        <v>0</v>
      </c>
      <c r="P397" t="n">
        <v>0</v>
      </c>
      <c r="Q397" t="n">
        <v>0</v>
      </c>
      <c r="R397" t="n">
        <v>0</v>
      </c>
      <c r="S397" t="n">
        <v>0</v>
      </c>
      <c r="T397" t="n">
        <v>0</v>
      </c>
      <c r="U397" s="2" t="inlineStr"/>
    </row>
    <row r="398" ht="15" customHeight="1">
      <c r="A398" t="inlineStr">
        <is>
          <t>A 28928-2024</t>
        </is>
      </c>
      <c r="B398" t="inlineStr">
        <is>
          <t>avverkningsanmälan</t>
        </is>
      </c>
      <c r="C398" t="inlineStr">
        <is>
          <t>Avverkning för annat ändamål</t>
        </is>
      </c>
      <c r="D398" s="1" t="n">
        <v>45481</v>
      </c>
      <c r="E398" s="1" t="n">
        <v>46222</v>
      </c>
      <c r="F398" t="inlineStr">
        <is>
          <t>NORRBOTTENS LÄN</t>
        </is>
      </c>
      <c r="G398" t="inlineStr">
        <is>
          <t>ÖVERTORNEÅ</t>
        </is>
      </c>
      <c r="H398" t="inlineStr">
        <is>
          <t>Sveaskog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24972-2026</t>
        </is>
      </c>
      <c r="B399" t="inlineStr">
        <is>
          <t>avverkningsanmälan</t>
        </is>
      </c>
      <c r="C399" t="inlineStr">
        <is>
          <t>Föryngringsavverkning</t>
        </is>
      </c>
      <c r="D399" s="1" t="n">
        <v>46174</v>
      </c>
      <c r="E399" s="1" t="n">
        <v>46222</v>
      </c>
      <c r="F399" t="inlineStr">
        <is>
          <t>NORRBOTTENS LÄN</t>
        </is>
      </c>
      <c r="G399" t="inlineStr">
        <is>
          <t>ÖVERTORNEÅ</t>
        </is>
      </c>
      <c r="I399" t="n">
        <v>10.1</v>
      </c>
      <c r="J399" t="n">
        <v>0</v>
      </c>
      <c r="K399" t="n">
        <v>0</v>
      </c>
      <c r="L399" t="n">
        <v>0</v>
      </c>
      <c r="M399" t="n">
        <v>0</v>
      </c>
      <c r="N399" t="n">
        <v>0</v>
      </c>
      <c r="O399" t="n">
        <v>0</v>
      </c>
      <c r="P399" t="n">
        <v>0</v>
      </c>
      <c r="Q399" t="n">
        <v>0</v>
      </c>
      <c r="R399" t="n">
        <v>0</v>
      </c>
      <c r="S399" t="n">
        <v>0</v>
      </c>
      <c r="T399" t="n">
        <v>0</v>
      </c>
      <c r="U399" s="2" t="inlineStr"/>
    </row>
    <row r="400" ht="15" customHeight="1">
      <c r="A400" t="inlineStr">
        <is>
          <t>A 24803-2026</t>
        </is>
      </c>
      <c r="B400" t="inlineStr">
        <is>
          <t>avverkningsanmälan</t>
        </is>
      </c>
      <c r="C400" t="inlineStr">
        <is>
          <t>Föryngringsavverkning</t>
        </is>
      </c>
      <c r="D400" s="1" t="n">
        <v>46171</v>
      </c>
      <c r="E400" s="1" t="n">
        <v>46222</v>
      </c>
      <c r="F400" t="inlineStr">
        <is>
          <t>NORRBOTTENS LÄN</t>
        </is>
      </c>
      <c r="G400" t="inlineStr">
        <is>
          <t>ÖVERTORNEÅ</t>
        </is>
      </c>
      <c r="H400" t="inlineStr">
        <is>
          <t>Sveaskog</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58394-2024</t>
        </is>
      </c>
      <c r="B401" t="inlineStr">
        <is>
          <t>avverkningsanmälan</t>
        </is>
      </c>
      <c r="C401" t="inlineStr">
        <is>
          <t>Föryngringsavverkning</t>
        </is>
      </c>
      <c r="D401" s="1" t="n">
        <v>45633</v>
      </c>
      <c r="E401" s="1" t="n">
        <v>46222</v>
      </c>
      <c r="F401" t="inlineStr">
        <is>
          <t>NORRBOTTENS LÄN</t>
        </is>
      </c>
      <c r="G401" t="inlineStr">
        <is>
          <t>ÖVERTORNEÅ</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6790-2025</t>
        </is>
      </c>
      <c r="B402" t="inlineStr">
        <is>
          <t>avverkningsanmälan</t>
        </is>
      </c>
      <c r="C402" t="inlineStr">
        <is>
          <t>Föryngringsavverkning</t>
        </is>
      </c>
      <c r="D402" s="1" t="n">
        <v>45700</v>
      </c>
      <c r="E402" s="1" t="n">
        <v>46222</v>
      </c>
      <c r="F402" t="inlineStr">
        <is>
          <t>NORRBOTTENS LÄN</t>
        </is>
      </c>
      <c r="G402" t="inlineStr">
        <is>
          <t>ÖVERTORNEÅ</t>
        </is>
      </c>
      <c r="I402" t="n">
        <v>8.1</v>
      </c>
      <c r="J402" t="n">
        <v>0</v>
      </c>
      <c r="K402" t="n">
        <v>0</v>
      </c>
      <c r="L402" t="n">
        <v>0</v>
      </c>
      <c r="M402" t="n">
        <v>0</v>
      </c>
      <c r="N402" t="n">
        <v>0</v>
      </c>
      <c r="O402" t="n">
        <v>0</v>
      </c>
      <c r="P402" t="n">
        <v>0</v>
      </c>
      <c r="Q402" t="n">
        <v>0</v>
      </c>
      <c r="R402" t="n">
        <v>0</v>
      </c>
      <c r="S402" t="n">
        <v>0</v>
      </c>
      <c r="T402" t="n">
        <v>0</v>
      </c>
      <c r="U402" s="2" t="inlineStr"/>
    </row>
    <row r="403" ht="15" customHeight="1">
      <c r="A403" t="inlineStr">
        <is>
          <t>A 34402-2023</t>
        </is>
      </c>
      <c r="B403" t="inlineStr">
        <is>
          <t>avverkningsanmälan</t>
        </is>
      </c>
      <c r="C403" t="inlineStr">
        <is>
          <t>Föryngringsavverkning</t>
        </is>
      </c>
      <c r="D403" s="1" t="n">
        <v>45139</v>
      </c>
      <c r="E403" s="1" t="n">
        <v>46222</v>
      </c>
      <c r="F403" t="inlineStr">
        <is>
          <t>NORRBOTTENS LÄN</t>
        </is>
      </c>
      <c r="G403" t="inlineStr">
        <is>
          <t>ÖVERTORNEÅ</t>
        </is>
      </c>
      <c r="I403" t="n">
        <v>7.6</v>
      </c>
      <c r="J403" t="n">
        <v>0</v>
      </c>
      <c r="K403" t="n">
        <v>0</v>
      </c>
      <c r="L403" t="n">
        <v>0</v>
      </c>
      <c r="M403" t="n">
        <v>0</v>
      </c>
      <c r="N403" t="n">
        <v>0</v>
      </c>
      <c r="O403" t="n">
        <v>0</v>
      </c>
      <c r="P403" t="n">
        <v>0</v>
      </c>
      <c r="Q403" t="n">
        <v>0</v>
      </c>
      <c r="R403" t="n">
        <v>0</v>
      </c>
      <c r="S403" t="n">
        <v>0</v>
      </c>
      <c r="T403" t="n">
        <v>0</v>
      </c>
      <c r="U403" s="2" t="inlineStr"/>
    </row>
    <row r="404" ht="15" customHeight="1">
      <c r="A404" t="inlineStr">
        <is>
          <t>A 31196-2026</t>
        </is>
      </c>
      <c r="B404" t="inlineStr">
        <is>
          <t>avverkningsanmälan</t>
        </is>
      </c>
      <c r="C404" t="inlineStr">
        <is>
          <t>Föryngringsavverkning</t>
        </is>
      </c>
      <c r="D404" s="1" t="n">
        <v>46217</v>
      </c>
      <c r="E404" s="1" t="n">
        <v>46222</v>
      </c>
      <c r="F404" t="inlineStr">
        <is>
          <t>NORRBOTTENS LÄN</t>
        </is>
      </c>
      <c r="G404" t="inlineStr">
        <is>
          <t>ÖVERTORNEÅ</t>
        </is>
      </c>
      <c r="I404" t="n">
        <v>8.4</v>
      </c>
      <c r="J404" t="n">
        <v>0</v>
      </c>
      <c r="K404" t="n">
        <v>0</v>
      </c>
      <c r="L404" t="n">
        <v>0</v>
      </c>
      <c r="M404" t="n">
        <v>0</v>
      </c>
      <c r="N404" t="n">
        <v>0</v>
      </c>
      <c r="O404" t="n">
        <v>0</v>
      </c>
      <c r="P404" t="n">
        <v>0</v>
      </c>
      <c r="Q404" t="n">
        <v>0</v>
      </c>
      <c r="R404" t="n">
        <v>0</v>
      </c>
      <c r="S404" t="n">
        <v>0</v>
      </c>
      <c r="T404" t="n">
        <v>0</v>
      </c>
      <c r="U404" s="2" t="inlineStr"/>
    </row>
    <row r="405" ht="15" customHeight="1">
      <c r="A405" t="inlineStr">
        <is>
          <t>A 12532-2024</t>
        </is>
      </c>
      <c r="B405" t="inlineStr">
        <is>
          <t>avverkningsanmälan</t>
        </is>
      </c>
      <c r="C405" t="inlineStr">
        <is>
          <t>Föryngringsavverkning</t>
        </is>
      </c>
      <c r="D405" s="1" t="n">
        <v>45379</v>
      </c>
      <c r="E405" s="1" t="n">
        <v>46222</v>
      </c>
      <c r="F405" t="inlineStr">
        <is>
          <t>NORRBOTTENS LÄN</t>
        </is>
      </c>
      <c r="G405" t="inlineStr">
        <is>
          <t>ÖVERTORNEÅ</t>
        </is>
      </c>
      <c r="I405" t="n">
        <v>10.3</v>
      </c>
      <c r="J405" t="n">
        <v>0</v>
      </c>
      <c r="K405" t="n">
        <v>0</v>
      </c>
      <c r="L405" t="n">
        <v>0</v>
      </c>
      <c r="M405" t="n">
        <v>0</v>
      </c>
      <c r="N405" t="n">
        <v>0</v>
      </c>
      <c r="O405" t="n">
        <v>0</v>
      </c>
      <c r="P405" t="n">
        <v>0</v>
      </c>
      <c r="Q405" t="n">
        <v>0</v>
      </c>
      <c r="R405" t="n">
        <v>0</v>
      </c>
      <c r="S405" t="n">
        <v>0</v>
      </c>
      <c r="T405" t="n">
        <v>0</v>
      </c>
      <c r="U405" s="2" t="inlineStr"/>
    </row>
    <row r="406" ht="15" customHeight="1">
      <c r="A406" t="inlineStr">
        <is>
          <t>A 16356-2025</t>
        </is>
      </c>
      <c r="B406" t="inlineStr">
        <is>
          <t>avverkningsanmälan</t>
        </is>
      </c>
      <c r="C406" t="inlineStr">
        <is>
          <t>Föryngringsavverkning</t>
        </is>
      </c>
      <c r="D406" s="1" t="n">
        <v>45750</v>
      </c>
      <c r="E406" s="1" t="n">
        <v>46222</v>
      </c>
      <c r="F406" t="inlineStr">
        <is>
          <t>NORRBOTTENS LÄN</t>
        </is>
      </c>
      <c r="G406" t="inlineStr">
        <is>
          <t>ÖVERTORNEÅ</t>
        </is>
      </c>
      <c r="I406" t="n">
        <v>9.1</v>
      </c>
      <c r="J406" t="n">
        <v>0</v>
      </c>
      <c r="K406" t="n">
        <v>0</v>
      </c>
      <c r="L406" t="n">
        <v>0</v>
      </c>
      <c r="M406" t="n">
        <v>0</v>
      </c>
      <c r="N406" t="n">
        <v>0</v>
      </c>
      <c r="O406" t="n">
        <v>0</v>
      </c>
      <c r="P406" t="n">
        <v>0</v>
      </c>
      <c r="Q406" t="n">
        <v>0</v>
      </c>
      <c r="R406" t="n">
        <v>0</v>
      </c>
      <c r="S406" t="n">
        <v>0</v>
      </c>
      <c r="T406" t="n">
        <v>0</v>
      </c>
      <c r="U406" s="2" t="inlineStr"/>
    </row>
    <row r="407" ht="15" customHeight="1">
      <c r="A407" t="inlineStr">
        <is>
          <t>A 27300-2022</t>
        </is>
      </c>
      <c r="B407" t="inlineStr">
        <is>
          <t>avverkningsanmälan</t>
        </is>
      </c>
      <c r="C407" t="inlineStr">
        <is>
          <t>Föryngringsavverkning</t>
        </is>
      </c>
      <c r="D407" s="1" t="n">
        <v>44741</v>
      </c>
      <c r="E407" s="1" t="n">
        <v>46222</v>
      </c>
      <c r="F407" t="inlineStr">
        <is>
          <t>NORRBOTTENS LÄN</t>
        </is>
      </c>
      <c r="G407" t="inlineStr">
        <is>
          <t>ÖVERTORNEÅ</t>
        </is>
      </c>
      <c r="H407" t="inlineStr">
        <is>
          <t>Sveaskog</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25776-2026</t>
        </is>
      </c>
      <c r="B408" t="inlineStr">
        <is>
          <t>avverkningsanmälan</t>
        </is>
      </c>
      <c r="C408" t="inlineStr">
        <is>
          <t>Föryngringsavverkning</t>
        </is>
      </c>
      <c r="D408" s="1" t="n">
        <v>46178</v>
      </c>
      <c r="E408" s="1" t="n">
        <v>46222</v>
      </c>
      <c r="F408" t="inlineStr">
        <is>
          <t>NORRBOTTENS LÄN</t>
        </is>
      </c>
      <c r="G408" t="inlineStr">
        <is>
          <t>ÖVERTORNEÅ</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26299-2024</t>
        </is>
      </c>
      <c r="B409" t="inlineStr">
        <is>
          <t>avverkningsanmälan</t>
        </is>
      </c>
      <c r="C409" t="inlineStr">
        <is>
          <t>Föryngringsavverkning</t>
        </is>
      </c>
      <c r="D409" s="1" t="n">
        <v>45468</v>
      </c>
      <c r="E409" s="1" t="n">
        <v>46222</v>
      </c>
      <c r="F409" t="inlineStr">
        <is>
          <t>NORRBOTTENS LÄN</t>
        </is>
      </c>
      <c r="G409" t="inlineStr">
        <is>
          <t>ÖVERTORNEÅ</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25509-2026</t>
        </is>
      </c>
      <c r="B410" t="inlineStr">
        <is>
          <t>avverkningsanmälan</t>
        </is>
      </c>
      <c r="C410" t="inlineStr">
        <is>
          <t>Föryngringsavverkning</t>
        </is>
      </c>
      <c r="D410" s="1" t="n">
        <v>46177</v>
      </c>
      <c r="E410" s="1" t="n">
        <v>46222</v>
      </c>
      <c r="F410" t="inlineStr">
        <is>
          <t>NORRBOTTENS LÄN</t>
        </is>
      </c>
      <c r="G410" t="inlineStr">
        <is>
          <t>ÖVERTORNEÅ</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25751-2026</t>
        </is>
      </c>
      <c r="B411" t="inlineStr">
        <is>
          <t>avverkningsanmälan</t>
        </is>
      </c>
      <c r="C411" t="inlineStr">
        <is>
          <t>Föryngringsavverkning</t>
        </is>
      </c>
      <c r="D411" s="1" t="n">
        <v>46178</v>
      </c>
      <c r="E411" s="1" t="n">
        <v>46222</v>
      </c>
      <c r="F411" t="inlineStr">
        <is>
          <t>NORRBOTTENS LÄN</t>
        </is>
      </c>
      <c r="G411" t="inlineStr">
        <is>
          <t>ÖVERTORNEÅ</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25681-2026</t>
        </is>
      </c>
      <c r="B412" t="inlineStr">
        <is>
          <t>avverkningsanmälan</t>
        </is>
      </c>
      <c r="C412" t="inlineStr">
        <is>
          <t>Föryngringsavverkning</t>
        </is>
      </c>
      <c r="D412" s="1" t="n">
        <v>46178</v>
      </c>
      <c r="E412" s="1" t="n">
        <v>46222</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14392-2024</t>
        </is>
      </c>
      <c r="B413" t="inlineStr">
        <is>
          <t>avverkningsanmälan</t>
        </is>
      </c>
      <c r="C413" t="inlineStr">
        <is>
          <t>Föryngringsavverkning</t>
        </is>
      </c>
      <c r="D413" s="1" t="n">
        <v>45394</v>
      </c>
      <c r="E413" s="1" t="n">
        <v>46222</v>
      </c>
      <c r="F413" t="inlineStr">
        <is>
          <t>NORRBOTTENS LÄN</t>
        </is>
      </c>
      <c r="G413" t="inlineStr">
        <is>
          <t>ÖVERTORNEÅ</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8125-2025</t>
        </is>
      </c>
      <c r="B414" t="inlineStr">
        <is>
          <t>avverkningsanmälan</t>
        </is>
      </c>
      <c r="C414" t="inlineStr">
        <is>
          <t>Föryngringsavverkning</t>
        </is>
      </c>
      <c r="D414" s="1" t="n">
        <v>45707</v>
      </c>
      <c r="E414" s="1" t="n">
        <v>46222</v>
      </c>
      <c r="F414" t="inlineStr">
        <is>
          <t>NORRBOTTENS LÄN</t>
        </is>
      </c>
      <c r="G414" t="inlineStr">
        <is>
          <t>ÖVERTORNEÅ</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35995-2023</t>
        </is>
      </c>
      <c r="B415" t="inlineStr">
        <is>
          <t>avverkningsanmälan</t>
        </is>
      </c>
      <c r="C415" t="inlineStr">
        <is>
          <t>Föryngringsavverkning</t>
        </is>
      </c>
      <c r="D415" s="1" t="n">
        <v>45149</v>
      </c>
      <c r="E415" s="1" t="n">
        <v>46222</v>
      </c>
      <c r="F415" t="inlineStr">
        <is>
          <t>NORRBOTTENS LÄN</t>
        </is>
      </c>
      <c r="G415" t="inlineStr">
        <is>
          <t>ÖVERTORNEÅ</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17068-2024</t>
        </is>
      </c>
      <c r="B416" t="inlineStr">
        <is>
          <t>avverkningsanmälan</t>
        </is>
      </c>
      <c r="C416" t="inlineStr">
        <is>
          <t>Avverkning för att bevara och utveckla /försöksver</t>
        </is>
      </c>
      <c r="D416" s="1" t="n">
        <v>45412</v>
      </c>
      <c r="E416" s="1" t="n">
        <v>46222</v>
      </c>
      <c r="F416" t="inlineStr">
        <is>
          <t>NORRBOTTENS LÄN</t>
        </is>
      </c>
      <c r="G416" t="inlineStr">
        <is>
          <t>ÖVERTORNEÅ</t>
        </is>
      </c>
      <c r="H416" t="inlineStr">
        <is>
          <t>Naturvårdsverket</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12164-2024</t>
        </is>
      </c>
      <c r="B417" t="inlineStr">
        <is>
          <t>avverkningsanmälan</t>
        </is>
      </c>
      <c r="C417" t="inlineStr">
        <is>
          <t>Föryngringsavverkning</t>
        </is>
      </c>
      <c r="D417" s="1" t="n">
        <v>45377</v>
      </c>
      <c r="E417" s="1" t="n">
        <v>46222</v>
      </c>
      <c r="F417" t="inlineStr">
        <is>
          <t>NORRBOTTENS LÄN</t>
        </is>
      </c>
      <c r="G417" t="inlineStr">
        <is>
          <t>ÖVERTORNEÅ</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3982-2025</t>
        </is>
      </c>
      <c r="B418" t="inlineStr">
        <is>
          <t>avverkningsanmälan</t>
        </is>
      </c>
      <c r="C418" t="inlineStr">
        <is>
          <t>Avverkning för annat ändamål</t>
        </is>
      </c>
      <c r="D418" s="1" t="n">
        <v>45684</v>
      </c>
      <c r="E418" s="1" t="n">
        <v>46222</v>
      </c>
      <c r="F418" t="inlineStr">
        <is>
          <t>NORRBOTTENS LÄN</t>
        </is>
      </c>
      <c r="G418" t="inlineStr">
        <is>
          <t>ÖVERTORNEÅ</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17896-2023</t>
        </is>
      </c>
      <c r="B419" t="inlineStr">
        <is>
          <t>avverkningsanmälan</t>
        </is>
      </c>
      <c r="C419" t="inlineStr">
        <is>
          <t>Föryngringsavverkning</t>
        </is>
      </c>
      <c r="D419" s="1" t="n">
        <v>45039</v>
      </c>
      <c r="E419" s="1" t="n">
        <v>46222</v>
      </c>
      <c r="F419" t="inlineStr">
        <is>
          <t>NORRBOTTENS LÄN</t>
        </is>
      </c>
      <c r="G419" t="inlineStr">
        <is>
          <t>ÖVERTORNEÅ</t>
        </is>
      </c>
      <c r="I419" t="n">
        <v>0.3</v>
      </c>
      <c r="J419" t="n">
        <v>0</v>
      </c>
      <c r="K419" t="n">
        <v>0</v>
      </c>
      <c r="L419" t="n">
        <v>0</v>
      </c>
      <c r="M419" t="n">
        <v>0</v>
      </c>
      <c r="N419" t="n">
        <v>0</v>
      </c>
      <c r="O419" t="n">
        <v>0</v>
      </c>
      <c r="P419" t="n">
        <v>0</v>
      </c>
      <c r="Q419" t="n">
        <v>0</v>
      </c>
      <c r="R419" t="n">
        <v>0</v>
      </c>
      <c r="S419" t="n">
        <v>0</v>
      </c>
      <c r="T419" t="n">
        <v>0</v>
      </c>
      <c r="U419" s="2" t="inlineStr"/>
    </row>
    <row r="420" ht="15" customHeight="1">
      <c r="A420" t="inlineStr">
        <is>
          <t>A 33600-2024</t>
        </is>
      </c>
      <c r="B420" t="inlineStr">
        <is>
          <t>avverkningsanmälan</t>
        </is>
      </c>
      <c r="C420" t="inlineStr">
        <is>
          <t>Föryngringsavverkning</t>
        </is>
      </c>
      <c r="D420" s="1" t="n">
        <v>45520</v>
      </c>
      <c r="E420" s="1" t="n">
        <v>46222</v>
      </c>
      <c r="F420" t="inlineStr">
        <is>
          <t>NORRBOTTENS LÄN</t>
        </is>
      </c>
      <c r="G420" t="inlineStr">
        <is>
          <t>ÖVERTORNEÅ</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26181-2024</t>
        </is>
      </c>
      <c r="B421" t="inlineStr">
        <is>
          <t>avverkningsanmälan</t>
        </is>
      </c>
      <c r="C421" t="inlineStr">
        <is>
          <t>Föryngringsavverkning</t>
        </is>
      </c>
      <c r="D421" s="1" t="n">
        <v>45467</v>
      </c>
      <c r="E421" s="1" t="n">
        <v>46222</v>
      </c>
      <c r="F421" t="inlineStr">
        <is>
          <t>NORRBOTTENS LÄN</t>
        </is>
      </c>
      <c r="G421" t="inlineStr">
        <is>
          <t>ÖVERTORNEÅ</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21386-2025</t>
        </is>
      </c>
      <c r="B422" t="inlineStr">
        <is>
          <t>avverkningsanmälan</t>
        </is>
      </c>
      <c r="C422" t="inlineStr">
        <is>
          <t>Föryngringsavverkning</t>
        </is>
      </c>
      <c r="D422" s="1" t="n">
        <v>45782</v>
      </c>
      <c r="E422" s="1" t="n">
        <v>46222</v>
      </c>
      <c r="F422" t="inlineStr">
        <is>
          <t>NORRBOTTENS LÄN</t>
        </is>
      </c>
      <c r="G422" t="inlineStr">
        <is>
          <t>ÖVERTORNEÅ</t>
        </is>
      </c>
      <c r="I422" t="n">
        <v>30</v>
      </c>
      <c r="J422" t="n">
        <v>0</v>
      </c>
      <c r="K422" t="n">
        <v>0</v>
      </c>
      <c r="L422" t="n">
        <v>0</v>
      </c>
      <c r="M422" t="n">
        <v>0</v>
      </c>
      <c r="N422" t="n">
        <v>0</v>
      </c>
      <c r="O422" t="n">
        <v>0</v>
      </c>
      <c r="P422" t="n">
        <v>0</v>
      </c>
      <c r="Q422" t="n">
        <v>0</v>
      </c>
      <c r="R422" t="n">
        <v>0</v>
      </c>
      <c r="S422" t="n">
        <v>0</v>
      </c>
      <c r="T422" t="n">
        <v>0</v>
      </c>
      <c r="U422" s="2" t="inlineStr"/>
    </row>
    <row r="423" ht="15" customHeight="1">
      <c r="A423" t="inlineStr">
        <is>
          <t>A 22481-2025</t>
        </is>
      </c>
      <c r="B423" t="inlineStr">
        <is>
          <t>avverkningsanmälan</t>
        </is>
      </c>
      <c r="C423" t="inlineStr">
        <is>
          <t>Föryngringsavverkning</t>
        </is>
      </c>
      <c r="D423" s="1" t="n">
        <v>45786</v>
      </c>
      <c r="E423" s="1" t="n">
        <v>46222</v>
      </c>
      <c r="F423" t="inlineStr">
        <is>
          <t>NORRBOTTENS LÄN</t>
        </is>
      </c>
      <c r="G423" t="inlineStr">
        <is>
          <t>ÖVERTORNEÅ</t>
        </is>
      </c>
      <c r="H423" t="inlineStr">
        <is>
          <t>Sveaskog</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51272-2024</t>
        </is>
      </c>
      <c r="B424" t="inlineStr">
        <is>
          <t>avverkningsanmälan</t>
        </is>
      </c>
      <c r="C424" t="inlineStr">
        <is>
          <t>Föryngringsavverkning</t>
        </is>
      </c>
      <c r="D424" s="1" t="n">
        <v>45602</v>
      </c>
      <c r="E424" s="1" t="n">
        <v>46222</v>
      </c>
      <c r="F424" t="inlineStr">
        <is>
          <t>NORRBOTTENS LÄN</t>
        </is>
      </c>
      <c r="G424" t="inlineStr">
        <is>
          <t>ÖVERTORNEÅ</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10753-2024</t>
        </is>
      </c>
      <c r="B425" t="inlineStr">
        <is>
          <t>avverkningsanmälan</t>
        </is>
      </c>
      <c r="C425" t="inlineStr">
        <is>
          <t>Föryngringsavverkning</t>
        </is>
      </c>
      <c r="D425" s="1" t="n">
        <v>45369</v>
      </c>
      <c r="E425" s="1" t="n">
        <v>46222</v>
      </c>
      <c r="F425" t="inlineStr">
        <is>
          <t>NORRBOTTENS LÄN</t>
        </is>
      </c>
      <c r="G425" t="inlineStr">
        <is>
          <t>ÖVERTORNEÅ</t>
        </is>
      </c>
      <c r="I425" t="n">
        <v>3.8</v>
      </c>
      <c r="J425" t="n">
        <v>0</v>
      </c>
      <c r="K425" t="n">
        <v>0</v>
      </c>
      <c r="L425" t="n">
        <v>0</v>
      </c>
      <c r="M425" t="n">
        <v>0</v>
      </c>
      <c r="N425" t="n">
        <v>0</v>
      </c>
      <c r="O425" t="n">
        <v>0</v>
      </c>
      <c r="P425" t="n">
        <v>0</v>
      </c>
      <c r="Q425" t="n">
        <v>0</v>
      </c>
      <c r="R425" t="n">
        <v>0</v>
      </c>
      <c r="S425" t="n">
        <v>0</v>
      </c>
      <c r="T425" t="n">
        <v>0</v>
      </c>
      <c r="U425" s="2" t="inlineStr"/>
    </row>
    <row r="426" ht="15" customHeight="1">
      <c r="A426" t="inlineStr">
        <is>
          <t>A 34702-2024</t>
        </is>
      </c>
      <c r="B426" t="inlineStr">
        <is>
          <t>avverkningsanmälan</t>
        </is>
      </c>
      <c r="C426" t="inlineStr">
        <is>
          <t>Föryngringsavverkning</t>
        </is>
      </c>
      <c r="D426" s="1" t="n">
        <v>45526</v>
      </c>
      <c r="E426" s="1" t="n">
        <v>46222</v>
      </c>
      <c r="F426" t="inlineStr">
        <is>
          <t>NORRBOTTENS LÄN</t>
        </is>
      </c>
      <c r="G426" t="inlineStr">
        <is>
          <t>ÖVERTORNEÅ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14264-2024</t>
        </is>
      </c>
      <c r="B427" t="inlineStr">
        <is>
          <t>avverkningsanmälan</t>
        </is>
      </c>
      <c r="C427" t="inlineStr">
        <is>
          <t>Avverkning för annat ändamål</t>
        </is>
      </c>
      <c r="D427" s="1" t="n">
        <v>45393</v>
      </c>
      <c r="E427" s="1" t="n">
        <v>46222</v>
      </c>
      <c r="F427" t="inlineStr">
        <is>
          <t>NORRBOTTENS LÄN</t>
        </is>
      </c>
      <c r="G427" t="inlineStr">
        <is>
          <t>ÖVERTORNEÅ</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7505-2025</t>
        </is>
      </c>
      <c r="B428" t="inlineStr">
        <is>
          <t>avverkningsanmälan</t>
        </is>
      </c>
      <c r="C428" t="inlineStr">
        <is>
          <t>Föryngringsavverkning</t>
        </is>
      </c>
      <c r="D428" s="1" t="n">
        <v>45705</v>
      </c>
      <c r="E428" s="1" t="n">
        <v>46222</v>
      </c>
      <c r="F428" t="inlineStr">
        <is>
          <t>NORRBOTTENS LÄN</t>
        </is>
      </c>
      <c r="G428" t="inlineStr">
        <is>
          <t>ÖVERTORNEÅ</t>
        </is>
      </c>
      <c r="I428" t="n">
        <v>8.6</v>
      </c>
      <c r="J428" t="n">
        <v>0</v>
      </c>
      <c r="K428" t="n">
        <v>0</v>
      </c>
      <c r="L428" t="n">
        <v>0</v>
      </c>
      <c r="M428" t="n">
        <v>0</v>
      </c>
      <c r="N428" t="n">
        <v>0</v>
      </c>
      <c r="O428" t="n">
        <v>0</v>
      </c>
      <c r="P428" t="n">
        <v>0</v>
      </c>
      <c r="Q428" t="n">
        <v>0</v>
      </c>
      <c r="R428" t="n">
        <v>0</v>
      </c>
      <c r="S428" t="n">
        <v>0</v>
      </c>
      <c r="T428" t="n">
        <v>0</v>
      </c>
      <c r="U428" s="2" t="inlineStr"/>
    </row>
    <row r="429" ht="15" customHeight="1">
      <c r="A429" t="inlineStr">
        <is>
          <t>A 46037-2021</t>
        </is>
      </c>
      <c r="B429" t="inlineStr">
        <is>
          <t>avverkningsanmälan</t>
        </is>
      </c>
      <c r="C429" t="inlineStr">
        <is>
          <t>Föryngringsavverkning</t>
        </is>
      </c>
      <c r="D429" s="1" t="n">
        <v>44441</v>
      </c>
      <c r="E429" s="1" t="n">
        <v>46222</v>
      </c>
      <c r="F429" t="inlineStr">
        <is>
          <t>NORRBOTTENS LÄN</t>
        </is>
      </c>
      <c r="G429" t="inlineStr">
        <is>
          <t>ÖVERTORNEÅ</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23613-2025</t>
        </is>
      </c>
      <c r="B430" t="inlineStr">
        <is>
          <t>avverkningsanmälan</t>
        </is>
      </c>
      <c r="C430" t="inlineStr">
        <is>
          <t>Föryngringsavverkning</t>
        </is>
      </c>
      <c r="D430" s="1" t="n">
        <v>45792</v>
      </c>
      <c r="E430" s="1" t="n">
        <v>46222</v>
      </c>
      <c r="F430" t="inlineStr">
        <is>
          <t>NORRBOTTENS LÄN</t>
        </is>
      </c>
      <c r="G430" t="inlineStr">
        <is>
          <t>ÖVERTORNEÅ</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25245-2025</t>
        </is>
      </c>
      <c r="B431" t="inlineStr">
        <is>
          <t>avverkningsanmälan</t>
        </is>
      </c>
      <c r="C431" t="inlineStr">
        <is>
          <t>Föryngringsavverkning</t>
        </is>
      </c>
      <c r="D431" s="1" t="n">
        <v>45799</v>
      </c>
      <c r="E431" s="1" t="n">
        <v>46222</v>
      </c>
      <c r="F431" t="inlineStr">
        <is>
          <t>NORRBOTTENS LÄN</t>
        </is>
      </c>
      <c r="G431" t="inlineStr">
        <is>
          <t>ÖVERTORNEÅ</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24877-2025</t>
        </is>
      </c>
      <c r="B432" t="inlineStr">
        <is>
          <t>avverkningsanmälan</t>
        </is>
      </c>
      <c r="C432" t="inlineStr">
        <is>
          <t>Föryngringsavverkning</t>
        </is>
      </c>
      <c r="D432" s="1" t="n">
        <v>45799</v>
      </c>
      <c r="E432" s="1" t="n">
        <v>46222</v>
      </c>
      <c r="F432" t="inlineStr">
        <is>
          <t>NORRBOTTENS LÄN</t>
        </is>
      </c>
      <c r="G432" t="inlineStr">
        <is>
          <t>ÖVERTORNEÅ</t>
        </is>
      </c>
      <c r="I432" t="n">
        <v>10.3</v>
      </c>
      <c r="J432" t="n">
        <v>0</v>
      </c>
      <c r="K432" t="n">
        <v>0</v>
      </c>
      <c r="L432" t="n">
        <v>0</v>
      </c>
      <c r="M432" t="n">
        <v>0</v>
      </c>
      <c r="N432" t="n">
        <v>0</v>
      </c>
      <c r="O432" t="n">
        <v>0</v>
      </c>
      <c r="P432" t="n">
        <v>0</v>
      </c>
      <c r="Q432" t="n">
        <v>0</v>
      </c>
      <c r="R432" t="n">
        <v>0</v>
      </c>
      <c r="S432" t="n">
        <v>0</v>
      </c>
      <c r="T432" t="n">
        <v>0</v>
      </c>
      <c r="U432" s="2" t="inlineStr"/>
    </row>
    <row r="433" ht="15" customHeight="1">
      <c r="A433" t="inlineStr">
        <is>
          <t>A 51273-2024</t>
        </is>
      </c>
      <c r="B433" t="inlineStr">
        <is>
          <t>avverkningsanmälan</t>
        </is>
      </c>
      <c r="C433" t="inlineStr">
        <is>
          <t>Föryngringsavverkning</t>
        </is>
      </c>
      <c r="D433" s="1" t="n">
        <v>45602</v>
      </c>
      <c r="E433" s="1" t="n">
        <v>46222</v>
      </c>
      <c r="F433" t="inlineStr">
        <is>
          <t>NORRBOTTENS LÄN</t>
        </is>
      </c>
      <c r="G433" t="inlineStr">
        <is>
          <t>ÖVERTORNEÅ</t>
        </is>
      </c>
      <c r="I433" t="n">
        <v>13.6</v>
      </c>
      <c r="J433" t="n">
        <v>0</v>
      </c>
      <c r="K433" t="n">
        <v>0</v>
      </c>
      <c r="L433" t="n">
        <v>0</v>
      </c>
      <c r="M433" t="n">
        <v>0</v>
      </c>
      <c r="N433" t="n">
        <v>0</v>
      </c>
      <c r="O433" t="n">
        <v>0</v>
      </c>
      <c r="P433" t="n">
        <v>0</v>
      </c>
      <c r="Q433" t="n">
        <v>0</v>
      </c>
      <c r="R433" t="n">
        <v>0</v>
      </c>
      <c r="S433" t="n">
        <v>0</v>
      </c>
      <c r="T433" t="n">
        <v>0</v>
      </c>
      <c r="U433" s="2" t="inlineStr"/>
    </row>
    <row r="434" ht="15" customHeight="1">
      <c r="A434" t="inlineStr">
        <is>
          <t>A 34154-2023</t>
        </is>
      </c>
      <c r="B434" t="inlineStr">
        <is>
          <t>avverkningsanmälan</t>
        </is>
      </c>
      <c r="C434" t="inlineStr">
        <is>
          <t>Föryngringsavverkning</t>
        </is>
      </c>
      <c r="D434" s="1" t="n">
        <v>45137</v>
      </c>
      <c r="E434" s="1" t="n">
        <v>46222</v>
      </c>
      <c r="F434" t="inlineStr">
        <is>
          <t>NORRBOTTENS LÄN</t>
        </is>
      </c>
      <c r="G434" t="inlineStr">
        <is>
          <t>ÖVERTORNEÅ</t>
        </is>
      </c>
      <c r="I434" t="n">
        <v>37.1</v>
      </c>
      <c r="J434" t="n">
        <v>0</v>
      </c>
      <c r="K434" t="n">
        <v>0</v>
      </c>
      <c r="L434" t="n">
        <v>0</v>
      </c>
      <c r="M434" t="n">
        <v>0</v>
      </c>
      <c r="N434" t="n">
        <v>0</v>
      </c>
      <c r="O434" t="n">
        <v>0</v>
      </c>
      <c r="P434" t="n">
        <v>0</v>
      </c>
      <c r="Q434" t="n">
        <v>0</v>
      </c>
      <c r="R434" t="n">
        <v>0</v>
      </c>
      <c r="S434" t="n">
        <v>0</v>
      </c>
      <c r="T434" t="n">
        <v>0</v>
      </c>
      <c r="U434" s="2" t="inlineStr"/>
    </row>
    <row r="435" ht="15" customHeight="1">
      <c r="A435" t="inlineStr">
        <is>
          <t>A 51682-2023</t>
        </is>
      </c>
      <c r="B435" t="inlineStr">
        <is>
          <t>avverkningsanmälan</t>
        </is>
      </c>
      <c r="C435" t="inlineStr">
        <is>
          <t>Föryngringsavverkning</t>
        </is>
      </c>
      <c r="D435" s="1" t="n">
        <v>45222</v>
      </c>
      <c r="E435" s="1" t="n">
        <v>46222</v>
      </c>
      <c r="F435" t="inlineStr">
        <is>
          <t>NORRBOTTENS LÄN</t>
        </is>
      </c>
      <c r="G435" t="inlineStr">
        <is>
          <t>ÖVERTORNEÅ</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46222</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46222</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46222</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46222</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2026-07-19T01:33:48Z</dcterms:created>
  <dcterms:modified xmlns:dcterms="http://purl.org/dc/terms/" xmlns:xsi="http://www.w3.org/2001/XMLSchema-instance" xsi:type="dcterms:W3CDTF">2026-07-19T01:33:49Z</dcterms:modified>
</cp:coreProperties>
</file>
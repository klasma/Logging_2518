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15638-2024</t>
        </is>
      </c>
      <c r="B2" s="1" t="n">
        <v>45403</v>
      </c>
      <c r="C2" s="1" t="n">
        <v>45669</v>
      </c>
      <c r="D2" t="inlineStr">
        <is>
          <t>NORRBOTTENS LÄN</t>
        </is>
      </c>
      <c r="E2" t="inlineStr">
        <is>
          <t>ÖVERTORNEÅ</t>
        </is>
      </c>
      <c r="G2" t="n">
        <v>15.5</v>
      </c>
      <c r="H2" t="n">
        <v>7</v>
      </c>
      <c r="I2" t="n">
        <v>8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20</v>
      </c>
      <c r="R2" s="2" t="inlineStr">
        <is>
          <t>Knärot
Rynkskinn
Gammelgransskål
Garnlav
Granticka
Järpe
Lunglav
Spillkråka
Tretåig hackspett
Violmussling
Barkticka
Bronshjon
Luddlav
Norrlandslav
Skinnlav
Spindelblomster
Stor aspticka
Stuplav
Tjäder
Revlummer</t>
        </is>
      </c>
      <c r="S2">
        <f>HYPERLINK("https://klasma.github.io/Logging_2518/artfynd/A 15638-2024 artfynd.xlsx", "A 15638-2024")</f>
        <v/>
      </c>
      <c r="T2">
        <f>HYPERLINK("https://klasma.github.io/Logging_2518/kartor/A 15638-2024 karta.png", "A 15638-2024")</f>
        <v/>
      </c>
      <c r="U2">
        <f>HYPERLINK("https://klasma.github.io/Logging_2518/knärot/A 15638-2024 karta knärot.png", "A 15638-2024")</f>
        <v/>
      </c>
      <c r="V2">
        <f>HYPERLINK("https://klasma.github.io/Logging_2518/klagomål/A 15638-2024 FSC-klagomål.docx", "A 15638-2024")</f>
        <v/>
      </c>
      <c r="W2">
        <f>HYPERLINK("https://klasma.github.io/Logging_2518/klagomålsmail/A 15638-2024 FSC-klagomål mail.docx", "A 15638-2024")</f>
        <v/>
      </c>
      <c r="X2">
        <f>HYPERLINK("https://klasma.github.io/Logging_2518/tillsyn/A 15638-2024 tillsynsbegäran.docx", "A 15638-2024")</f>
        <v/>
      </c>
      <c r="Y2">
        <f>HYPERLINK("https://klasma.github.io/Logging_2518/tillsynsmail/A 15638-2024 tillsynsbegäran mail.docx", "A 15638-2024")</f>
        <v/>
      </c>
      <c r="Z2">
        <f>HYPERLINK("https://klasma.github.io/Logging_2518/fåglar/A 15638-2024 prioriterade fågelarter.docx", "A 15638-2024")</f>
        <v/>
      </c>
    </row>
    <row r="3" ht="15" customHeight="1">
      <c r="A3" t="inlineStr">
        <is>
          <t>A 39691-2023</t>
        </is>
      </c>
      <c r="B3" s="1" t="n">
        <v>45167</v>
      </c>
      <c r="C3" s="1" t="n">
        <v>45669</v>
      </c>
      <c r="D3" t="inlineStr">
        <is>
          <t>NORRBOTTENS LÄN</t>
        </is>
      </c>
      <c r="E3" t="inlineStr">
        <is>
          <t>ÖVERTORNEÅ</t>
        </is>
      </c>
      <c r="G3" t="n">
        <v>6.4</v>
      </c>
      <c r="H3" t="n">
        <v>3</v>
      </c>
      <c r="I3" t="n">
        <v>3</v>
      </c>
      <c r="J3" t="n">
        <v>13</v>
      </c>
      <c r="K3" t="n">
        <v>1</v>
      </c>
      <c r="L3" t="n">
        <v>0</v>
      </c>
      <c r="M3" t="n">
        <v>0</v>
      </c>
      <c r="N3" t="n">
        <v>0</v>
      </c>
      <c r="O3" t="n">
        <v>14</v>
      </c>
      <c r="P3" t="n">
        <v>1</v>
      </c>
      <c r="Q3" t="n">
        <v>19</v>
      </c>
      <c r="R3" s="2" t="inlineStr">
        <is>
          <t>Lakritsmusseron
Blå taggsvamp
Gammelgransskål
Garnlav
Granticka
Motaggsvamp
Orange taggsvamp
Skrovlig taggsvamp
Spillkråka
Svart taggsvamp
Svartvit taggsvamp
Tallriska
Vitplätt
Äggvaxskivling
Dropptaggsvamp
Skarp dropptaggsvamp
Vedticka
Lavskrika
Vanlig groda</t>
        </is>
      </c>
      <c r="S3">
        <f>HYPERLINK("https://klasma.github.io/Logging_2518/artfynd/A 39691-2023 artfynd.xlsx", "A 39691-2023")</f>
        <v/>
      </c>
      <c r="T3">
        <f>HYPERLINK("https://klasma.github.io/Logging_2518/kartor/A 39691-2023 karta.png", "A 39691-2023")</f>
        <v/>
      </c>
      <c r="V3">
        <f>HYPERLINK("https://klasma.github.io/Logging_2518/klagomål/A 39691-2023 FSC-klagomål.docx", "A 39691-2023")</f>
        <v/>
      </c>
      <c r="W3">
        <f>HYPERLINK("https://klasma.github.io/Logging_2518/klagomålsmail/A 39691-2023 FSC-klagomål mail.docx", "A 39691-2023")</f>
        <v/>
      </c>
      <c r="X3">
        <f>HYPERLINK("https://klasma.github.io/Logging_2518/tillsyn/A 39691-2023 tillsynsbegäran.docx", "A 39691-2023")</f>
        <v/>
      </c>
      <c r="Y3">
        <f>HYPERLINK("https://klasma.github.io/Logging_2518/tillsynsmail/A 39691-2023 tillsynsbegäran mail.docx", "A 39691-2023")</f>
        <v/>
      </c>
      <c r="Z3">
        <f>HYPERLINK("https://klasma.github.io/Logging_2518/fåglar/A 39691-2023 prioriterade fågelarter.docx", "A 39691-2023")</f>
        <v/>
      </c>
    </row>
    <row r="4" ht="15" customHeight="1">
      <c r="A4" t="inlineStr">
        <is>
          <t>A 12524-2024</t>
        </is>
      </c>
      <c r="B4" s="1" t="n">
        <v>45379</v>
      </c>
      <c r="C4" s="1" t="n">
        <v>45669</v>
      </c>
      <c r="D4" t="inlineStr">
        <is>
          <t>NORRBOTTENS LÄN</t>
        </is>
      </c>
      <c r="E4" t="inlineStr">
        <is>
          <t>ÖVERTORNEÅ</t>
        </is>
      </c>
      <c r="G4" t="n">
        <v>40.4</v>
      </c>
      <c r="H4" t="n">
        <v>7</v>
      </c>
      <c r="I4" t="n">
        <v>9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19</v>
      </c>
      <c r="R4" s="2" t="inlineStr">
        <is>
          <t>Knärot
Blanksvart spiklav
Garnlav
Järpe
Kolflarnlav
Mörk kolflarnlav
Spillkråka
Tretåig hackspett
Bårdlav
Grönpyrola
Luddlav
Norrlandslav
Plattlummer
Skinnlav
Stor aspticka
Stuplav
Zontaggsvamp
Lavskrika
Fläcknycklar</t>
        </is>
      </c>
      <c r="S4">
        <f>HYPERLINK("https://klasma.github.io/Logging_2518/artfynd/A 12524-2024 artfynd.xlsx", "A 12524-2024")</f>
        <v/>
      </c>
      <c r="T4">
        <f>HYPERLINK("https://klasma.github.io/Logging_2518/kartor/A 12524-2024 karta.png", "A 12524-2024")</f>
        <v/>
      </c>
      <c r="U4">
        <f>HYPERLINK("https://klasma.github.io/Logging_2518/knärot/A 12524-2024 karta knärot.png", "A 12524-2024")</f>
        <v/>
      </c>
      <c r="V4">
        <f>HYPERLINK("https://klasma.github.io/Logging_2518/klagomål/A 12524-2024 FSC-klagomål.docx", "A 12524-2024")</f>
        <v/>
      </c>
      <c r="W4">
        <f>HYPERLINK("https://klasma.github.io/Logging_2518/klagomålsmail/A 12524-2024 FSC-klagomål mail.docx", "A 12524-2024")</f>
        <v/>
      </c>
      <c r="X4">
        <f>HYPERLINK("https://klasma.github.io/Logging_2518/tillsyn/A 12524-2024 tillsynsbegäran.docx", "A 12524-2024")</f>
        <v/>
      </c>
      <c r="Y4">
        <f>HYPERLINK("https://klasma.github.io/Logging_2518/tillsynsmail/A 12524-2024 tillsynsbegäran mail.docx", "A 12524-2024")</f>
        <v/>
      </c>
      <c r="Z4">
        <f>HYPERLINK("https://klasma.github.io/Logging_2518/fåglar/A 12524-2024 prioriterade fågelarter.docx", "A 12524-2024")</f>
        <v/>
      </c>
    </row>
    <row r="5" ht="15" customHeight="1">
      <c r="A5" t="inlineStr">
        <is>
          <t>A 29053-2020</t>
        </is>
      </c>
      <c r="B5" s="1" t="n">
        <v>44000</v>
      </c>
      <c r="C5" s="1" t="n">
        <v>45669</v>
      </c>
      <c r="D5" t="inlineStr">
        <is>
          <t>NORRBOTTENS LÄN</t>
        </is>
      </c>
      <c r="E5" t="inlineStr">
        <is>
          <t>ÖVERTORNEÅ</t>
        </is>
      </c>
      <c r="G5" t="n">
        <v>5.1</v>
      </c>
      <c r="H5" t="n">
        <v>3</v>
      </c>
      <c r="I5" t="n">
        <v>5</v>
      </c>
      <c r="J5" t="n">
        <v>11</v>
      </c>
      <c r="K5" t="n">
        <v>2</v>
      </c>
      <c r="L5" t="n">
        <v>0</v>
      </c>
      <c r="M5" t="n">
        <v>0</v>
      </c>
      <c r="N5" t="n">
        <v>0</v>
      </c>
      <c r="O5" t="n">
        <v>13</v>
      </c>
      <c r="P5" t="n">
        <v>2</v>
      </c>
      <c r="Q5" t="n">
        <v>18</v>
      </c>
      <c r="R5" s="2" t="inlineStr">
        <is>
          <t>Knärot
Rynkskinn
Dvärgbägarlav
Gammelgransskål
Garnlav
Gränsticka
Kolflarnlav
Lunglav
Oljetagging
Rosenticka
Spillkråka
Tretåig hackspett
Ullticka
Fjällig taggsvamp s.str.
Luddlav
Norrlandslav
Stuplav
Trådticka</t>
        </is>
      </c>
      <c r="S5">
        <f>HYPERLINK("https://klasma.github.io/Logging_2518/artfynd/A 29053-2020 artfynd.xlsx", "A 29053-2020")</f>
        <v/>
      </c>
      <c r="T5">
        <f>HYPERLINK("https://klasma.github.io/Logging_2518/kartor/A 29053-2020 karta.png", "A 29053-2020")</f>
        <v/>
      </c>
      <c r="U5">
        <f>HYPERLINK("https://klasma.github.io/Logging_2518/knärot/A 29053-2020 karta knärot.png", "A 29053-2020")</f>
        <v/>
      </c>
      <c r="V5">
        <f>HYPERLINK("https://klasma.github.io/Logging_2518/klagomål/A 29053-2020 FSC-klagomål.docx", "A 29053-2020")</f>
        <v/>
      </c>
      <c r="W5">
        <f>HYPERLINK("https://klasma.github.io/Logging_2518/klagomålsmail/A 29053-2020 FSC-klagomål mail.docx", "A 29053-2020")</f>
        <v/>
      </c>
      <c r="X5">
        <f>HYPERLINK("https://klasma.github.io/Logging_2518/tillsyn/A 29053-2020 tillsynsbegäran.docx", "A 29053-2020")</f>
        <v/>
      </c>
      <c r="Y5">
        <f>HYPERLINK("https://klasma.github.io/Logging_2518/tillsynsmail/A 29053-2020 tillsynsbegäran mail.docx", "A 29053-2020")</f>
        <v/>
      </c>
      <c r="Z5">
        <f>HYPERLINK("https://klasma.github.io/Logging_2518/fåglar/A 29053-2020 prioriterade fågelarter.docx", "A 29053-2020")</f>
        <v/>
      </c>
    </row>
    <row r="6" ht="15" customHeight="1">
      <c r="A6" t="inlineStr">
        <is>
          <t>A 27057-2023</t>
        </is>
      </c>
      <c r="B6" s="1" t="n">
        <v>45096</v>
      </c>
      <c r="C6" s="1" t="n">
        <v>45669</v>
      </c>
      <c r="D6" t="inlineStr">
        <is>
          <t>NORRBOTTENS LÄN</t>
        </is>
      </c>
      <c r="E6" t="inlineStr">
        <is>
          <t>ÖVERTORNEÅ</t>
        </is>
      </c>
      <c r="G6" t="n">
        <v>18.7</v>
      </c>
      <c r="H6" t="n">
        <v>3</v>
      </c>
      <c r="I6" t="n">
        <v>6</v>
      </c>
      <c r="J6" t="n">
        <v>8</v>
      </c>
      <c r="K6" t="n">
        <v>2</v>
      </c>
      <c r="L6" t="n">
        <v>0</v>
      </c>
      <c r="M6" t="n">
        <v>0</v>
      </c>
      <c r="N6" t="n">
        <v>0</v>
      </c>
      <c r="O6" t="n">
        <v>10</v>
      </c>
      <c r="P6" t="n">
        <v>2</v>
      </c>
      <c r="Q6" t="n">
        <v>17</v>
      </c>
      <c r="R6" s="2" t="inlineStr">
        <is>
          <t>Gräddporing
Knärot
Blanksvart spiklav
Gammelgransskål
Garnlav
Lunglav
Mörk kolflarnlav
Nordtagging
Spillkråka
Vitplätt
Barkticka
Bårdlav
Luddlav
Norrlandslav
Skinnlav
Stuplav
Fläcknycklar</t>
        </is>
      </c>
      <c r="S6">
        <f>HYPERLINK("https://klasma.github.io/Logging_2518/artfynd/A 27057-2023 artfynd.xlsx", "A 27057-2023")</f>
        <v/>
      </c>
      <c r="T6">
        <f>HYPERLINK("https://klasma.github.io/Logging_2518/kartor/A 27057-2023 karta.png", "A 27057-2023")</f>
        <v/>
      </c>
      <c r="U6">
        <f>HYPERLINK("https://klasma.github.io/Logging_2518/knärot/A 27057-2023 karta knärot.png", "A 27057-2023")</f>
        <v/>
      </c>
      <c r="V6">
        <f>HYPERLINK("https://klasma.github.io/Logging_2518/klagomål/A 27057-2023 FSC-klagomål.docx", "A 27057-2023")</f>
        <v/>
      </c>
      <c r="W6">
        <f>HYPERLINK("https://klasma.github.io/Logging_2518/klagomålsmail/A 27057-2023 FSC-klagomål mail.docx", "A 27057-2023")</f>
        <v/>
      </c>
      <c r="X6">
        <f>HYPERLINK("https://klasma.github.io/Logging_2518/tillsyn/A 27057-2023 tillsynsbegäran.docx", "A 27057-2023")</f>
        <v/>
      </c>
      <c r="Y6">
        <f>HYPERLINK("https://klasma.github.io/Logging_2518/tillsynsmail/A 27057-2023 tillsynsbegäran mail.docx", "A 27057-2023")</f>
        <v/>
      </c>
      <c r="Z6">
        <f>HYPERLINK("https://klasma.github.io/Logging_2518/fåglar/A 27057-2023 prioriterade fågelarter.docx", "A 27057-2023")</f>
        <v/>
      </c>
    </row>
    <row r="7" ht="15" customHeight="1">
      <c r="A7" t="inlineStr">
        <is>
          <t>A 36117-2023</t>
        </is>
      </c>
      <c r="B7" s="1" t="n">
        <v>45148</v>
      </c>
      <c r="C7" s="1" t="n">
        <v>45669</v>
      </c>
      <c r="D7" t="inlineStr">
        <is>
          <t>NORRBOTTENS LÄN</t>
        </is>
      </c>
      <c r="E7" t="inlineStr">
        <is>
          <t>ÖVERTORNEÅ</t>
        </is>
      </c>
      <c r="G7" t="n">
        <v>15.5</v>
      </c>
      <c r="H7" t="n">
        <v>2</v>
      </c>
      <c r="I7" t="n">
        <v>6</v>
      </c>
      <c r="J7" t="n">
        <v>8</v>
      </c>
      <c r="K7" t="n">
        <v>0</v>
      </c>
      <c r="L7" t="n">
        <v>0</v>
      </c>
      <c r="M7" t="n">
        <v>0</v>
      </c>
      <c r="N7" t="n">
        <v>0</v>
      </c>
      <c r="O7" t="n">
        <v>8</v>
      </c>
      <c r="P7" t="n">
        <v>0</v>
      </c>
      <c r="Q7" t="n">
        <v>15</v>
      </c>
      <c r="R7" s="2" t="inlineStr">
        <is>
          <t>Gammelgransskål
Garnlav
Mörk kolflarnlav
Nordtagging
Spillkråka
Tallticka
Ullticka
Vitplätt
Bronshjon
Bårdlav
Skinnlav
Stor aspticka
Stuplav
Vedticka
Revlummer</t>
        </is>
      </c>
      <c r="S7">
        <f>HYPERLINK("https://klasma.github.io/Logging_2518/artfynd/A 36117-2023 artfynd.xlsx", "A 36117-2023")</f>
        <v/>
      </c>
      <c r="T7">
        <f>HYPERLINK("https://klasma.github.io/Logging_2518/kartor/A 36117-2023 karta.png", "A 36117-2023")</f>
        <v/>
      </c>
      <c r="V7">
        <f>HYPERLINK("https://klasma.github.io/Logging_2518/klagomål/A 36117-2023 FSC-klagomål.docx", "A 36117-2023")</f>
        <v/>
      </c>
      <c r="W7">
        <f>HYPERLINK("https://klasma.github.io/Logging_2518/klagomålsmail/A 36117-2023 FSC-klagomål mail.docx", "A 36117-2023")</f>
        <v/>
      </c>
      <c r="X7">
        <f>HYPERLINK("https://klasma.github.io/Logging_2518/tillsyn/A 36117-2023 tillsynsbegäran.docx", "A 36117-2023")</f>
        <v/>
      </c>
      <c r="Y7">
        <f>HYPERLINK("https://klasma.github.io/Logging_2518/tillsynsmail/A 36117-2023 tillsynsbegäran mail.docx", "A 36117-2023")</f>
        <v/>
      </c>
      <c r="Z7">
        <f>HYPERLINK("https://klasma.github.io/Logging_2518/fåglar/A 36117-2023 prioriterade fågelarter.docx", "A 36117-2023")</f>
        <v/>
      </c>
    </row>
    <row r="8" ht="15" customHeight="1">
      <c r="A8" t="inlineStr">
        <is>
          <t>A 12519-2024</t>
        </is>
      </c>
      <c r="B8" s="1" t="n">
        <v>45379</v>
      </c>
      <c r="C8" s="1" t="n">
        <v>45669</v>
      </c>
      <c r="D8" t="inlineStr">
        <is>
          <t>NORRBOTTENS LÄN</t>
        </is>
      </c>
      <c r="E8" t="inlineStr">
        <is>
          <t>ÖVERTORNEÅ</t>
        </is>
      </c>
      <c r="G8" t="n">
        <v>8.1</v>
      </c>
      <c r="H8" t="n">
        <v>6</v>
      </c>
      <c r="I8" t="n">
        <v>6</v>
      </c>
      <c r="J8" t="n">
        <v>8</v>
      </c>
      <c r="K8" t="n">
        <v>1</v>
      </c>
      <c r="L8" t="n">
        <v>0</v>
      </c>
      <c r="M8" t="n">
        <v>0</v>
      </c>
      <c r="N8" t="n">
        <v>0</v>
      </c>
      <c r="O8" t="n">
        <v>9</v>
      </c>
      <c r="P8" t="n">
        <v>1</v>
      </c>
      <c r="Q8" t="n">
        <v>15</v>
      </c>
      <c r="R8" s="2" t="inlineStr">
        <is>
          <t>Knärot
Dvärgbägarlav
Garnlav
Granticka
Nordtagging
Spillkråka
Talltita
Tretåig hackspett
Violmussling
Grönpyrola
Norrlandslav
Plattlummer
Skinnlav
Spindelblomster
Stuplav</t>
        </is>
      </c>
      <c r="S8">
        <f>HYPERLINK("https://klasma.github.io/Logging_2518/artfynd/A 12519-2024 artfynd.xlsx", "A 12519-2024")</f>
        <v/>
      </c>
      <c r="T8">
        <f>HYPERLINK("https://klasma.github.io/Logging_2518/kartor/A 12519-2024 karta.png", "A 12519-2024")</f>
        <v/>
      </c>
      <c r="U8">
        <f>HYPERLINK("https://klasma.github.io/Logging_2518/knärot/A 12519-2024 karta knärot.png", "A 12519-2024")</f>
        <v/>
      </c>
      <c r="V8">
        <f>HYPERLINK("https://klasma.github.io/Logging_2518/klagomål/A 12519-2024 FSC-klagomål.docx", "A 12519-2024")</f>
        <v/>
      </c>
      <c r="W8">
        <f>HYPERLINK("https://klasma.github.io/Logging_2518/klagomålsmail/A 12519-2024 FSC-klagomål mail.docx", "A 12519-2024")</f>
        <v/>
      </c>
      <c r="X8">
        <f>HYPERLINK("https://klasma.github.io/Logging_2518/tillsyn/A 12519-2024 tillsynsbegäran.docx", "A 12519-2024")</f>
        <v/>
      </c>
      <c r="Y8">
        <f>HYPERLINK("https://klasma.github.io/Logging_2518/tillsynsmail/A 12519-2024 tillsynsbegäran mail.docx", "A 12519-2024")</f>
        <v/>
      </c>
      <c r="Z8">
        <f>HYPERLINK("https://klasma.github.io/Logging_2518/fåglar/A 12519-2024 prioriterade fågelarter.docx", "A 12519-2024")</f>
        <v/>
      </c>
    </row>
    <row r="9" ht="15" customHeight="1">
      <c r="A9" t="inlineStr">
        <is>
          <t>A 22909-2024</t>
        </is>
      </c>
      <c r="B9" s="1" t="n">
        <v>45448</v>
      </c>
      <c r="C9" s="1" t="n">
        <v>45669</v>
      </c>
      <c r="D9" t="inlineStr">
        <is>
          <t>NORRBOTTENS LÄN</t>
        </is>
      </c>
      <c r="E9" t="inlineStr">
        <is>
          <t>ÖVERTORNEÅ</t>
        </is>
      </c>
      <c r="G9" t="n">
        <v>12.4</v>
      </c>
      <c r="H9" t="n">
        <v>8</v>
      </c>
      <c r="I9" t="n">
        <v>5</v>
      </c>
      <c r="J9" t="n">
        <v>7</v>
      </c>
      <c r="K9" t="n">
        <v>1</v>
      </c>
      <c r="L9" t="n">
        <v>0</v>
      </c>
      <c r="M9" t="n">
        <v>0</v>
      </c>
      <c r="N9" t="n">
        <v>0</v>
      </c>
      <c r="O9" t="n">
        <v>8</v>
      </c>
      <c r="P9" t="n">
        <v>1</v>
      </c>
      <c r="Q9" t="n">
        <v>15</v>
      </c>
      <c r="R9" s="2" t="inlineStr">
        <is>
          <t>Knärot
Garnlav
Granticka
Järpe
Spillkråka
Tretåig hackspett
Ullticka
Violmussling
Plattlummer
Spindelblomster
Stor aspticka
Stuplav
Trådticka
Tjäder
Revlummer</t>
        </is>
      </c>
      <c r="S9">
        <f>HYPERLINK("https://klasma.github.io/Logging_2518/artfynd/A 22909-2024 artfynd.xlsx", "A 22909-2024")</f>
        <v/>
      </c>
      <c r="T9">
        <f>HYPERLINK("https://klasma.github.io/Logging_2518/kartor/A 22909-2024 karta.png", "A 22909-2024")</f>
        <v/>
      </c>
      <c r="U9">
        <f>HYPERLINK("https://klasma.github.io/Logging_2518/knärot/A 22909-2024 karta knärot.png", "A 22909-2024")</f>
        <v/>
      </c>
      <c r="V9">
        <f>HYPERLINK("https://klasma.github.io/Logging_2518/klagomål/A 22909-2024 FSC-klagomål.docx", "A 22909-2024")</f>
        <v/>
      </c>
      <c r="W9">
        <f>HYPERLINK("https://klasma.github.io/Logging_2518/klagomålsmail/A 22909-2024 FSC-klagomål mail.docx", "A 22909-2024")</f>
        <v/>
      </c>
      <c r="X9">
        <f>HYPERLINK("https://klasma.github.io/Logging_2518/tillsyn/A 22909-2024 tillsynsbegäran.docx", "A 22909-2024")</f>
        <v/>
      </c>
      <c r="Y9">
        <f>HYPERLINK("https://klasma.github.io/Logging_2518/tillsynsmail/A 22909-2024 tillsynsbegäran mail.docx", "A 22909-2024")</f>
        <v/>
      </c>
      <c r="Z9">
        <f>HYPERLINK("https://klasma.github.io/Logging_2518/fåglar/A 22909-2024 prioriterade fågelarter.docx", "A 22909-2024")</f>
        <v/>
      </c>
    </row>
    <row r="10" ht="15" customHeight="1">
      <c r="A10" t="inlineStr">
        <is>
          <t>A 21840-2023</t>
        </is>
      </c>
      <c r="B10" s="1" t="n">
        <v>45068</v>
      </c>
      <c r="C10" s="1" t="n">
        <v>45669</v>
      </c>
      <c r="D10" t="inlineStr">
        <is>
          <t>NORRBOTTENS LÄN</t>
        </is>
      </c>
      <c r="E10" t="inlineStr">
        <is>
          <t>ÖVERTORNEÅ</t>
        </is>
      </c>
      <c r="G10" t="n">
        <v>30.5</v>
      </c>
      <c r="H10" t="n">
        <v>8</v>
      </c>
      <c r="I10" t="n">
        <v>5</v>
      </c>
      <c r="J10" t="n">
        <v>4</v>
      </c>
      <c r="K10" t="n">
        <v>2</v>
      </c>
      <c r="L10" t="n">
        <v>0</v>
      </c>
      <c r="M10" t="n">
        <v>0</v>
      </c>
      <c r="N10" t="n">
        <v>0</v>
      </c>
      <c r="O10" t="n">
        <v>6</v>
      </c>
      <c r="P10" t="n">
        <v>2</v>
      </c>
      <c r="Q10" t="n">
        <v>13</v>
      </c>
      <c r="R10" s="2" t="inlineStr">
        <is>
          <t>Doftticka
Knärot
Garnlav
Spillkråka
Talltita
Ullticka
Bårdlav
Norrlandslav
Plattlummer
Spindelblomster
Stuplav
Fläcknycklar
Revlummer</t>
        </is>
      </c>
      <c r="S10">
        <f>HYPERLINK("https://klasma.github.io/Logging_2518/artfynd/A 21840-2023 artfynd.xlsx", "A 21840-2023")</f>
        <v/>
      </c>
      <c r="T10">
        <f>HYPERLINK("https://klasma.github.io/Logging_2518/kartor/A 21840-2023 karta.png", "A 21840-2023")</f>
        <v/>
      </c>
      <c r="U10">
        <f>HYPERLINK("https://klasma.github.io/Logging_2518/knärot/A 21840-2023 karta knärot.png", "A 21840-2023")</f>
        <v/>
      </c>
      <c r="V10">
        <f>HYPERLINK("https://klasma.github.io/Logging_2518/klagomål/A 21840-2023 FSC-klagomål.docx", "A 21840-2023")</f>
        <v/>
      </c>
      <c r="W10">
        <f>HYPERLINK("https://klasma.github.io/Logging_2518/klagomålsmail/A 21840-2023 FSC-klagomål mail.docx", "A 21840-2023")</f>
        <v/>
      </c>
      <c r="X10">
        <f>HYPERLINK("https://klasma.github.io/Logging_2518/tillsyn/A 21840-2023 tillsynsbegäran.docx", "A 21840-2023")</f>
        <v/>
      </c>
      <c r="Y10">
        <f>HYPERLINK("https://klasma.github.io/Logging_2518/tillsynsmail/A 21840-2023 tillsynsbegäran mail.docx", "A 21840-2023")</f>
        <v/>
      </c>
      <c r="Z10">
        <f>HYPERLINK("https://klasma.github.io/Logging_2518/fåglar/A 21840-2023 prioriterade fågelarter.docx", "A 21840-2023")</f>
        <v/>
      </c>
    </row>
    <row r="11" ht="15" customHeight="1">
      <c r="A11" t="inlineStr">
        <is>
          <t>A 30560-2023</t>
        </is>
      </c>
      <c r="B11" s="1" t="n">
        <v>45111</v>
      </c>
      <c r="C11" s="1" t="n">
        <v>45669</v>
      </c>
      <c r="D11" t="inlineStr">
        <is>
          <t>NORRBOTTENS LÄN</t>
        </is>
      </c>
      <c r="E11" t="inlineStr">
        <is>
          <t>ÖVERTORNEÅ</t>
        </is>
      </c>
      <c r="G11" t="n">
        <v>9.199999999999999</v>
      </c>
      <c r="H11" t="n">
        <v>4</v>
      </c>
      <c r="I11" t="n">
        <v>5</v>
      </c>
      <c r="J11" t="n">
        <v>6</v>
      </c>
      <c r="K11" t="n">
        <v>1</v>
      </c>
      <c r="L11" t="n">
        <v>0</v>
      </c>
      <c r="M11" t="n">
        <v>0</v>
      </c>
      <c r="N11" t="n">
        <v>0</v>
      </c>
      <c r="O11" t="n">
        <v>7</v>
      </c>
      <c r="P11" t="n">
        <v>1</v>
      </c>
      <c r="Q11" t="n">
        <v>13</v>
      </c>
      <c r="R11" s="2" t="inlineStr">
        <is>
          <t>Knärot
Blanksvart spiklav
Gammelgransskål
Garnlav
Mörk kolflarnlav
Spillkråka
Vitplätt
Plattlummer
Skinnlav
Stor aspticka
Stuplav
Vedticka
Fläcknycklar</t>
        </is>
      </c>
      <c r="S11">
        <f>HYPERLINK("https://klasma.github.io/Logging_2518/artfynd/A 30560-2023 artfynd.xlsx", "A 30560-2023")</f>
        <v/>
      </c>
      <c r="T11">
        <f>HYPERLINK("https://klasma.github.io/Logging_2518/kartor/A 30560-2023 karta.png", "A 30560-2023")</f>
        <v/>
      </c>
      <c r="U11">
        <f>HYPERLINK("https://klasma.github.io/Logging_2518/knärot/A 30560-2023 karta knärot.png", "A 30560-2023")</f>
        <v/>
      </c>
      <c r="V11">
        <f>HYPERLINK("https://klasma.github.io/Logging_2518/klagomål/A 30560-2023 FSC-klagomål.docx", "A 30560-2023")</f>
        <v/>
      </c>
      <c r="W11">
        <f>HYPERLINK("https://klasma.github.io/Logging_2518/klagomålsmail/A 30560-2023 FSC-klagomål mail.docx", "A 30560-2023")</f>
        <v/>
      </c>
      <c r="X11">
        <f>HYPERLINK("https://klasma.github.io/Logging_2518/tillsyn/A 30560-2023 tillsynsbegäran.docx", "A 30560-2023")</f>
        <v/>
      </c>
      <c r="Y11">
        <f>HYPERLINK("https://klasma.github.io/Logging_2518/tillsynsmail/A 30560-2023 tillsynsbegäran mail.docx", "A 30560-2023")</f>
        <v/>
      </c>
      <c r="Z11">
        <f>HYPERLINK("https://klasma.github.io/Logging_2518/fåglar/A 30560-2023 prioriterade fågelarter.docx", "A 30560-2023")</f>
        <v/>
      </c>
    </row>
    <row r="12" ht="15" customHeight="1">
      <c r="A12" t="inlineStr">
        <is>
          <t>A 63808-2023</t>
        </is>
      </c>
      <c r="B12" s="1" t="n">
        <v>45278</v>
      </c>
      <c r="C12" s="1" t="n">
        <v>45669</v>
      </c>
      <c r="D12" t="inlineStr">
        <is>
          <t>NORRBOTTENS LÄN</t>
        </is>
      </c>
      <c r="E12" t="inlineStr">
        <is>
          <t>ÖVERTORNEÅ</t>
        </is>
      </c>
      <c r="G12" t="n">
        <v>5.6</v>
      </c>
      <c r="H12" t="n">
        <v>5</v>
      </c>
      <c r="I12" t="n">
        <v>3</v>
      </c>
      <c r="J12" t="n">
        <v>5</v>
      </c>
      <c r="K12" t="n">
        <v>2</v>
      </c>
      <c r="L12" t="n">
        <v>0</v>
      </c>
      <c r="M12" t="n">
        <v>0</v>
      </c>
      <c r="N12" t="n">
        <v>0</v>
      </c>
      <c r="O12" t="n">
        <v>7</v>
      </c>
      <c r="P12" t="n">
        <v>2</v>
      </c>
      <c r="Q12" t="n">
        <v>12</v>
      </c>
      <c r="R12" s="2" t="inlineStr">
        <is>
          <t>Fläckporing
Knärot
Garnlav
Kolflarnlav
Lunglav
Mörk kolflarnlav
Spillkråka
Plattlummer
Skinnlav
Stuplav
Orre
Fläcknycklar</t>
        </is>
      </c>
      <c r="S12">
        <f>HYPERLINK("https://klasma.github.io/Logging_2518/artfynd/A 63808-2023 artfynd.xlsx", "A 63808-2023")</f>
        <v/>
      </c>
      <c r="T12">
        <f>HYPERLINK("https://klasma.github.io/Logging_2518/kartor/A 63808-2023 karta.png", "A 63808-2023")</f>
        <v/>
      </c>
      <c r="U12">
        <f>HYPERLINK("https://klasma.github.io/Logging_2518/knärot/A 63808-2023 karta knärot.png", "A 63808-2023")</f>
        <v/>
      </c>
      <c r="V12">
        <f>HYPERLINK("https://klasma.github.io/Logging_2518/klagomål/A 63808-2023 FSC-klagomål.docx", "A 63808-2023")</f>
        <v/>
      </c>
      <c r="W12">
        <f>HYPERLINK("https://klasma.github.io/Logging_2518/klagomålsmail/A 63808-2023 FSC-klagomål mail.docx", "A 63808-2023")</f>
        <v/>
      </c>
      <c r="X12">
        <f>HYPERLINK("https://klasma.github.io/Logging_2518/tillsyn/A 63808-2023 tillsynsbegäran.docx", "A 63808-2023")</f>
        <v/>
      </c>
      <c r="Y12">
        <f>HYPERLINK("https://klasma.github.io/Logging_2518/tillsynsmail/A 63808-2023 tillsynsbegäran mail.docx", "A 63808-2023")</f>
        <v/>
      </c>
      <c r="Z12">
        <f>HYPERLINK("https://klasma.github.io/Logging_2518/fåglar/A 63808-2023 prioriterade fågelarter.docx", "A 63808-2023")</f>
        <v/>
      </c>
    </row>
    <row r="13" ht="15" customHeight="1">
      <c r="A13" t="inlineStr">
        <is>
          <t>A 65181-2023</t>
        </is>
      </c>
      <c r="B13" s="1" t="n">
        <v>45288</v>
      </c>
      <c r="C13" s="1" t="n">
        <v>45669</v>
      </c>
      <c r="D13" t="inlineStr">
        <is>
          <t>NORRBOTTENS LÄN</t>
        </is>
      </c>
      <c r="E13" t="inlineStr">
        <is>
          <t>ÖVERTORNEÅ</t>
        </is>
      </c>
      <c r="G13" t="n">
        <v>3.2</v>
      </c>
      <c r="H13" t="n">
        <v>3</v>
      </c>
      <c r="I13" t="n">
        <v>1</v>
      </c>
      <c r="J13" t="n">
        <v>7</v>
      </c>
      <c r="K13" t="n">
        <v>1</v>
      </c>
      <c r="L13" t="n">
        <v>0</v>
      </c>
      <c r="M13" t="n">
        <v>0</v>
      </c>
      <c r="N13" t="n">
        <v>0</v>
      </c>
      <c r="O13" t="n">
        <v>8</v>
      </c>
      <c r="P13" t="n">
        <v>1</v>
      </c>
      <c r="Q13" t="n">
        <v>11</v>
      </c>
      <c r="R13" s="2" t="inlineStr">
        <is>
          <t>Gräddporing
Blanksvart spiklav
Garnlav
Kolflarnlav
Mörk kolflarnlav
Spillkråka
Vedflamlav
Violmussling
Skinnlav
Orre
Tjäder</t>
        </is>
      </c>
      <c r="S13">
        <f>HYPERLINK("https://klasma.github.io/Logging_2518/artfynd/A 65181-2023 artfynd.xlsx", "A 65181-2023")</f>
        <v/>
      </c>
      <c r="T13">
        <f>HYPERLINK("https://klasma.github.io/Logging_2518/kartor/A 65181-2023 karta.png", "A 65181-2023")</f>
        <v/>
      </c>
      <c r="V13">
        <f>HYPERLINK("https://klasma.github.io/Logging_2518/klagomål/A 65181-2023 FSC-klagomål.docx", "A 65181-2023")</f>
        <v/>
      </c>
      <c r="W13">
        <f>HYPERLINK("https://klasma.github.io/Logging_2518/klagomålsmail/A 65181-2023 FSC-klagomål mail.docx", "A 65181-2023")</f>
        <v/>
      </c>
      <c r="X13">
        <f>HYPERLINK("https://klasma.github.io/Logging_2518/tillsyn/A 65181-2023 tillsynsbegäran.docx", "A 65181-2023")</f>
        <v/>
      </c>
      <c r="Y13">
        <f>HYPERLINK("https://klasma.github.io/Logging_2518/tillsynsmail/A 65181-2023 tillsynsbegäran mail.docx", "A 65181-2023")</f>
        <v/>
      </c>
      <c r="Z13">
        <f>HYPERLINK("https://klasma.github.io/Logging_2518/fåglar/A 65181-2023 prioriterade fågelarter.docx", "A 65181-2023")</f>
        <v/>
      </c>
    </row>
    <row r="14" ht="15" customHeight="1">
      <c r="A14" t="inlineStr">
        <is>
          <t>A 848-2024</t>
        </is>
      </c>
      <c r="B14" s="1" t="n">
        <v>45300</v>
      </c>
      <c r="C14" s="1" t="n">
        <v>45669</v>
      </c>
      <c r="D14" t="inlineStr">
        <is>
          <t>NORRBOTTENS LÄN</t>
        </is>
      </c>
      <c r="E14" t="inlineStr">
        <is>
          <t>ÖVERTORNEÅ</t>
        </is>
      </c>
      <c r="G14" t="n">
        <v>3.1</v>
      </c>
      <c r="H14" t="n">
        <v>3</v>
      </c>
      <c r="I14" t="n">
        <v>1</v>
      </c>
      <c r="J14" t="n">
        <v>7</v>
      </c>
      <c r="K14" t="n">
        <v>1</v>
      </c>
      <c r="L14" t="n">
        <v>0</v>
      </c>
      <c r="M14" t="n">
        <v>0</v>
      </c>
      <c r="N14" t="n">
        <v>0</v>
      </c>
      <c r="O14" t="n">
        <v>8</v>
      </c>
      <c r="P14" t="n">
        <v>1</v>
      </c>
      <c r="Q14" t="n">
        <v>11</v>
      </c>
      <c r="R14" s="2" t="inlineStr">
        <is>
          <t>Gräddporing
Blanksvart spiklav
Garnlav
Kolflarnlav
Mörk kolflarnlav
Spillkråka
Vedflamlav
Violmussling
Skinnlav
Orre
Tjäder</t>
        </is>
      </c>
      <c r="S14">
        <f>HYPERLINK("https://klasma.github.io/Logging_2518/artfynd/A 848-2024 artfynd.xlsx", "A 848-2024")</f>
        <v/>
      </c>
      <c r="T14">
        <f>HYPERLINK("https://klasma.github.io/Logging_2518/kartor/A 848-2024 karta.png", "A 848-2024")</f>
        <v/>
      </c>
      <c r="V14">
        <f>HYPERLINK("https://klasma.github.io/Logging_2518/klagomål/A 848-2024 FSC-klagomål.docx", "A 848-2024")</f>
        <v/>
      </c>
      <c r="W14">
        <f>HYPERLINK("https://klasma.github.io/Logging_2518/klagomålsmail/A 848-2024 FSC-klagomål mail.docx", "A 848-2024")</f>
        <v/>
      </c>
      <c r="X14">
        <f>HYPERLINK("https://klasma.github.io/Logging_2518/tillsyn/A 848-2024 tillsynsbegäran.docx", "A 848-2024")</f>
        <v/>
      </c>
      <c r="Y14">
        <f>HYPERLINK("https://klasma.github.io/Logging_2518/tillsynsmail/A 848-2024 tillsynsbegäran mail.docx", "A 848-2024")</f>
        <v/>
      </c>
      <c r="Z14">
        <f>HYPERLINK("https://klasma.github.io/Logging_2518/fåglar/A 848-2024 prioriterade fågelarter.docx", "A 848-2024")</f>
        <v/>
      </c>
    </row>
    <row r="15" ht="15" customHeight="1">
      <c r="A15" t="inlineStr">
        <is>
          <t>A 41916-2024</t>
        </is>
      </c>
      <c r="B15" s="1" t="n">
        <v>45561</v>
      </c>
      <c r="C15" s="1" t="n">
        <v>45669</v>
      </c>
      <c r="D15" t="inlineStr">
        <is>
          <t>NORRBOTTENS LÄN</t>
        </is>
      </c>
      <c r="E15" t="inlineStr">
        <is>
          <t>ÖVERTORNEÅ</t>
        </is>
      </c>
      <c r="G15" t="n">
        <v>4.7</v>
      </c>
      <c r="H15" t="n">
        <v>2</v>
      </c>
      <c r="I15" t="n">
        <v>2</v>
      </c>
      <c r="J15" t="n">
        <v>8</v>
      </c>
      <c r="K15" t="n">
        <v>1</v>
      </c>
      <c r="L15" t="n">
        <v>0</v>
      </c>
      <c r="M15" t="n">
        <v>0</v>
      </c>
      <c r="N15" t="n">
        <v>0</v>
      </c>
      <c r="O15" t="n">
        <v>9</v>
      </c>
      <c r="P15" t="n">
        <v>1</v>
      </c>
      <c r="Q15" t="n">
        <v>11</v>
      </c>
      <c r="R15" s="2" t="inlineStr">
        <is>
          <t>Ulltickeporing
Garnlav
Granticka
Kolflarnlav
Nordtagging
Rosenticka
Spillkråka
Tretåig hackspett
Ullticka
Skinnlav
Vedticka</t>
        </is>
      </c>
      <c r="S15">
        <f>HYPERLINK("https://klasma.github.io/Logging_2518/artfynd/A 41916-2024 artfynd.xlsx", "A 41916-2024")</f>
        <v/>
      </c>
      <c r="T15">
        <f>HYPERLINK("https://klasma.github.io/Logging_2518/kartor/A 41916-2024 karta.png", "A 41916-2024")</f>
        <v/>
      </c>
      <c r="V15">
        <f>HYPERLINK("https://klasma.github.io/Logging_2518/klagomål/A 41916-2024 FSC-klagomål.docx", "A 41916-2024")</f>
        <v/>
      </c>
      <c r="W15">
        <f>HYPERLINK("https://klasma.github.io/Logging_2518/klagomålsmail/A 41916-2024 FSC-klagomål mail.docx", "A 41916-2024")</f>
        <v/>
      </c>
      <c r="X15">
        <f>HYPERLINK("https://klasma.github.io/Logging_2518/tillsyn/A 41916-2024 tillsynsbegäran.docx", "A 41916-2024")</f>
        <v/>
      </c>
      <c r="Y15">
        <f>HYPERLINK("https://klasma.github.io/Logging_2518/tillsynsmail/A 41916-2024 tillsynsbegäran mail.docx", "A 41916-2024")</f>
        <v/>
      </c>
      <c r="Z15">
        <f>HYPERLINK("https://klasma.github.io/Logging_2518/fåglar/A 41916-2024 prioriterade fågelarter.docx", "A 41916-2024")</f>
        <v/>
      </c>
    </row>
    <row r="16" ht="15" customHeight="1">
      <c r="A16" t="inlineStr">
        <is>
          <t>A 47048-2024</t>
        </is>
      </c>
      <c r="B16" s="1" t="n">
        <v>45586</v>
      </c>
      <c r="C16" s="1" t="n">
        <v>45669</v>
      </c>
      <c r="D16" t="inlineStr">
        <is>
          <t>NORRBOTTENS LÄN</t>
        </is>
      </c>
      <c r="E16" t="inlineStr">
        <is>
          <t>ÖVERTORNEÅ</t>
        </is>
      </c>
      <c r="G16" t="n">
        <v>7.8</v>
      </c>
      <c r="H16" t="n">
        <v>3</v>
      </c>
      <c r="I16" t="n">
        <v>4</v>
      </c>
      <c r="J16" t="n">
        <v>6</v>
      </c>
      <c r="K16" t="n">
        <v>1</v>
      </c>
      <c r="L16" t="n">
        <v>0</v>
      </c>
      <c r="M16" t="n">
        <v>0</v>
      </c>
      <c r="N16" t="n">
        <v>0</v>
      </c>
      <c r="O16" t="n">
        <v>7</v>
      </c>
      <c r="P16" t="n">
        <v>1</v>
      </c>
      <c r="Q16" t="n">
        <v>11</v>
      </c>
      <c r="R16" s="2" t="inlineStr">
        <is>
          <t>Knärot
Garnlav
Rosenticka
Spillkråka
Tretåig hackspett
Ullticka
Violmussling
Stor aspticka
Stuplav
Trådticka
Vedticka</t>
        </is>
      </c>
      <c r="S16">
        <f>HYPERLINK("https://klasma.github.io/Logging_2518/artfynd/A 47048-2024 artfynd.xlsx", "A 47048-2024")</f>
        <v/>
      </c>
      <c r="T16">
        <f>HYPERLINK("https://klasma.github.io/Logging_2518/kartor/A 47048-2024 karta.png", "A 47048-2024")</f>
        <v/>
      </c>
      <c r="U16">
        <f>HYPERLINK("https://klasma.github.io/Logging_2518/knärot/A 47048-2024 karta knärot.png", "A 47048-2024")</f>
        <v/>
      </c>
      <c r="V16">
        <f>HYPERLINK("https://klasma.github.io/Logging_2518/klagomål/A 47048-2024 FSC-klagomål.docx", "A 47048-2024")</f>
        <v/>
      </c>
      <c r="W16">
        <f>HYPERLINK("https://klasma.github.io/Logging_2518/klagomålsmail/A 47048-2024 FSC-klagomål mail.docx", "A 47048-2024")</f>
        <v/>
      </c>
      <c r="X16">
        <f>HYPERLINK("https://klasma.github.io/Logging_2518/tillsyn/A 47048-2024 tillsynsbegäran.docx", "A 47048-2024")</f>
        <v/>
      </c>
      <c r="Y16">
        <f>HYPERLINK("https://klasma.github.io/Logging_2518/tillsynsmail/A 47048-2024 tillsynsbegäran mail.docx", "A 47048-2024")</f>
        <v/>
      </c>
      <c r="Z16">
        <f>HYPERLINK("https://klasma.github.io/Logging_2518/fåglar/A 47048-2024 prioriterade fågelarter.docx", "A 47048-2024")</f>
        <v/>
      </c>
    </row>
    <row r="17" ht="15" customHeight="1">
      <c r="A17" t="inlineStr">
        <is>
          <t>A 61865-2023</t>
        </is>
      </c>
      <c r="B17" s="1" t="n">
        <v>45266</v>
      </c>
      <c r="C17" s="1" t="n">
        <v>45669</v>
      </c>
      <c r="D17" t="inlineStr">
        <is>
          <t>NORRBOTTENS LÄN</t>
        </is>
      </c>
      <c r="E17" t="inlineStr">
        <is>
          <t>ÖVERTORNEÅ</t>
        </is>
      </c>
      <c r="G17" t="n">
        <v>18.8</v>
      </c>
      <c r="H17" t="n">
        <v>3</v>
      </c>
      <c r="I17" t="n">
        <v>2</v>
      </c>
      <c r="J17" t="n">
        <v>5</v>
      </c>
      <c r="K17" t="n">
        <v>1</v>
      </c>
      <c r="L17" t="n">
        <v>0</v>
      </c>
      <c r="M17" t="n">
        <v>0</v>
      </c>
      <c r="N17" t="n">
        <v>0</v>
      </c>
      <c r="O17" t="n">
        <v>6</v>
      </c>
      <c r="P17" t="n">
        <v>1</v>
      </c>
      <c r="Q17" t="n">
        <v>10</v>
      </c>
      <c r="R17" s="2" t="inlineStr">
        <is>
          <t>Vågticka
Gammelgransskål
Garnlav
Lunglav
Mörk kolflarnlav
Spillkråka
Skinnlav
Stuplav
Orre
Tjäder</t>
        </is>
      </c>
      <c r="S17">
        <f>HYPERLINK("https://klasma.github.io/Logging_2518/artfynd/A 61865-2023 artfynd.xlsx", "A 61865-2023")</f>
        <v/>
      </c>
      <c r="T17">
        <f>HYPERLINK("https://klasma.github.io/Logging_2518/kartor/A 61865-2023 karta.png", "A 61865-2023")</f>
        <v/>
      </c>
      <c r="V17">
        <f>HYPERLINK("https://klasma.github.io/Logging_2518/klagomål/A 61865-2023 FSC-klagomål.docx", "A 61865-2023")</f>
        <v/>
      </c>
      <c r="W17">
        <f>HYPERLINK("https://klasma.github.io/Logging_2518/klagomålsmail/A 61865-2023 FSC-klagomål mail.docx", "A 61865-2023")</f>
        <v/>
      </c>
      <c r="X17">
        <f>HYPERLINK("https://klasma.github.io/Logging_2518/tillsyn/A 61865-2023 tillsynsbegäran.docx", "A 61865-2023")</f>
        <v/>
      </c>
      <c r="Y17">
        <f>HYPERLINK("https://klasma.github.io/Logging_2518/tillsynsmail/A 61865-2023 tillsynsbegäran mail.docx", "A 61865-2023")</f>
        <v/>
      </c>
      <c r="Z17">
        <f>HYPERLINK("https://klasma.github.io/Logging_2518/fåglar/A 61865-2023 prioriterade fågelarter.docx", "A 61865-2023")</f>
        <v/>
      </c>
    </row>
    <row r="18" ht="15" customHeight="1">
      <c r="A18" t="inlineStr">
        <is>
          <t>A 23043-2024</t>
        </is>
      </c>
      <c r="B18" s="1" t="n">
        <v>45449</v>
      </c>
      <c r="C18" s="1" t="n">
        <v>45669</v>
      </c>
      <c r="D18" t="inlineStr">
        <is>
          <t>NORRBOTTENS LÄN</t>
        </is>
      </c>
      <c r="E18" t="inlineStr">
        <is>
          <t>ÖVERTORNEÅ</t>
        </is>
      </c>
      <c r="G18" t="n">
        <v>14.9</v>
      </c>
      <c r="H18" t="n">
        <v>5</v>
      </c>
      <c r="I18" t="n">
        <v>1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9</v>
      </c>
      <c r="R18" s="2" t="inlineStr">
        <is>
          <t>Garnlav
Mörk kolflarnlav
Spillkråka
Tretåig hackspett
Violmussling
Bronshjon
Tjäder
Fläcknycklar
Revlummer</t>
        </is>
      </c>
      <c r="S18">
        <f>HYPERLINK("https://klasma.github.io/Logging_2518/artfynd/A 23043-2024 artfynd.xlsx", "A 23043-2024")</f>
        <v/>
      </c>
      <c r="T18">
        <f>HYPERLINK("https://klasma.github.io/Logging_2518/kartor/A 23043-2024 karta.png", "A 23043-2024")</f>
        <v/>
      </c>
      <c r="V18">
        <f>HYPERLINK("https://klasma.github.io/Logging_2518/klagomål/A 23043-2024 FSC-klagomål.docx", "A 23043-2024")</f>
        <v/>
      </c>
      <c r="W18">
        <f>HYPERLINK("https://klasma.github.io/Logging_2518/klagomålsmail/A 23043-2024 FSC-klagomål mail.docx", "A 23043-2024")</f>
        <v/>
      </c>
      <c r="X18">
        <f>HYPERLINK("https://klasma.github.io/Logging_2518/tillsyn/A 23043-2024 tillsynsbegäran.docx", "A 23043-2024")</f>
        <v/>
      </c>
      <c r="Y18">
        <f>HYPERLINK("https://klasma.github.io/Logging_2518/tillsynsmail/A 23043-2024 tillsynsbegäran mail.docx", "A 23043-2024")</f>
        <v/>
      </c>
      <c r="Z18">
        <f>HYPERLINK("https://klasma.github.io/Logging_2518/fåglar/A 23043-2024 prioriterade fågelarter.docx", "A 23043-2024")</f>
        <v/>
      </c>
    </row>
    <row r="19" ht="15" customHeight="1">
      <c r="A19" t="inlineStr">
        <is>
          <t>A 34146-2023</t>
        </is>
      </c>
      <c r="B19" s="1" t="n">
        <v>45136</v>
      </c>
      <c r="C19" s="1" t="n">
        <v>45669</v>
      </c>
      <c r="D19" t="inlineStr">
        <is>
          <t>NORRBOTTENS LÄN</t>
        </is>
      </c>
      <c r="E19" t="inlineStr">
        <is>
          <t>ÖVERTORNEÅ</t>
        </is>
      </c>
      <c r="G19" t="n">
        <v>7.9</v>
      </c>
      <c r="H19" t="n">
        <v>1</v>
      </c>
      <c r="I19" t="n">
        <v>3</v>
      </c>
      <c r="J19" t="n">
        <v>4</v>
      </c>
      <c r="K19" t="n">
        <v>1</v>
      </c>
      <c r="L19" t="n">
        <v>0</v>
      </c>
      <c r="M19" t="n">
        <v>0</v>
      </c>
      <c r="N19" t="n">
        <v>0</v>
      </c>
      <c r="O19" t="n">
        <v>5</v>
      </c>
      <c r="P19" t="n">
        <v>1</v>
      </c>
      <c r="Q19" t="n">
        <v>8</v>
      </c>
      <c r="R19" s="2" t="inlineStr">
        <is>
          <t>Knärot
Gammelgransskål
Garnlav
Granticka
Ullticka
Skinnlav
Stuplav
Vedticka</t>
        </is>
      </c>
      <c r="S19">
        <f>HYPERLINK("https://klasma.github.io/Logging_2518/artfynd/A 34146-2023 artfynd.xlsx", "A 34146-2023")</f>
        <v/>
      </c>
      <c r="T19">
        <f>HYPERLINK("https://klasma.github.io/Logging_2518/kartor/A 34146-2023 karta.png", "A 34146-2023")</f>
        <v/>
      </c>
      <c r="U19">
        <f>HYPERLINK("https://klasma.github.io/Logging_2518/knärot/A 34146-2023 karta knärot.png", "A 34146-2023")</f>
        <v/>
      </c>
      <c r="V19">
        <f>HYPERLINK("https://klasma.github.io/Logging_2518/klagomål/A 34146-2023 FSC-klagomål.docx", "A 34146-2023")</f>
        <v/>
      </c>
      <c r="W19">
        <f>HYPERLINK("https://klasma.github.io/Logging_2518/klagomålsmail/A 34146-2023 FSC-klagomål mail.docx", "A 34146-2023")</f>
        <v/>
      </c>
      <c r="X19">
        <f>HYPERLINK("https://klasma.github.io/Logging_2518/tillsyn/A 34146-2023 tillsynsbegäran.docx", "A 34146-2023")</f>
        <v/>
      </c>
      <c r="Y19">
        <f>HYPERLINK("https://klasma.github.io/Logging_2518/tillsynsmail/A 34146-2023 tillsynsbegäran mail.docx", "A 34146-2023")</f>
        <v/>
      </c>
    </row>
    <row r="20" ht="15" customHeight="1">
      <c r="A20" t="inlineStr">
        <is>
          <t>A 65184-2023</t>
        </is>
      </c>
      <c r="B20" s="1" t="n">
        <v>45288</v>
      </c>
      <c r="C20" s="1" t="n">
        <v>45669</v>
      </c>
      <c r="D20" t="inlineStr">
        <is>
          <t>NORRBOTTENS LÄN</t>
        </is>
      </c>
      <c r="E20" t="inlineStr">
        <is>
          <t>ÖVERTORNEÅ</t>
        </is>
      </c>
      <c r="G20" t="n">
        <v>4.2</v>
      </c>
      <c r="H20" t="n">
        <v>3</v>
      </c>
      <c r="I20" t="n">
        <v>1</v>
      </c>
      <c r="J20" t="n">
        <v>5</v>
      </c>
      <c r="K20" t="n">
        <v>1</v>
      </c>
      <c r="L20" t="n">
        <v>0</v>
      </c>
      <c r="M20" t="n">
        <v>0</v>
      </c>
      <c r="N20" t="n">
        <v>0</v>
      </c>
      <c r="O20" t="n">
        <v>6</v>
      </c>
      <c r="P20" t="n">
        <v>1</v>
      </c>
      <c r="Q20" t="n">
        <v>8</v>
      </c>
      <c r="R20" s="2" t="inlineStr">
        <is>
          <t>Knärot
Garnlav
Kolflarnlav
Mörk kolflarnlav
Orange taggsvamp
Spillkråka
Dropptaggsvamp
Orre</t>
        </is>
      </c>
      <c r="S20">
        <f>HYPERLINK("https://klasma.github.io/Logging_2518/artfynd/A 65184-2023 artfynd.xlsx", "A 65184-2023")</f>
        <v/>
      </c>
      <c r="T20">
        <f>HYPERLINK("https://klasma.github.io/Logging_2518/kartor/A 65184-2023 karta.png", "A 65184-2023")</f>
        <v/>
      </c>
      <c r="U20">
        <f>HYPERLINK("https://klasma.github.io/Logging_2518/knärot/A 65184-2023 karta knärot.png", "A 65184-2023")</f>
        <v/>
      </c>
      <c r="V20">
        <f>HYPERLINK("https://klasma.github.io/Logging_2518/klagomål/A 65184-2023 FSC-klagomål.docx", "A 65184-2023")</f>
        <v/>
      </c>
      <c r="W20">
        <f>HYPERLINK("https://klasma.github.io/Logging_2518/klagomålsmail/A 65184-2023 FSC-klagomål mail.docx", "A 65184-2023")</f>
        <v/>
      </c>
      <c r="X20">
        <f>HYPERLINK("https://klasma.github.io/Logging_2518/tillsyn/A 65184-2023 tillsynsbegäran.docx", "A 65184-2023")</f>
        <v/>
      </c>
      <c r="Y20">
        <f>HYPERLINK("https://klasma.github.io/Logging_2518/tillsynsmail/A 65184-2023 tillsynsbegäran mail.docx", "A 65184-2023")</f>
        <v/>
      </c>
      <c r="Z20">
        <f>HYPERLINK("https://klasma.github.io/Logging_2518/fåglar/A 65184-2023 prioriterade fågelarter.docx", "A 65184-2023")</f>
        <v/>
      </c>
    </row>
    <row r="21" ht="15" customHeight="1">
      <c r="A21" t="inlineStr">
        <is>
          <t>A 857-2024</t>
        </is>
      </c>
      <c r="B21" s="1" t="n">
        <v>45300</v>
      </c>
      <c r="C21" s="1" t="n">
        <v>45669</v>
      </c>
      <c r="D21" t="inlineStr">
        <is>
          <t>NORRBOTTENS LÄN</t>
        </is>
      </c>
      <c r="E21" t="inlineStr">
        <is>
          <t>ÖVERTORNEÅ</t>
        </is>
      </c>
      <c r="G21" t="n">
        <v>4.2</v>
      </c>
      <c r="H21" t="n">
        <v>3</v>
      </c>
      <c r="I21" t="n">
        <v>1</v>
      </c>
      <c r="J21" t="n">
        <v>5</v>
      </c>
      <c r="K21" t="n">
        <v>1</v>
      </c>
      <c r="L21" t="n">
        <v>0</v>
      </c>
      <c r="M21" t="n">
        <v>0</v>
      </c>
      <c r="N21" t="n">
        <v>0</v>
      </c>
      <c r="O21" t="n">
        <v>6</v>
      </c>
      <c r="P21" t="n">
        <v>1</v>
      </c>
      <c r="Q21" t="n">
        <v>8</v>
      </c>
      <c r="R21" s="2" t="inlineStr">
        <is>
          <t>Knärot
Garnlav
Kolflarnlav
Mörk kolflarnlav
Orange taggsvamp
Spillkråka
Dropptaggsvamp
Orre</t>
        </is>
      </c>
      <c r="S21">
        <f>HYPERLINK("https://klasma.github.io/Logging_2518/artfynd/A 857-2024 artfynd.xlsx", "A 857-2024")</f>
        <v/>
      </c>
      <c r="T21">
        <f>HYPERLINK("https://klasma.github.io/Logging_2518/kartor/A 857-2024 karta.png", "A 857-2024")</f>
        <v/>
      </c>
      <c r="U21">
        <f>HYPERLINK("https://klasma.github.io/Logging_2518/knärot/A 857-2024 karta knärot.png", "A 857-2024")</f>
        <v/>
      </c>
      <c r="V21">
        <f>HYPERLINK("https://klasma.github.io/Logging_2518/klagomål/A 857-2024 FSC-klagomål.docx", "A 857-2024")</f>
        <v/>
      </c>
      <c r="W21">
        <f>HYPERLINK("https://klasma.github.io/Logging_2518/klagomålsmail/A 857-2024 FSC-klagomål mail.docx", "A 857-2024")</f>
        <v/>
      </c>
      <c r="X21">
        <f>HYPERLINK("https://klasma.github.io/Logging_2518/tillsyn/A 857-2024 tillsynsbegäran.docx", "A 857-2024")</f>
        <v/>
      </c>
      <c r="Y21">
        <f>HYPERLINK("https://klasma.github.io/Logging_2518/tillsynsmail/A 857-2024 tillsynsbegäran mail.docx", "A 857-2024")</f>
        <v/>
      </c>
      <c r="Z21">
        <f>HYPERLINK("https://klasma.github.io/Logging_2518/fåglar/A 857-2024 prioriterade fågelarter.docx", "A 857-2024")</f>
        <v/>
      </c>
    </row>
    <row r="22" ht="15" customHeight="1">
      <c r="A22" t="inlineStr">
        <is>
          <t>A 50300-2022</t>
        </is>
      </c>
      <c r="B22" s="1" t="n">
        <v>44865</v>
      </c>
      <c r="C22" s="1" t="n">
        <v>45669</v>
      </c>
      <c r="D22" t="inlineStr">
        <is>
          <t>NORRBOTTENS LÄN</t>
        </is>
      </c>
      <c r="E22" t="inlineStr">
        <is>
          <t>ÖVERTORNEÅ</t>
        </is>
      </c>
      <c r="G22" t="n">
        <v>17.3</v>
      </c>
      <c r="H22" t="n">
        <v>1</v>
      </c>
      <c r="I22" t="n">
        <v>3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7</v>
      </c>
      <c r="R22" s="2" t="inlineStr">
        <is>
          <t>Blanksvart spiklav
Garnlav
Spillkråka
Vitplätt
Dropptaggsvamp
Nästlav
Vedticka</t>
        </is>
      </c>
      <c r="S22">
        <f>HYPERLINK("https://klasma.github.io/Logging_2518/artfynd/A 50300-2022 artfynd.xlsx", "A 50300-2022")</f>
        <v/>
      </c>
      <c r="T22">
        <f>HYPERLINK("https://klasma.github.io/Logging_2518/kartor/A 50300-2022 karta.png", "A 50300-2022")</f>
        <v/>
      </c>
      <c r="V22">
        <f>HYPERLINK("https://klasma.github.io/Logging_2518/klagomål/A 50300-2022 FSC-klagomål.docx", "A 50300-2022")</f>
        <v/>
      </c>
      <c r="W22">
        <f>HYPERLINK("https://klasma.github.io/Logging_2518/klagomålsmail/A 50300-2022 FSC-klagomål mail.docx", "A 50300-2022")</f>
        <v/>
      </c>
      <c r="X22">
        <f>HYPERLINK("https://klasma.github.io/Logging_2518/tillsyn/A 50300-2022 tillsynsbegäran.docx", "A 50300-2022")</f>
        <v/>
      </c>
      <c r="Y22">
        <f>HYPERLINK("https://klasma.github.io/Logging_2518/tillsynsmail/A 50300-2022 tillsynsbegäran mail.docx", "A 50300-2022")</f>
        <v/>
      </c>
      <c r="Z22">
        <f>HYPERLINK("https://klasma.github.io/Logging_2518/fåglar/A 50300-2022 prioriterade fågelarter.docx", "A 50300-2022")</f>
        <v/>
      </c>
    </row>
    <row r="23" ht="15" customHeight="1">
      <c r="A23" t="inlineStr">
        <is>
          <t>A 54090-2022</t>
        </is>
      </c>
      <c r="B23" s="1" t="n">
        <v>44879</v>
      </c>
      <c r="C23" s="1" t="n">
        <v>45669</v>
      </c>
      <c r="D23" t="inlineStr">
        <is>
          <t>NORRBOTTENS LÄN</t>
        </is>
      </c>
      <c r="E23" t="inlineStr">
        <is>
          <t>ÖVERTORNEÅ</t>
        </is>
      </c>
      <c r="G23" t="n">
        <v>38.8</v>
      </c>
      <c r="H23" t="n">
        <v>1</v>
      </c>
      <c r="I23" t="n">
        <v>0</v>
      </c>
      <c r="J23" t="n">
        <v>6</v>
      </c>
      <c r="K23" t="n">
        <v>1</v>
      </c>
      <c r="L23" t="n">
        <v>0</v>
      </c>
      <c r="M23" t="n">
        <v>0</v>
      </c>
      <c r="N23" t="n">
        <v>0</v>
      </c>
      <c r="O23" t="n">
        <v>7</v>
      </c>
      <c r="P23" t="n">
        <v>1</v>
      </c>
      <c r="Q23" t="n">
        <v>7</v>
      </c>
      <c r="R23" s="2" t="inlineStr">
        <is>
          <t>Ostticka
Granticka
Lunglav
Rosenticka
Tretåig hackspett
Ullticka
Violmussling</t>
        </is>
      </c>
      <c r="S23">
        <f>HYPERLINK("https://klasma.github.io/Logging_2518/artfynd/A 54090-2022 artfynd.xlsx", "A 54090-2022")</f>
        <v/>
      </c>
      <c r="T23">
        <f>HYPERLINK("https://klasma.github.io/Logging_2518/kartor/A 54090-2022 karta.png", "A 54090-2022")</f>
        <v/>
      </c>
      <c r="V23">
        <f>HYPERLINK("https://klasma.github.io/Logging_2518/klagomål/A 54090-2022 FSC-klagomål.docx", "A 54090-2022")</f>
        <v/>
      </c>
      <c r="W23">
        <f>HYPERLINK("https://klasma.github.io/Logging_2518/klagomålsmail/A 54090-2022 FSC-klagomål mail.docx", "A 54090-2022")</f>
        <v/>
      </c>
      <c r="X23">
        <f>HYPERLINK("https://klasma.github.io/Logging_2518/tillsyn/A 54090-2022 tillsynsbegäran.docx", "A 54090-2022")</f>
        <v/>
      </c>
      <c r="Y23">
        <f>HYPERLINK("https://klasma.github.io/Logging_2518/tillsynsmail/A 54090-2022 tillsynsbegäran mail.docx", "A 54090-2022")</f>
        <v/>
      </c>
      <c r="Z23">
        <f>HYPERLINK("https://klasma.github.io/Logging_2518/fåglar/A 54090-2022 prioriterade fågelarter.docx", "A 54090-2022")</f>
        <v/>
      </c>
    </row>
    <row r="24" ht="15" customHeight="1">
      <c r="A24" t="inlineStr">
        <is>
          <t>A 27058-2023</t>
        </is>
      </c>
      <c r="B24" s="1" t="n">
        <v>45096</v>
      </c>
      <c r="C24" s="1" t="n">
        <v>45669</v>
      </c>
      <c r="D24" t="inlineStr">
        <is>
          <t>NORRBOTTENS LÄN</t>
        </is>
      </c>
      <c r="E24" t="inlineStr">
        <is>
          <t>ÖVERTORNEÅ</t>
        </is>
      </c>
      <c r="G24" t="n">
        <v>5.3</v>
      </c>
      <c r="H24" t="n">
        <v>0</v>
      </c>
      <c r="I24" t="n">
        <v>2</v>
      </c>
      <c r="J24" t="n">
        <v>5</v>
      </c>
      <c r="K24" t="n">
        <v>0</v>
      </c>
      <c r="L24" t="n">
        <v>0</v>
      </c>
      <c r="M24" t="n">
        <v>0</v>
      </c>
      <c r="N24" t="n">
        <v>0</v>
      </c>
      <c r="O24" t="n">
        <v>5</v>
      </c>
      <c r="P24" t="n">
        <v>0</v>
      </c>
      <c r="Q24" t="n">
        <v>7</v>
      </c>
      <c r="R24" s="2" t="inlineStr">
        <is>
          <t>Doftskinn
Gammelgransskål
Garnlav
Ullticka
Violmussling
Stor aspticka
Stuplav</t>
        </is>
      </c>
      <c r="S24">
        <f>HYPERLINK("https://klasma.github.io/Logging_2518/artfynd/A 27058-2023 artfynd.xlsx", "A 27058-2023")</f>
        <v/>
      </c>
      <c r="T24">
        <f>HYPERLINK("https://klasma.github.io/Logging_2518/kartor/A 27058-2023 karta.png", "A 27058-2023")</f>
        <v/>
      </c>
      <c r="V24">
        <f>HYPERLINK("https://klasma.github.io/Logging_2518/klagomål/A 27058-2023 FSC-klagomål.docx", "A 27058-2023")</f>
        <v/>
      </c>
      <c r="W24">
        <f>HYPERLINK("https://klasma.github.io/Logging_2518/klagomålsmail/A 27058-2023 FSC-klagomål mail.docx", "A 27058-2023")</f>
        <v/>
      </c>
      <c r="X24">
        <f>HYPERLINK("https://klasma.github.io/Logging_2518/tillsyn/A 27058-2023 tillsynsbegäran.docx", "A 27058-2023")</f>
        <v/>
      </c>
      <c r="Y24">
        <f>HYPERLINK("https://klasma.github.io/Logging_2518/tillsynsmail/A 27058-2023 tillsynsbegäran mail.docx", "A 27058-2023")</f>
        <v/>
      </c>
    </row>
    <row r="25" ht="15" customHeight="1">
      <c r="A25" t="inlineStr">
        <is>
          <t>A 33324-2023</t>
        </is>
      </c>
      <c r="B25" s="1" t="n">
        <v>45128</v>
      </c>
      <c r="C25" s="1" t="n">
        <v>45669</v>
      </c>
      <c r="D25" t="inlineStr">
        <is>
          <t>NORRBOTTENS LÄN</t>
        </is>
      </c>
      <c r="E25" t="inlineStr">
        <is>
          <t>ÖVERTORNEÅ</t>
        </is>
      </c>
      <c r="G25" t="n">
        <v>9.6</v>
      </c>
      <c r="H25" t="n">
        <v>2</v>
      </c>
      <c r="I25" t="n">
        <v>5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7</v>
      </c>
      <c r="R25" s="2" t="inlineStr">
        <is>
          <t>Spillkråka
Vitplätt
Norrlandslav
Plattlummer
Skinnlav
Stor aspticka
Vedticka</t>
        </is>
      </c>
      <c r="S25">
        <f>HYPERLINK("https://klasma.github.io/Logging_2518/artfynd/A 33324-2023 artfynd.xlsx", "A 33324-2023")</f>
        <v/>
      </c>
      <c r="T25">
        <f>HYPERLINK("https://klasma.github.io/Logging_2518/kartor/A 33324-2023 karta.png", "A 33324-2023")</f>
        <v/>
      </c>
      <c r="V25">
        <f>HYPERLINK("https://klasma.github.io/Logging_2518/klagomål/A 33324-2023 FSC-klagomål.docx", "A 33324-2023")</f>
        <v/>
      </c>
      <c r="W25">
        <f>HYPERLINK("https://klasma.github.io/Logging_2518/klagomålsmail/A 33324-2023 FSC-klagomål mail.docx", "A 33324-2023")</f>
        <v/>
      </c>
      <c r="X25">
        <f>HYPERLINK("https://klasma.github.io/Logging_2518/tillsyn/A 33324-2023 tillsynsbegäran.docx", "A 33324-2023")</f>
        <v/>
      </c>
      <c r="Y25">
        <f>HYPERLINK("https://klasma.github.io/Logging_2518/tillsynsmail/A 33324-2023 tillsynsbegäran mail.docx", "A 33324-2023")</f>
        <v/>
      </c>
      <c r="Z25">
        <f>HYPERLINK("https://klasma.github.io/Logging_2518/fåglar/A 33324-2023 prioriterade fågelarter.docx", "A 33324-2023")</f>
        <v/>
      </c>
    </row>
    <row r="26" ht="15" customHeight="1">
      <c r="A26" t="inlineStr">
        <is>
          <t>A 8507-2024</t>
        </is>
      </c>
      <c r="B26" s="1" t="n">
        <v>45351</v>
      </c>
      <c r="C26" s="1" t="n">
        <v>45669</v>
      </c>
      <c r="D26" t="inlineStr">
        <is>
          <t>NORRBOTTENS LÄN</t>
        </is>
      </c>
      <c r="E26" t="inlineStr">
        <is>
          <t>ÖVERTORNEÅ</t>
        </is>
      </c>
      <c r="G26" t="n">
        <v>15.8</v>
      </c>
      <c r="H26" t="n">
        <v>4</v>
      </c>
      <c r="I26" t="n">
        <v>0</v>
      </c>
      <c r="J26" t="n">
        <v>7</v>
      </c>
      <c r="K26" t="n">
        <v>0</v>
      </c>
      <c r="L26" t="n">
        <v>0</v>
      </c>
      <c r="M26" t="n">
        <v>0</v>
      </c>
      <c r="N26" t="n">
        <v>0</v>
      </c>
      <c r="O26" t="n">
        <v>7</v>
      </c>
      <c r="P26" t="n">
        <v>0</v>
      </c>
      <c r="Q26" t="n">
        <v>7</v>
      </c>
      <c r="R26" s="2" t="inlineStr">
        <is>
          <t>Gammelgransskål
Garnlav
Järpe
Skogshare
Spillkråka
Talltita
Utter</t>
        </is>
      </c>
      <c r="S26">
        <f>HYPERLINK("https://klasma.github.io/Logging_2518/artfynd/A 8507-2024 artfynd.xlsx", "A 8507-2024")</f>
        <v/>
      </c>
      <c r="T26">
        <f>HYPERLINK("https://klasma.github.io/Logging_2518/kartor/A 8507-2024 karta.png", "A 8507-2024")</f>
        <v/>
      </c>
      <c r="V26">
        <f>HYPERLINK("https://klasma.github.io/Logging_2518/klagomål/A 8507-2024 FSC-klagomål.docx", "A 8507-2024")</f>
        <v/>
      </c>
      <c r="W26">
        <f>HYPERLINK("https://klasma.github.io/Logging_2518/klagomålsmail/A 8507-2024 FSC-klagomål mail.docx", "A 8507-2024")</f>
        <v/>
      </c>
      <c r="X26">
        <f>HYPERLINK("https://klasma.github.io/Logging_2518/tillsyn/A 8507-2024 tillsynsbegäran.docx", "A 8507-2024")</f>
        <v/>
      </c>
      <c r="Y26">
        <f>HYPERLINK("https://klasma.github.io/Logging_2518/tillsynsmail/A 8507-2024 tillsynsbegäran mail.docx", "A 8507-2024")</f>
        <v/>
      </c>
      <c r="Z26">
        <f>HYPERLINK("https://klasma.github.io/Logging_2518/fåglar/A 8507-2024 prioriterade fågelarter.docx", "A 8507-2024")</f>
        <v/>
      </c>
    </row>
    <row r="27" ht="15" customHeight="1">
      <c r="A27" t="inlineStr">
        <is>
          <t>A 41915-2024</t>
        </is>
      </c>
      <c r="B27" s="1" t="n">
        <v>45561</v>
      </c>
      <c r="C27" s="1" t="n">
        <v>45669</v>
      </c>
      <c r="D27" t="inlineStr">
        <is>
          <t>NORRBOTTENS LÄN</t>
        </is>
      </c>
      <c r="E27" t="inlineStr">
        <is>
          <t>ÖVERTORNEÅ</t>
        </is>
      </c>
      <c r="G27" t="n">
        <v>5.5</v>
      </c>
      <c r="H27" t="n">
        <v>4</v>
      </c>
      <c r="I27" t="n">
        <v>1</v>
      </c>
      <c r="J27" t="n">
        <v>5</v>
      </c>
      <c r="K27" t="n">
        <v>1</v>
      </c>
      <c r="L27" t="n">
        <v>0</v>
      </c>
      <c r="M27" t="n">
        <v>0</v>
      </c>
      <c r="N27" t="n">
        <v>0</v>
      </c>
      <c r="O27" t="n">
        <v>6</v>
      </c>
      <c r="P27" t="n">
        <v>1</v>
      </c>
      <c r="Q27" t="n">
        <v>7</v>
      </c>
      <c r="R27" s="2" t="inlineStr">
        <is>
          <t>Knärot
Garnlav
Gränsticka
Spillkråka
Talltita
Ullticka
Plattlummer</t>
        </is>
      </c>
      <c r="S27">
        <f>HYPERLINK("https://klasma.github.io/Logging_2518/artfynd/A 41915-2024 artfynd.xlsx", "A 41915-2024")</f>
        <v/>
      </c>
      <c r="T27">
        <f>HYPERLINK("https://klasma.github.io/Logging_2518/kartor/A 41915-2024 karta.png", "A 41915-2024")</f>
        <v/>
      </c>
      <c r="U27">
        <f>HYPERLINK("https://klasma.github.io/Logging_2518/knärot/A 41915-2024 karta knärot.png", "A 41915-2024")</f>
        <v/>
      </c>
      <c r="V27">
        <f>HYPERLINK("https://klasma.github.io/Logging_2518/klagomål/A 41915-2024 FSC-klagomål.docx", "A 41915-2024")</f>
        <v/>
      </c>
      <c r="W27">
        <f>HYPERLINK("https://klasma.github.io/Logging_2518/klagomålsmail/A 41915-2024 FSC-klagomål mail.docx", "A 41915-2024")</f>
        <v/>
      </c>
      <c r="X27">
        <f>HYPERLINK("https://klasma.github.io/Logging_2518/tillsyn/A 41915-2024 tillsynsbegäran.docx", "A 41915-2024")</f>
        <v/>
      </c>
      <c r="Y27">
        <f>HYPERLINK("https://klasma.github.io/Logging_2518/tillsynsmail/A 41915-2024 tillsynsbegäran mail.docx", "A 41915-2024")</f>
        <v/>
      </c>
      <c r="Z27">
        <f>HYPERLINK("https://klasma.github.io/Logging_2518/fåglar/A 41915-2024 prioriterade fågelarter.docx", "A 41915-2024")</f>
        <v/>
      </c>
    </row>
    <row r="28" ht="15" customHeight="1">
      <c r="A28" t="inlineStr">
        <is>
          <t>A 25299-2023</t>
        </is>
      </c>
      <c r="B28" s="1" t="n">
        <v>45087</v>
      </c>
      <c r="C28" s="1" t="n">
        <v>45669</v>
      </c>
      <c r="D28" t="inlineStr">
        <is>
          <t>NORRBOTTENS LÄN</t>
        </is>
      </c>
      <c r="E28" t="inlineStr">
        <is>
          <t>ÖVERTORNEÅ</t>
        </is>
      </c>
      <c r="G28" t="n">
        <v>3.8</v>
      </c>
      <c r="H28" t="n">
        <v>1</v>
      </c>
      <c r="I28" t="n">
        <v>3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6</v>
      </c>
      <c r="R28" s="2" t="inlineStr">
        <is>
          <t>Garnlav
Granticka
Tretåig hackspett
Bårdlav
Skinnlav
Stuplav</t>
        </is>
      </c>
      <c r="S28">
        <f>HYPERLINK("https://klasma.github.io/Logging_2518/artfynd/A 25299-2023 artfynd.xlsx", "A 25299-2023")</f>
        <v/>
      </c>
      <c r="T28">
        <f>HYPERLINK("https://klasma.github.io/Logging_2518/kartor/A 25299-2023 karta.png", "A 25299-2023")</f>
        <v/>
      </c>
      <c r="V28">
        <f>HYPERLINK("https://klasma.github.io/Logging_2518/klagomål/A 25299-2023 FSC-klagomål.docx", "A 25299-2023")</f>
        <v/>
      </c>
      <c r="W28">
        <f>HYPERLINK("https://klasma.github.io/Logging_2518/klagomålsmail/A 25299-2023 FSC-klagomål mail.docx", "A 25299-2023")</f>
        <v/>
      </c>
      <c r="X28">
        <f>HYPERLINK("https://klasma.github.io/Logging_2518/tillsyn/A 25299-2023 tillsynsbegäran.docx", "A 25299-2023")</f>
        <v/>
      </c>
      <c r="Y28">
        <f>HYPERLINK("https://klasma.github.io/Logging_2518/tillsynsmail/A 25299-2023 tillsynsbegäran mail.docx", "A 25299-2023")</f>
        <v/>
      </c>
      <c r="Z28">
        <f>HYPERLINK("https://klasma.github.io/Logging_2518/fåglar/A 25299-2023 prioriterade fågelarter.docx", "A 25299-2023")</f>
        <v/>
      </c>
    </row>
    <row r="29" ht="15" customHeight="1">
      <c r="A29" t="inlineStr">
        <is>
          <t>A 7561-2024</t>
        </is>
      </c>
      <c r="B29" s="1" t="n">
        <v>45348</v>
      </c>
      <c r="C29" s="1" t="n">
        <v>45669</v>
      </c>
      <c r="D29" t="inlineStr">
        <is>
          <t>NORRBOTTENS LÄN</t>
        </is>
      </c>
      <c r="E29" t="inlineStr">
        <is>
          <t>ÖVERTORNEÅ</t>
        </is>
      </c>
      <c r="G29" t="n">
        <v>5.1</v>
      </c>
      <c r="H29" t="n">
        <v>2</v>
      </c>
      <c r="I29" t="n">
        <v>3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6</v>
      </c>
      <c r="R29" s="2" t="inlineStr">
        <is>
          <t>Garnlav
Järpe
Spillkråka
Skinnlav
Stor aspticka
Vedticka</t>
        </is>
      </c>
      <c r="S29">
        <f>HYPERLINK("https://klasma.github.io/Logging_2518/artfynd/A 7561-2024 artfynd.xlsx", "A 7561-2024")</f>
        <v/>
      </c>
      <c r="T29">
        <f>HYPERLINK("https://klasma.github.io/Logging_2518/kartor/A 7561-2024 karta.png", "A 7561-2024")</f>
        <v/>
      </c>
      <c r="V29">
        <f>HYPERLINK("https://klasma.github.io/Logging_2518/klagomål/A 7561-2024 FSC-klagomål.docx", "A 7561-2024")</f>
        <v/>
      </c>
      <c r="W29">
        <f>HYPERLINK("https://klasma.github.io/Logging_2518/klagomålsmail/A 7561-2024 FSC-klagomål mail.docx", "A 7561-2024")</f>
        <v/>
      </c>
      <c r="X29">
        <f>HYPERLINK("https://klasma.github.io/Logging_2518/tillsyn/A 7561-2024 tillsynsbegäran.docx", "A 7561-2024")</f>
        <v/>
      </c>
      <c r="Y29">
        <f>HYPERLINK("https://klasma.github.io/Logging_2518/tillsynsmail/A 7561-2024 tillsynsbegäran mail.docx", "A 7561-2024")</f>
        <v/>
      </c>
      <c r="Z29">
        <f>HYPERLINK("https://klasma.github.io/Logging_2518/fåglar/A 7561-2024 prioriterade fågelarter.docx", "A 7561-2024")</f>
        <v/>
      </c>
    </row>
    <row r="30" ht="15" customHeight="1">
      <c r="A30" t="inlineStr">
        <is>
          <t>A 16027-2024</t>
        </is>
      </c>
      <c r="B30" s="1" t="n">
        <v>45405</v>
      </c>
      <c r="C30" s="1" t="n">
        <v>45669</v>
      </c>
      <c r="D30" t="inlineStr">
        <is>
          <t>NORRBOTTENS LÄN</t>
        </is>
      </c>
      <c r="E30" t="inlineStr">
        <is>
          <t>ÖVERTORNEÅ</t>
        </is>
      </c>
      <c r="G30" t="n">
        <v>7.2</v>
      </c>
      <c r="H30" t="n">
        <v>2</v>
      </c>
      <c r="I30" t="n">
        <v>3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6</v>
      </c>
      <c r="R30" s="2" t="inlineStr">
        <is>
          <t>Mörk kolflarnlav
Spillkråka
Violmussling
Bronshjon
Spindelblomster
Stuplav</t>
        </is>
      </c>
      <c r="S30">
        <f>HYPERLINK("https://klasma.github.io/Logging_2518/artfynd/A 16027-2024 artfynd.xlsx", "A 16027-2024")</f>
        <v/>
      </c>
      <c r="T30">
        <f>HYPERLINK("https://klasma.github.io/Logging_2518/kartor/A 16027-2024 karta.png", "A 16027-2024")</f>
        <v/>
      </c>
      <c r="V30">
        <f>HYPERLINK("https://klasma.github.io/Logging_2518/klagomål/A 16027-2024 FSC-klagomål.docx", "A 16027-2024")</f>
        <v/>
      </c>
      <c r="W30">
        <f>HYPERLINK("https://klasma.github.io/Logging_2518/klagomålsmail/A 16027-2024 FSC-klagomål mail.docx", "A 16027-2024")</f>
        <v/>
      </c>
      <c r="X30">
        <f>HYPERLINK("https://klasma.github.io/Logging_2518/tillsyn/A 16027-2024 tillsynsbegäran.docx", "A 16027-2024")</f>
        <v/>
      </c>
      <c r="Y30">
        <f>HYPERLINK("https://klasma.github.io/Logging_2518/tillsynsmail/A 16027-2024 tillsynsbegäran mail.docx", "A 16027-2024")</f>
        <v/>
      </c>
      <c r="Z30">
        <f>HYPERLINK("https://klasma.github.io/Logging_2518/fåglar/A 16027-2024 prioriterade fågelarter.docx", "A 16027-2024")</f>
        <v/>
      </c>
    </row>
    <row r="31" ht="15" customHeight="1">
      <c r="A31" t="inlineStr">
        <is>
          <t>A 28951-2024</t>
        </is>
      </c>
      <c r="B31" s="1" t="n">
        <v>45481</v>
      </c>
      <c r="C31" s="1" t="n">
        <v>45669</v>
      </c>
      <c r="D31" t="inlineStr">
        <is>
          <t>NORRBOTTENS LÄN</t>
        </is>
      </c>
      <c r="E31" t="inlineStr">
        <is>
          <t>ÖVERTORNEÅ</t>
        </is>
      </c>
      <c r="G31" t="n">
        <v>11.8</v>
      </c>
      <c r="H31" t="n">
        <v>2</v>
      </c>
      <c r="I31" t="n">
        <v>1</v>
      </c>
      <c r="J31" t="n">
        <v>5</v>
      </c>
      <c r="K31" t="n">
        <v>0</v>
      </c>
      <c r="L31" t="n">
        <v>0</v>
      </c>
      <c r="M31" t="n">
        <v>0</v>
      </c>
      <c r="N31" t="n">
        <v>0</v>
      </c>
      <c r="O31" t="n">
        <v>5</v>
      </c>
      <c r="P31" t="n">
        <v>0</v>
      </c>
      <c r="Q31" t="n">
        <v>6</v>
      </c>
      <c r="R31" s="2" t="inlineStr">
        <is>
          <t>Garnlav
Granticka
Luddfingersvamp
Spillkråka
Tretåig hackspett
Skinnlav</t>
        </is>
      </c>
      <c r="S31">
        <f>HYPERLINK("https://klasma.github.io/Logging_2518/artfynd/A 28951-2024 artfynd.xlsx", "A 28951-2024")</f>
        <v/>
      </c>
      <c r="T31">
        <f>HYPERLINK("https://klasma.github.io/Logging_2518/kartor/A 28951-2024 karta.png", "A 28951-2024")</f>
        <v/>
      </c>
      <c r="V31">
        <f>HYPERLINK("https://klasma.github.io/Logging_2518/klagomål/A 28951-2024 FSC-klagomål.docx", "A 28951-2024")</f>
        <v/>
      </c>
      <c r="W31">
        <f>HYPERLINK("https://klasma.github.io/Logging_2518/klagomålsmail/A 28951-2024 FSC-klagomål mail.docx", "A 28951-2024")</f>
        <v/>
      </c>
      <c r="X31">
        <f>HYPERLINK("https://klasma.github.io/Logging_2518/tillsyn/A 28951-2024 tillsynsbegäran.docx", "A 28951-2024")</f>
        <v/>
      </c>
      <c r="Y31">
        <f>HYPERLINK("https://klasma.github.io/Logging_2518/tillsynsmail/A 28951-2024 tillsynsbegäran mail.docx", "A 28951-2024")</f>
        <v/>
      </c>
      <c r="Z31">
        <f>HYPERLINK("https://klasma.github.io/Logging_2518/fåglar/A 28951-2024 prioriterade fågelarter.docx", "A 28951-2024")</f>
        <v/>
      </c>
    </row>
    <row r="32" ht="15" customHeight="1">
      <c r="A32" t="inlineStr">
        <is>
          <t>A 47047-2024</t>
        </is>
      </c>
      <c r="B32" s="1" t="n">
        <v>45586</v>
      </c>
      <c r="C32" s="1" t="n">
        <v>45669</v>
      </c>
      <c r="D32" t="inlineStr">
        <is>
          <t>NORRBOTTENS LÄN</t>
        </is>
      </c>
      <c r="E32" t="inlineStr">
        <is>
          <t>ÖVERTORNEÅ</t>
        </is>
      </c>
      <c r="G32" t="n">
        <v>2.6</v>
      </c>
      <c r="H32" t="n">
        <v>1</v>
      </c>
      <c r="I32" t="n">
        <v>2</v>
      </c>
      <c r="J32" t="n">
        <v>3</v>
      </c>
      <c r="K32" t="n">
        <v>1</v>
      </c>
      <c r="L32" t="n">
        <v>0</v>
      </c>
      <c r="M32" t="n">
        <v>0</v>
      </c>
      <c r="N32" t="n">
        <v>0</v>
      </c>
      <c r="O32" t="n">
        <v>4</v>
      </c>
      <c r="P32" t="n">
        <v>1</v>
      </c>
      <c r="Q32" t="n">
        <v>6</v>
      </c>
      <c r="R32" s="2" t="inlineStr">
        <is>
          <t>Knärot
Garnlav
Granticka
Lunglav
Stuplav
Vedticka</t>
        </is>
      </c>
      <c r="S32">
        <f>HYPERLINK("https://klasma.github.io/Logging_2518/artfynd/A 47047-2024 artfynd.xlsx", "A 47047-2024")</f>
        <v/>
      </c>
      <c r="T32">
        <f>HYPERLINK("https://klasma.github.io/Logging_2518/kartor/A 47047-2024 karta.png", "A 47047-2024")</f>
        <v/>
      </c>
      <c r="U32">
        <f>HYPERLINK("https://klasma.github.io/Logging_2518/knärot/A 47047-2024 karta knärot.png", "A 47047-2024")</f>
        <v/>
      </c>
      <c r="V32">
        <f>HYPERLINK("https://klasma.github.io/Logging_2518/klagomål/A 47047-2024 FSC-klagomål.docx", "A 47047-2024")</f>
        <v/>
      </c>
      <c r="W32">
        <f>HYPERLINK("https://klasma.github.io/Logging_2518/klagomålsmail/A 47047-2024 FSC-klagomål mail.docx", "A 47047-2024")</f>
        <v/>
      </c>
      <c r="X32">
        <f>HYPERLINK("https://klasma.github.io/Logging_2518/tillsyn/A 47047-2024 tillsynsbegäran.docx", "A 47047-2024")</f>
        <v/>
      </c>
      <c r="Y32">
        <f>HYPERLINK("https://klasma.github.io/Logging_2518/tillsynsmail/A 47047-2024 tillsynsbegäran mail.docx", "A 47047-2024")</f>
        <v/>
      </c>
    </row>
    <row r="33" ht="15" customHeight="1">
      <c r="A33" t="inlineStr">
        <is>
          <t>A 54390-2020</t>
        </is>
      </c>
      <c r="B33" s="1" t="n">
        <v>44126</v>
      </c>
      <c r="C33" s="1" t="n">
        <v>45669</v>
      </c>
      <c r="D33" t="inlineStr">
        <is>
          <t>NORRBOTTENS LÄN</t>
        </is>
      </c>
      <c r="E33" t="inlineStr">
        <is>
          <t>ÖVERTORNEÅ</t>
        </is>
      </c>
      <c r="F33" t="inlineStr">
        <is>
          <t>Sveaskog</t>
        </is>
      </c>
      <c r="G33" t="n">
        <v>3.2</v>
      </c>
      <c r="H33" t="n">
        <v>0</v>
      </c>
      <c r="I33" t="n">
        <v>1</v>
      </c>
      <c r="J33" t="n">
        <v>4</v>
      </c>
      <c r="K33" t="n">
        <v>0</v>
      </c>
      <c r="L33" t="n">
        <v>0</v>
      </c>
      <c r="M33" t="n">
        <v>0</v>
      </c>
      <c r="N33" t="n">
        <v>0</v>
      </c>
      <c r="O33" t="n">
        <v>4</v>
      </c>
      <c r="P33" t="n">
        <v>0</v>
      </c>
      <c r="Q33" t="n">
        <v>5</v>
      </c>
      <c r="R33" s="2" t="inlineStr">
        <is>
          <t>Gammelgransskål
Garnlav
Rosenticka
Ullticka
Vedticka</t>
        </is>
      </c>
      <c r="S33">
        <f>HYPERLINK("https://klasma.github.io/Logging_2518/artfynd/A 54390-2020 artfynd.xlsx", "A 54390-2020")</f>
        <v/>
      </c>
      <c r="T33">
        <f>HYPERLINK("https://klasma.github.io/Logging_2518/kartor/A 54390-2020 karta.png", "A 54390-2020")</f>
        <v/>
      </c>
      <c r="V33">
        <f>HYPERLINK("https://klasma.github.io/Logging_2518/klagomål/A 54390-2020 FSC-klagomål.docx", "A 54390-2020")</f>
        <v/>
      </c>
      <c r="W33">
        <f>HYPERLINK("https://klasma.github.io/Logging_2518/klagomålsmail/A 54390-2020 FSC-klagomål mail.docx", "A 54390-2020")</f>
        <v/>
      </c>
      <c r="X33">
        <f>HYPERLINK("https://klasma.github.io/Logging_2518/tillsyn/A 54390-2020 tillsynsbegäran.docx", "A 54390-2020")</f>
        <v/>
      </c>
      <c r="Y33">
        <f>HYPERLINK("https://klasma.github.io/Logging_2518/tillsynsmail/A 54390-2020 tillsynsbegäran mail.docx", "A 54390-2020")</f>
        <v/>
      </c>
    </row>
    <row r="34" ht="15" customHeight="1">
      <c r="A34" t="inlineStr">
        <is>
          <t>A 31305-2021</t>
        </is>
      </c>
      <c r="B34" s="1" t="n">
        <v>44368</v>
      </c>
      <c r="C34" s="1" t="n">
        <v>45669</v>
      </c>
      <c r="D34" t="inlineStr">
        <is>
          <t>NORRBOTTENS LÄN</t>
        </is>
      </c>
      <c r="E34" t="inlineStr">
        <is>
          <t>ÖVERTORNEÅ</t>
        </is>
      </c>
      <c r="F34" t="inlineStr">
        <is>
          <t>Sveaskog</t>
        </is>
      </c>
      <c r="G34" t="n">
        <v>3</v>
      </c>
      <c r="H34" t="n">
        <v>0</v>
      </c>
      <c r="I34" t="n">
        <v>2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5</v>
      </c>
      <c r="R34" s="2" t="inlineStr">
        <is>
          <t>Gammelgransskål
Garnlav
Harticka
Luddlav
Vedticka</t>
        </is>
      </c>
      <c r="S34">
        <f>HYPERLINK("https://klasma.github.io/Logging_2518/artfynd/A 31305-2021 artfynd.xlsx", "A 31305-2021")</f>
        <v/>
      </c>
      <c r="T34">
        <f>HYPERLINK("https://klasma.github.io/Logging_2518/kartor/A 31305-2021 karta.png", "A 31305-2021")</f>
        <v/>
      </c>
      <c r="V34">
        <f>HYPERLINK("https://klasma.github.io/Logging_2518/klagomål/A 31305-2021 FSC-klagomål.docx", "A 31305-2021")</f>
        <v/>
      </c>
      <c r="W34">
        <f>HYPERLINK("https://klasma.github.io/Logging_2518/klagomålsmail/A 31305-2021 FSC-klagomål mail.docx", "A 31305-2021")</f>
        <v/>
      </c>
      <c r="X34">
        <f>HYPERLINK("https://klasma.github.io/Logging_2518/tillsyn/A 31305-2021 tillsynsbegäran.docx", "A 31305-2021")</f>
        <v/>
      </c>
      <c r="Y34">
        <f>HYPERLINK("https://klasma.github.io/Logging_2518/tillsynsmail/A 31305-2021 tillsynsbegäran mail.docx", "A 31305-2021")</f>
        <v/>
      </c>
    </row>
    <row r="35" ht="15" customHeight="1">
      <c r="A35" t="inlineStr">
        <is>
          <t>A 54504-2022</t>
        </is>
      </c>
      <c r="B35" s="1" t="n">
        <v>44880</v>
      </c>
      <c r="C35" s="1" t="n">
        <v>45669</v>
      </c>
      <c r="D35" t="inlineStr">
        <is>
          <t>NORRBOTTENS LÄN</t>
        </is>
      </c>
      <c r="E35" t="inlineStr">
        <is>
          <t>ÖVERTORNEÅ</t>
        </is>
      </c>
      <c r="F35" t="inlineStr">
        <is>
          <t>Sveaskog</t>
        </is>
      </c>
      <c r="G35" t="n">
        <v>2.6</v>
      </c>
      <c r="H35" t="n">
        <v>2</v>
      </c>
      <c r="I35" t="n">
        <v>2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5</v>
      </c>
      <c r="R35" s="2" t="inlineStr">
        <is>
          <t>Garnlav
Spillkråka
Barkticka
Norrlandslav
Revlummer</t>
        </is>
      </c>
      <c r="S35">
        <f>HYPERLINK("https://klasma.github.io/Logging_2518/artfynd/A 54504-2022 artfynd.xlsx", "A 54504-2022")</f>
        <v/>
      </c>
      <c r="T35">
        <f>HYPERLINK("https://klasma.github.io/Logging_2518/kartor/A 54504-2022 karta.png", "A 54504-2022")</f>
        <v/>
      </c>
      <c r="V35">
        <f>HYPERLINK("https://klasma.github.io/Logging_2518/klagomål/A 54504-2022 FSC-klagomål.docx", "A 54504-2022")</f>
        <v/>
      </c>
      <c r="W35">
        <f>HYPERLINK("https://klasma.github.io/Logging_2518/klagomålsmail/A 54504-2022 FSC-klagomål mail.docx", "A 54504-2022")</f>
        <v/>
      </c>
      <c r="X35">
        <f>HYPERLINK("https://klasma.github.io/Logging_2518/tillsyn/A 54504-2022 tillsynsbegäran.docx", "A 54504-2022")</f>
        <v/>
      </c>
      <c r="Y35">
        <f>HYPERLINK("https://klasma.github.io/Logging_2518/tillsynsmail/A 54504-2022 tillsynsbegäran mail.docx", "A 54504-2022")</f>
        <v/>
      </c>
      <c r="Z35">
        <f>HYPERLINK("https://klasma.github.io/Logging_2518/fåglar/A 54504-2022 prioriterade fågelarter.docx", "A 54504-2022")</f>
        <v/>
      </c>
    </row>
    <row r="36" ht="15" customHeight="1">
      <c r="A36" t="inlineStr">
        <is>
          <t>A 15202-2023</t>
        </is>
      </c>
      <c r="B36" s="1" t="n">
        <v>45017</v>
      </c>
      <c r="C36" s="1" t="n">
        <v>45669</v>
      </c>
      <c r="D36" t="inlineStr">
        <is>
          <t>NORRBOTTENS LÄN</t>
        </is>
      </c>
      <c r="E36" t="inlineStr">
        <is>
          <t>ÖVERTORNEÅ</t>
        </is>
      </c>
      <c r="G36" t="n">
        <v>3.2</v>
      </c>
      <c r="H36" t="n">
        <v>1</v>
      </c>
      <c r="I36" t="n">
        <v>0</v>
      </c>
      <c r="J36" t="n">
        <v>5</v>
      </c>
      <c r="K36" t="n">
        <v>0</v>
      </c>
      <c r="L36" t="n">
        <v>0</v>
      </c>
      <c r="M36" t="n">
        <v>0</v>
      </c>
      <c r="N36" t="n">
        <v>0</v>
      </c>
      <c r="O36" t="n">
        <v>5</v>
      </c>
      <c r="P36" t="n">
        <v>0</v>
      </c>
      <c r="Q36" t="n">
        <v>5</v>
      </c>
      <c r="R36" s="2" t="inlineStr">
        <is>
          <t>Garnlav
Granticka
Lunglav
Spillkråka
Tallticka</t>
        </is>
      </c>
      <c r="S36">
        <f>HYPERLINK("https://klasma.github.io/Logging_2518/artfynd/A 15202-2023 artfynd.xlsx", "A 15202-2023")</f>
        <v/>
      </c>
      <c r="T36">
        <f>HYPERLINK("https://klasma.github.io/Logging_2518/kartor/A 15202-2023 karta.png", "A 15202-2023")</f>
        <v/>
      </c>
      <c r="V36">
        <f>HYPERLINK("https://klasma.github.io/Logging_2518/klagomål/A 15202-2023 FSC-klagomål.docx", "A 15202-2023")</f>
        <v/>
      </c>
      <c r="W36">
        <f>HYPERLINK("https://klasma.github.io/Logging_2518/klagomålsmail/A 15202-2023 FSC-klagomål mail.docx", "A 15202-2023")</f>
        <v/>
      </c>
      <c r="X36">
        <f>HYPERLINK("https://klasma.github.io/Logging_2518/tillsyn/A 15202-2023 tillsynsbegäran.docx", "A 15202-2023")</f>
        <v/>
      </c>
      <c r="Y36">
        <f>HYPERLINK("https://klasma.github.io/Logging_2518/tillsynsmail/A 15202-2023 tillsynsbegäran mail.docx", "A 15202-2023")</f>
        <v/>
      </c>
      <c r="Z36">
        <f>HYPERLINK("https://klasma.github.io/Logging_2518/fåglar/A 15202-2023 prioriterade fågelarter.docx", "A 15202-2023")</f>
        <v/>
      </c>
    </row>
    <row r="37" ht="15" customHeight="1">
      <c r="A37" t="inlineStr">
        <is>
          <t>A 22380-2024</t>
        </is>
      </c>
      <c r="B37" s="1" t="n">
        <v>45446</v>
      </c>
      <c r="C37" s="1" t="n">
        <v>45669</v>
      </c>
      <c r="D37" t="inlineStr">
        <is>
          <t>NORRBOTTENS LÄN</t>
        </is>
      </c>
      <c r="E37" t="inlineStr">
        <is>
          <t>ÖVERTORNEÅ</t>
        </is>
      </c>
      <c r="G37" t="n">
        <v>22.9</v>
      </c>
      <c r="H37" t="n">
        <v>2</v>
      </c>
      <c r="I37" t="n">
        <v>1</v>
      </c>
      <c r="J37" t="n">
        <v>4</v>
      </c>
      <c r="K37" t="n">
        <v>0</v>
      </c>
      <c r="L37" t="n">
        <v>0</v>
      </c>
      <c r="M37" t="n">
        <v>0</v>
      </c>
      <c r="N37" t="n">
        <v>0</v>
      </c>
      <c r="O37" t="n">
        <v>4</v>
      </c>
      <c r="P37" t="n">
        <v>0</v>
      </c>
      <c r="Q37" t="n">
        <v>5</v>
      </c>
      <c r="R37" s="2" t="inlineStr">
        <is>
          <t>Garnlav
Spillkråka
Tretåig hackspett
Violmussling
Vedticka</t>
        </is>
      </c>
      <c r="S37">
        <f>HYPERLINK("https://klasma.github.io/Logging_2518/artfynd/A 22380-2024 artfynd.xlsx", "A 22380-2024")</f>
        <v/>
      </c>
      <c r="T37">
        <f>HYPERLINK("https://klasma.github.io/Logging_2518/kartor/A 22380-2024 karta.png", "A 22380-2024")</f>
        <v/>
      </c>
      <c r="V37">
        <f>HYPERLINK("https://klasma.github.io/Logging_2518/klagomål/A 22380-2024 FSC-klagomål.docx", "A 22380-2024")</f>
        <v/>
      </c>
      <c r="W37">
        <f>HYPERLINK("https://klasma.github.io/Logging_2518/klagomålsmail/A 22380-2024 FSC-klagomål mail.docx", "A 22380-2024")</f>
        <v/>
      </c>
      <c r="X37">
        <f>HYPERLINK("https://klasma.github.io/Logging_2518/tillsyn/A 22380-2024 tillsynsbegäran.docx", "A 22380-2024")</f>
        <v/>
      </c>
      <c r="Y37">
        <f>HYPERLINK("https://klasma.github.io/Logging_2518/tillsynsmail/A 22380-2024 tillsynsbegäran mail.docx", "A 22380-2024")</f>
        <v/>
      </c>
      <c r="Z37">
        <f>HYPERLINK("https://klasma.github.io/Logging_2518/fåglar/A 22380-2024 prioriterade fågelarter.docx", "A 22380-2024")</f>
        <v/>
      </c>
    </row>
    <row r="38" ht="15" customHeight="1">
      <c r="A38" t="inlineStr">
        <is>
          <t>A 43537-2024</t>
        </is>
      </c>
      <c r="B38" s="1" t="n">
        <v>45569</v>
      </c>
      <c r="C38" s="1" t="n">
        <v>45669</v>
      </c>
      <c r="D38" t="inlineStr">
        <is>
          <t>NORRBOTTENS LÄN</t>
        </is>
      </c>
      <c r="E38" t="inlineStr">
        <is>
          <t>ÖVERTORNEÅ</t>
        </is>
      </c>
      <c r="G38" t="n">
        <v>5.6</v>
      </c>
      <c r="H38" t="n">
        <v>4</v>
      </c>
      <c r="I38" t="n">
        <v>2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5</v>
      </c>
      <c r="R38" s="2" t="inlineStr">
        <is>
          <t>Garnlav
Tretåig hackspett
Plattlummer
Spindelblomster
Revlummer</t>
        </is>
      </c>
      <c r="S38">
        <f>HYPERLINK("https://klasma.github.io/Logging_2518/artfynd/A 43537-2024 artfynd.xlsx", "A 43537-2024")</f>
        <v/>
      </c>
      <c r="T38">
        <f>HYPERLINK("https://klasma.github.io/Logging_2518/kartor/A 43537-2024 karta.png", "A 43537-2024")</f>
        <v/>
      </c>
      <c r="V38">
        <f>HYPERLINK("https://klasma.github.io/Logging_2518/klagomål/A 43537-2024 FSC-klagomål.docx", "A 43537-2024")</f>
        <v/>
      </c>
      <c r="W38">
        <f>HYPERLINK("https://klasma.github.io/Logging_2518/klagomålsmail/A 43537-2024 FSC-klagomål mail.docx", "A 43537-2024")</f>
        <v/>
      </c>
      <c r="X38">
        <f>HYPERLINK("https://klasma.github.io/Logging_2518/tillsyn/A 43537-2024 tillsynsbegäran.docx", "A 43537-2024")</f>
        <v/>
      </c>
      <c r="Y38">
        <f>HYPERLINK("https://klasma.github.io/Logging_2518/tillsynsmail/A 43537-2024 tillsynsbegäran mail.docx", "A 43537-2024")</f>
        <v/>
      </c>
      <c r="Z38">
        <f>HYPERLINK("https://klasma.github.io/Logging_2518/fåglar/A 43537-2024 prioriterade fågelarter.docx", "A 43537-2024")</f>
        <v/>
      </c>
    </row>
    <row r="39" ht="15" customHeight="1">
      <c r="A39" t="inlineStr">
        <is>
          <t>A 142-2024</t>
        </is>
      </c>
      <c r="B39" s="1" t="n">
        <v>45293</v>
      </c>
      <c r="C39" s="1" t="n">
        <v>45669</v>
      </c>
      <c r="D39" t="inlineStr">
        <is>
          <t>NORRBOTTENS LÄN</t>
        </is>
      </c>
      <c r="E39" t="inlineStr">
        <is>
          <t>ÖVERTORNEÅ</t>
        </is>
      </c>
      <c r="G39" t="n">
        <v>9</v>
      </c>
      <c r="H39" t="n">
        <v>1</v>
      </c>
      <c r="I39" t="n">
        <v>1</v>
      </c>
      <c r="J39" t="n">
        <v>3</v>
      </c>
      <c r="K39" t="n">
        <v>0</v>
      </c>
      <c r="L39" t="n">
        <v>0</v>
      </c>
      <c r="M39" t="n">
        <v>0</v>
      </c>
      <c r="N39" t="n">
        <v>0</v>
      </c>
      <c r="O39" t="n">
        <v>3</v>
      </c>
      <c r="P39" t="n">
        <v>0</v>
      </c>
      <c r="Q39" t="n">
        <v>4</v>
      </c>
      <c r="R39" s="2" t="inlineStr">
        <is>
          <t>Garnlav
Granticka
Spillkråka
Stuplav</t>
        </is>
      </c>
      <c r="S39">
        <f>HYPERLINK("https://klasma.github.io/Logging_2518/artfynd/A 142-2024 artfynd.xlsx", "A 142-2024")</f>
        <v/>
      </c>
      <c r="T39">
        <f>HYPERLINK("https://klasma.github.io/Logging_2518/kartor/A 142-2024 karta.png", "A 142-2024")</f>
        <v/>
      </c>
      <c r="V39">
        <f>HYPERLINK("https://klasma.github.io/Logging_2518/klagomål/A 142-2024 FSC-klagomål.docx", "A 142-2024")</f>
        <v/>
      </c>
      <c r="W39">
        <f>HYPERLINK("https://klasma.github.io/Logging_2518/klagomålsmail/A 142-2024 FSC-klagomål mail.docx", "A 142-2024")</f>
        <v/>
      </c>
      <c r="X39">
        <f>HYPERLINK("https://klasma.github.io/Logging_2518/tillsyn/A 142-2024 tillsynsbegäran.docx", "A 142-2024")</f>
        <v/>
      </c>
      <c r="Y39">
        <f>HYPERLINK("https://klasma.github.io/Logging_2518/tillsynsmail/A 142-2024 tillsynsbegäran mail.docx", "A 142-2024")</f>
        <v/>
      </c>
      <c r="Z39">
        <f>HYPERLINK("https://klasma.github.io/Logging_2518/fåglar/A 142-2024 prioriterade fågelarter.docx", "A 142-2024")</f>
        <v/>
      </c>
    </row>
    <row r="40" ht="15" customHeight="1">
      <c r="A40" t="inlineStr">
        <is>
          <t>A 16456-2024</t>
        </is>
      </c>
      <c r="B40" s="1" t="n">
        <v>45407</v>
      </c>
      <c r="C40" s="1" t="n">
        <v>45669</v>
      </c>
      <c r="D40" t="inlineStr">
        <is>
          <t>NORRBOTTENS LÄN</t>
        </is>
      </c>
      <c r="E40" t="inlineStr">
        <is>
          <t>ÖVERTORNEÅ</t>
        </is>
      </c>
      <c r="G40" t="n">
        <v>11.3</v>
      </c>
      <c r="H40" t="n">
        <v>3</v>
      </c>
      <c r="I40" t="n">
        <v>0</v>
      </c>
      <c r="J40" t="n">
        <v>3</v>
      </c>
      <c r="K40" t="n">
        <v>0</v>
      </c>
      <c r="L40" t="n">
        <v>0</v>
      </c>
      <c r="M40" t="n">
        <v>0</v>
      </c>
      <c r="N40" t="n">
        <v>0</v>
      </c>
      <c r="O40" t="n">
        <v>3</v>
      </c>
      <c r="P40" t="n">
        <v>0</v>
      </c>
      <c r="Q40" t="n">
        <v>4</v>
      </c>
      <c r="R40" s="2" t="inlineStr">
        <is>
          <t>Garnlav
Spillkråka
Tretåig hackspett
Revlummer</t>
        </is>
      </c>
      <c r="S40">
        <f>HYPERLINK("https://klasma.github.io/Logging_2518/artfynd/A 16456-2024 artfynd.xlsx", "A 16456-2024")</f>
        <v/>
      </c>
      <c r="T40">
        <f>HYPERLINK("https://klasma.github.io/Logging_2518/kartor/A 16456-2024 karta.png", "A 16456-2024")</f>
        <v/>
      </c>
      <c r="V40">
        <f>HYPERLINK("https://klasma.github.io/Logging_2518/klagomål/A 16456-2024 FSC-klagomål.docx", "A 16456-2024")</f>
        <v/>
      </c>
      <c r="W40">
        <f>HYPERLINK("https://klasma.github.io/Logging_2518/klagomålsmail/A 16456-2024 FSC-klagomål mail.docx", "A 16456-2024")</f>
        <v/>
      </c>
      <c r="X40">
        <f>HYPERLINK("https://klasma.github.io/Logging_2518/tillsyn/A 16456-2024 tillsynsbegäran.docx", "A 16456-2024")</f>
        <v/>
      </c>
      <c r="Y40">
        <f>HYPERLINK("https://klasma.github.io/Logging_2518/tillsynsmail/A 16456-2024 tillsynsbegäran mail.docx", "A 16456-2024")</f>
        <v/>
      </c>
      <c r="Z40">
        <f>HYPERLINK("https://klasma.github.io/Logging_2518/fåglar/A 16456-2024 prioriterade fågelarter.docx", "A 16456-2024")</f>
        <v/>
      </c>
    </row>
    <row r="41" ht="15" customHeight="1">
      <c r="A41" t="inlineStr">
        <is>
          <t>A 3458-2021</t>
        </is>
      </c>
      <c r="B41" s="1" t="n">
        <v>44216</v>
      </c>
      <c r="C41" s="1" t="n">
        <v>45669</v>
      </c>
      <c r="D41" t="inlineStr">
        <is>
          <t>NORRBOTTENS LÄN</t>
        </is>
      </c>
      <c r="E41" t="inlineStr">
        <is>
          <t>ÖVERTORNEÅ</t>
        </is>
      </c>
      <c r="G41" t="n">
        <v>3</v>
      </c>
      <c r="H41" t="n">
        <v>1</v>
      </c>
      <c r="I41" t="n">
        <v>1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2</v>
      </c>
      <c r="P41" t="n">
        <v>1</v>
      </c>
      <c r="Q41" t="n">
        <v>3</v>
      </c>
      <c r="R41" s="2" t="inlineStr">
        <is>
          <t>Knärot
Doftskinn
Gulnål</t>
        </is>
      </c>
      <c r="S41">
        <f>HYPERLINK("https://klasma.github.io/Logging_2518/artfynd/A 3458-2021 artfynd.xlsx", "A 3458-2021")</f>
        <v/>
      </c>
      <c r="T41">
        <f>HYPERLINK("https://klasma.github.io/Logging_2518/kartor/A 3458-2021 karta.png", "A 3458-2021")</f>
        <v/>
      </c>
      <c r="U41">
        <f>HYPERLINK("https://klasma.github.io/Logging_2518/knärot/A 3458-2021 karta knärot.png", "A 3458-2021")</f>
        <v/>
      </c>
      <c r="V41">
        <f>HYPERLINK("https://klasma.github.io/Logging_2518/klagomål/A 3458-2021 FSC-klagomål.docx", "A 3458-2021")</f>
        <v/>
      </c>
      <c r="W41">
        <f>HYPERLINK("https://klasma.github.io/Logging_2518/klagomålsmail/A 3458-2021 FSC-klagomål mail.docx", "A 3458-2021")</f>
        <v/>
      </c>
      <c r="X41">
        <f>HYPERLINK("https://klasma.github.io/Logging_2518/tillsyn/A 3458-2021 tillsynsbegäran.docx", "A 3458-2021")</f>
        <v/>
      </c>
      <c r="Y41">
        <f>HYPERLINK("https://klasma.github.io/Logging_2518/tillsynsmail/A 3458-2021 tillsynsbegäran mail.docx", "A 3458-2021")</f>
        <v/>
      </c>
    </row>
    <row r="42" ht="15" customHeight="1">
      <c r="A42" t="inlineStr">
        <is>
          <t>A 46019-2021</t>
        </is>
      </c>
      <c r="B42" s="1" t="n">
        <v>44441</v>
      </c>
      <c r="C42" s="1" t="n">
        <v>45669</v>
      </c>
      <c r="D42" t="inlineStr">
        <is>
          <t>NORRBOTTENS LÄN</t>
        </is>
      </c>
      <c r="E42" t="inlineStr">
        <is>
          <t>ÖVERTORNEÅ</t>
        </is>
      </c>
      <c r="G42" t="n">
        <v>2.7</v>
      </c>
      <c r="H42" t="n">
        <v>1</v>
      </c>
      <c r="I42" t="n">
        <v>1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2</v>
      </c>
      <c r="P42" t="n">
        <v>1</v>
      </c>
      <c r="Q42" t="n">
        <v>3</v>
      </c>
      <c r="R42" s="2" t="inlineStr">
        <is>
          <t>Knärot
Doftskinn
Gulnål</t>
        </is>
      </c>
      <c r="S42">
        <f>HYPERLINK("https://klasma.github.io/Logging_2518/artfynd/A 46019-2021 artfynd.xlsx", "A 46019-2021")</f>
        <v/>
      </c>
      <c r="T42">
        <f>HYPERLINK("https://klasma.github.io/Logging_2518/kartor/A 46019-2021 karta.png", "A 46019-2021")</f>
        <v/>
      </c>
      <c r="U42">
        <f>HYPERLINK("https://klasma.github.io/Logging_2518/knärot/A 46019-2021 karta knärot.png", "A 46019-2021")</f>
        <v/>
      </c>
      <c r="V42">
        <f>HYPERLINK("https://klasma.github.io/Logging_2518/klagomål/A 46019-2021 FSC-klagomål.docx", "A 46019-2021")</f>
        <v/>
      </c>
      <c r="W42">
        <f>HYPERLINK("https://klasma.github.io/Logging_2518/klagomålsmail/A 46019-2021 FSC-klagomål mail.docx", "A 46019-2021")</f>
        <v/>
      </c>
      <c r="X42">
        <f>HYPERLINK("https://klasma.github.io/Logging_2518/tillsyn/A 46019-2021 tillsynsbegäran.docx", "A 46019-2021")</f>
        <v/>
      </c>
      <c r="Y42">
        <f>HYPERLINK("https://klasma.github.io/Logging_2518/tillsynsmail/A 46019-2021 tillsynsbegäran mail.docx", "A 46019-2021")</f>
        <v/>
      </c>
    </row>
    <row r="43" ht="15" customHeight="1">
      <c r="A43" t="inlineStr">
        <is>
          <t>A 19133-2023</t>
        </is>
      </c>
      <c r="B43" s="1" t="n">
        <v>45044</v>
      </c>
      <c r="C43" s="1" t="n">
        <v>45669</v>
      </c>
      <c r="D43" t="inlineStr">
        <is>
          <t>NORRBOTTENS LÄN</t>
        </is>
      </c>
      <c r="E43" t="inlineStr">
        <is>
          <t>ÖVERTORNEÅ</t>
        </is>
      </c>
      <c r="G43" t="n">
        <v>11.4</v>
      </c>
      <c r="H43" t="n">
        <v>2</v>
      </c>
      <c r="I43" t="n">
        <v>0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3</v>
      </c>
      <c r="R43" s="2" t="inlineStr">
        <is>
          <t>Garnlav
Järpe
Spillkråka</t>
        </is>
      </c>
      <c r="S43">
        <f>HYPERLINK("https://klasma.github.io/Logging_2518/artfynd/A 19133-2023 artfynd.xlsx", "A 19133-2023")</f>
        <v/>
      </c>
      <c r="T43">
        <f>HYPERLINK("https://klasma.github.io/Logging_2518/kartor/A 19133-2023 karta.png", "A 19133-2023")</f>
        <v/>
      </c>
      <c r="V43">
        <f>HYPERLINK("https://klasma.github.io/Logging_2518/klagomål/A 19133-2023 FSC-klagomål.docx", "A 19133-2023")</f>
        <v/>
      </c>
      <c r="W43">
        <f>HYPERLINK("https://klasma.github.io/Logging_2518/klagomålsmail/A 19133-2023 FSC-klagomål mail.docx", "A 19133-2023")</f>
        <v/>
      </c>
      <c r="X43">
        <f>HYPERLINK("https://klasma.github.io/Logging_2518/tillsyn/A 19133-2023 tillsynsbegäran.docx", "A 19133-2023")</f>
        <v/>
      </c>
      <c r="Y43">
        <f>HYPERLINK("https://klasma.github.io/Logging_2518/tillsynsmail/A 19133-2023 tillsynsbegäran mail.docx", "A 19133-2023")</f>
        <v/>
      </c>
      <c r="Z43">
        <f>HYPERLINK("https://klasma.github.io/Logging_2518/fåglar/A 19133-2023 prioriterade fågelarter.docx", "A 19133-2023")</f>
        <v/>
      </c>
    </row>
    <row r="44" ht="15" customHeight="1">
      <c r="A44" t="inlineStr">
        <is>
          <t>A 30293-2023</t>
        </is>
      </c>
      <c r="B44" s="1" t="n">
        <v>45111</v>
      </c>
      <c r="C44" s="1" t="n">
        <v>45669</v>
      </c>
      <c r="D44" t="inlineStr">
        <is>
          <t>NORRBOTTENS LÄN</t>
        </is>
      </c>
      <c r="E44" t="inlineStr">
        <is>
          <t>ÖVERTORNEÅ</t>
        </is>
      </c>
      <c r="G44" t="n">
        <v>3.8</v>
      </c>
      <c r="H44" t="n">
        <v>1</v>
      </c>
      <c r="I44" t="n">
        <v>0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3</v>
      </c>
      <c r="R44" s="2" t="inlineStr">
        <is>
          <t>Garnlav
Spillkråka
Violmussling</t>
        </is>
      </c>
      <c r="S44">
        <f>HYPERLINK("https://klasma.github.io/Logging_2518/artfynd/A 30293-2023 artfynd.xlsx", "A 30293-2023")</f>
        <v/>
      </c>
      <c r="T44">
        <f>HYPERLINK("https://klasma.github.io/Logging_2518/kartor/A 30293-2023 karta.png", "A 30293-2023")</f>
        <v/>
      </c>
      <c r="V44">
        <f>HYPERLINK("https://klasma.github.io/Logging_2518/klagomål/A 30293-2023 FSC-klagomål.docx", "A 30293-2023")</f>
        <v/>
      </c>
      <c r="W44">
        <f>HYPERLINK("https://klasma.github.io/Logging_2518/klagomålsmail/A 30293-2023 FSC-klagomål mail.docx", "A 30293-2023")</f>
        <v/>
      </c>
      <c r="X44">
        <f>HYPERLINK("https://klasma.github.io/Logging_2518/tillsyn/A 30293-2023 tillsynsbegäran.docx", "A 30293-2023")</f>
        <v/>
      </c>
      <c r="Y44">
        <f>HYPERLINK("https://klasma.github.io/Logging_2518/tillsynsmail/A 30293-2023 tillsynsbegäran mail.docx", "A 30293-2023")</f>
        <v/>
      </c>
      <c r="Z44">
        <f>HYPERLINK("https://klasma.github.io/Logging_2518/fåglar/A 30293-2023 prioriterade fågelarter.docx", "A 30293-2023")</f>
        <v/>
      </c>
    </row>
    <row r="45" ht="15" customHeight="1">
      <c r="A45" t="inlineStr">
        <is>
          <t>A 38176-2023</t>
        </is>
      </c>
      <c r="B45" s="1" t="n">
        <v>45161</v>
      </c>
      <c r="C45" s="1" t="n">
        <v>45669</v>
      </c>
      <c r="D45" t="inlineStr">
        <is>
          <t>NORRBOTTENS LÄN</t>
        </is>
      </c>
      <c r="E45" t="inlineStr">
        <is>
          <t>ÖVERTORNEÅ</t>
        </is>
      </c>
      <c r="F45" t="inlineStr">
        <is>
          <t>Sveaskog</t>
        </is>
      </c>
      <c r="G45" t="n">
        <v>1.3</v>
      </c>
      <c r="H45" t="n">
        <v>0</v>
      </c>
      <c r="I45" t="n">
        <v>2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3</v>
      </c>
      <c r="R45" s="2" t="inlineStr">
        <is>
          <t>Garnlav
Bårdlav
Stuplav</t>
        </is>
      </c>
      <c r="S45">
        <f>HYPERLINK("https://klasma.github.io/Logging_2518/artfynd/A 38176-2023 artfynd.xlsx", "A 38176-2023")</f>
        <v/>
      </c>
      <c r="T45">
        <f>HYPERLINK("https://klasma.github.io/Logging_2518/kartor/A 38176-2023 karta.png", "A 38176-2023")</f>
        <v/>
      </c>
      <c r="V45">
        <f>HYPERLINK("https://klasma.github.io/Logging_2518/klagomål/A 38176-2023 FSC-klagomål.docx", "A 38176-2023")</f>
        <v/>
      </c>
      <c r="W45">
        <f>HYPERLINK("https://klasma.github.io/Logging_2518/klagomålsmail/A 38176-2023 FSC-klagomål mail.docx", "A 38176-2023")</f>
        <v/>
      </c>
      <c r="X45">
        <f>HYPERLINK("https://klasma.github.io/Logging_2518/tillsyn/A 38176-2023 tillsynsbegäran.docx", "A 38176-2023")</f>
        <v/>
      </c>
      <c r="Y45">
        <f>HYPERLINK("https://klasma.github.io/Logging_2518/tillsynsmail/A 38176-2023 tillsynsbegäran mail.docx", "A 38176-2023")</f>
        <v/>
      </c>
    </row>
    <row r="46" ht="15" customHeight="1">
      <c r="A46" t="inlineStr">
        <is>
          <t>A 65260-2023</t>
        </is>
      </c>
      <c r="B46" s="1" t="n">
        <v>45291</v>
      </c>
      <c r="C46" s="1" t="n">
        <v>45669</v>
      </c>
      <c r="D46" t="inlineStr">
        <is>
          <t>NORRBOTTENS LÄN</t>
        </is>
      </c>
      <c r="E46" t="inlineStr">
        <is>
          <t>ÖVERTORNEÅ</t>
        </is>
      </c>
      <c r="G46" t="n">
        <v>7.7</v>
      </c>
      <c r="H46" t="n">
        <v>1</v>
      </c>
      <c r="I46" t="n">
        <v>1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3</v>
      </c>
      <c r="R46" s="2" t="inlineStr">
        <is>
          <t>Garnlav
Spillkråka
Vedticka</t>
        </is>
      </c>
      <c r="S46">
        <f>HYPERLINK("https://klasma.github.io/Logging_2518/artfynd/A 65260-2023 artfynd.xlsx", "A 65260-2023")</f>
        <v/>
      </c>
      <c r="T46">
        <f>HYPERLINK("https://klasma.github.io/Logging_2518/kartor/A 65260-2023 karta.png", "A 65260-2023")</f>
        <v/>
      </c>
      <c r="V46">
        <f>HYPERLINK("https://klasma.github.io/Logging_2518/klagomål/A 65260-2023 FSC-klagomål.docx", "A 65260-2023")</f>
        <v/>
      </c>
      <c r="W46">
        <f>HYPERLINK("https://klasma.github.io/Logging_2518/klagomålsmail/A 65260-2023 FSC-klagomål mail.docx", "A 65260-2023")</f>
        <v/>
      </c>
      <c r="X46">
        <f>HYPERLINK("https://klasma.github.io/Logging_2518/tillsyn/A 65260-2023 tillsynsbegäran.docx", "A 65260-2023")</f>
        <v/>
      </c>
      <c r="Y46">
        <f>HYPERLINK("https://klasma.github.io/Logging_2518/tillsynsmail/A 65260-2023 tillsynsbegäran mail.docx", "A 65260-2023")</f>
        <v/>
      </c>
      <c r="Z46">
        <f>HYPERLINK("https://klasma.github.io/Logging_2518/fåglar/A 65260-2023 prioriterade fågelarter.docx", "A 65260-2023")</f>
        <v/>
      </c>
    </row>
    <row r="47" ht="15" customHeight="1">
      <c r="A47" t="inlineStr">
        <is>
          <t>A 605-2024</t>
        </is>
      </c>
      <c r="B47" s="1" t="n">
        <v>45299</v>
      </c>
      <c r="C47" s="1" t="n">
        <v>45669</v>
      </c>
      <c r="D47" t="inlineStr">
        <is>
          <t>NORRBOTTENS LÄN</t>
        </is>
      </c>
      <c r="E47" t="inlineStr">
        <is>
          <t>ÖVERTORNEÅ</t>
        </is>
      </c>
      <c r="G47" t="n">
        <v>17.4</v>
      </c>
      <c r="H47" t="n">
        <v>3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3</v>
      </c>
      <c r="R47" s="2" t="inlineStr">
        <is>
          <t>Videsparv
Ärtsångare
Lavskrika</t>
        </is>
      </c>
      <c r="S47">
        <f>HYPERLINK("https://klasma.github.io/Logging_2518/artfynd/A 605-2024 artfynd.xlsx", "A 605-2024")</f>
        <v/>
      </c>
      <c r="T47">
        <f>HYPERLINK("https://klasma.github.io/Logging_2518/kartor/A 605-2024 karta.png", "A 605-2024")</f>
        <v/>
      </c>
      <c r="V47">
        <f>HYPERLINK("https://klasma.github.io/Logging_2518/klagomål/A 605-2024 FSC-klagomål.docx", "A 605-2024")</f>
        <v/>
      </c>
      <c r="W47">
        <f>HYPERLINK("https://klasma.github.io/Logging_2518/klagomålsmail/A 605-2024 FSC-klagomål mail.docx", "A 605-2024")</f>
        <v/>
      </c>
      <c r="X47">
        <f>HYPERLINK("https://klasma.github.io/Logging_2518/tillsyn/A 605-2024 tillsynsbegäran.docx", "A 605-2024")</f>
        <v/>
      </c>
      <c r="Y47">
        <f>HYPERLINK("https://klasma.github.io/Logging_2518/tillsynsmail/A 605-2024 tillsynsbegäran mail.docx", "A 605-2024")</f>
        <v/>
      </c>
      <c r="Z47">
        <f>HYPERLINK("https://klasma.github.io/Logging_2518/fåglar/A 605-2024 prioriterade fågelarter.docx", "A 605-2024")</f>
        <v/>
      </c>
    </row>
    <row r="48" ht="15" customHeight="1">
      <c r="A48" t="inlineStr">
        <is>
          <t>A 46352-2024</t>
        </is>
      </c>
      <c r="B48" s="1" t="n">
        <v>45582</v>
      </c>
      <c r="C48" s="1" t="n">
        <v>45669</v>
      </c>
      <c r="D48" t="inlineStr">
        <is>
          <t>NORRBOTTENS LÄN</t>
        </is>
      </c>
      <c r="E48" t="inlineStr">
        <is>
          <t>ÖVERTORNEÅ</t>
        </is>
      </c>
      <c r="G48" t="n">
        <v>30.9</v>
      </c>
      <c r="H48" t="n">
        <v>2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3</v>
      </c>
      <c r="R48" s="2" t="inlineStr">
        <is>
          <t>Garnlav
Spillkråka
Lavskrika</t>
        </is>
      </c>
      <c r="S48">
        <f>HYPERLINK("https://klasma.github.io/Logging_2518/artfynd/A 46352-2024 artfynd.xlsx", "A 46352-2024")</f>
        <v/>
      </c>
      <c r="T48">
        <f>HYPERLINK("https://klasma.github.io/Logging_2518/kartor/A 46352-2024 karta.png", "A 46352-2024")</f>
        <v/>
      </c>
      <c r="V48">
        <f>HYPERLINK("https://klasma.github.io/Logging_2518/klagomål/A 46352-2024 FSC-klagomål.docx", "A 46352-2024")</f>
        <v/>
      </c>
      <c r="W48">
        <f>HYPERLINK("https://klasma.github.io/Logging_2518/klagomålsmail/A 46352-2024 FSC-klagomål mail.docx", "A 46352-2024")</f>
        <v/>
      </c>
      <c r="X48">
        <f>HYPERLINK("https://klasma.github.io/Logging_2518/tillsyn/A 46352-2024 tillsynsbegäran.docx", "A 46352-2024")</f>
        <v/>
      </c>
      <c r="Y48">
        <f>HYPERLINK("https://klasma.github.io/Logging_2518/tillsynsmail/A 46352-2024 tillsynsbegäran mail.docx", "A 46352-2024")</f>
        <v/>
      </c>
      <c r="Z48">
        <f>HYPERLINK("https://klasma.github.io/Logging_2518/fåglar/A 46352-2024 prioriterade fågelarter.docx", "A 46352-2024")</f>
        <v/>
      </c>
    </row>
    <row r="49" ht="15" customHeight="1">
      <c r="A49" t="inlineStr">
        <is>
          <t>A 23307-2019</t>
        </is>
      </c>
      <c r="B49" s="1" t="n">
        <v>43593</v>
      </c>
      <c r="C49" s="1" t="n">
        <v>45669</v>
      </c>
      <c r="D49" t="inlineStr">
        <is>
          <t>NORRBOTTENS LÄN</t>
        </is>
      </c>
      <c r="E49" t="inlineStr">
        <is>
          <t>ÖVERTORNEÅ</t>
        </is>
      </c>
      <c r="F49" t="inlineStr">
        <is>
          <t>Sveaskog</t>
        </is>
      </c>
      <c r="G49" t="n">
        <v>34.4</v>
      </c>
      <c r="H49" t="n">
        <v>0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2</v>
      </c>
      <c r="R49" s="2" t="inlineStr">
        <is>
          <t>Garnlav
Stjärntagging</t>
        </is>
      </c>
      <c r="S49">
        <f>HYPERLINK("https://klasma.github.io/Logging_2518/artfynd/A 23307-2019 artfynd.xlsx", "A 23307-2019")</f>
        <v/>
      </c>
      <c r="T49">
        <f>HYPERLINK("https://klasma.github.io/Logging_2518/kartor/A 23307-2019 karta.png", "A 23307-2019")</f>
        <v/>
      </c>
      <c r="V49">
        <f>HYPERLINK("https://klasma.github.io/Logging_2518/klagomål/A 23307-2019 FSC-klagomål.docx", "A 23307-2019")</f>
        <v/>
      </c>
      <c r="W49">
        <f>HYPERLINK("https://klasma.github.io/Logging_2518/klagomålsmail/A 23307-2019 FSC-klagomål mail.docx", "A 23307-2019")</f>
        <v/>
      </c>
      <c r="X49">
        <f>HYPERLINK("https://klasma.github.io/Logging_2518/tillsyn/A 23307-2019 tillsynsbegäran.docx", "A 23307-2019")</f>
        <v/>
      </c>
      <c r="Y49">
        <f>HYPERLINK("https://klasma.github.io/Logging_2518/tillsynsmail/A 23307-2019 tillsynsbegäran mail.docx", "A 23307-2019")</f>
        <v/>
      </c>
    </row>
    <row r="50" ht="15" customHeight="1">
      <c r="A50" t="inlineStr">
        <is>
          <t>A 48789-2021</t>
        </is>
      </c>
      <c r="B50" s="1" t="n">
        <v>44452</v>
      </c>
      <c r="C50" s="1" t="n">
        <v>45669</v>
      </c>
      <c r="D50" t="inlineStr">
        <is>
          <t>NORRBOTTENS LÄN</t>
        </is>
      </c>
      <c r="E50" t="inlineStr">
        <is>
          <t>ÖVERTORNEÅ</t>
        </is>
      </c>
      <c r="G50" t="n">
        <v>0.7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Garnlav
Revlummer</t>
        </is>
      </c>
      <c r="S50">
        <f>HYPERLINK("https://klasma.github.io/Logging_2518/artfynd/A 48789-2021 artfynd.xlsx", "A 48789-2021")</f>
        <v/>
      </c>
      <c r="T50">
        <f>HYPERLINK("https://klasma.github.io/Logging_2518/kartor/A 48789-2021 karta.png", "A 48789-2021")</f>
        <v/>
      </c>
      <c r="V50">
        <f>HYPERLINK("https://klasma.github.io/Logging_2518/klagomål/A 48789-2021 FSC-klagomål.docx", "A 48789-2021")</f>
        <v/>
      </c>
      <c r="W50">
        <f>HYPERLINK("https://klasma.github.io/Logging_2518/klagomålsmail/A 48789-2021 FSC-klagomål mail.docx", "A 48789-2021")</f>
        <v/>
      </c>
      <c r="X50">
        <f>HYPERLINK("https://klasma.github.io/Logging_2518/tillsyn/A 48789-2021 tillsynsbegäran.docx", "A 48789-2021")</f>
        <v/>
      </c>
      <c r="Y50">
        <f>HYPERLINK("https://klasma.github.io/Logging_2518/tillsynsmail/A 48789-2021 tillsynsbegäran mail.docx", "A 48789-2021")</f>
        <v/>
      </c>
    </row>
    <row r="51" ht="15" customHeight="1">
      <c r="A51" t="inlineStr">
        <is>
          <t>A 22668-2022</t>
        </is>
      </c>
      <c r="B51" s="1" t="n">
        <v>44714</v>
      </c>
      <c r="C51" s="1" t="n">
        <v>45669</v>
      </c>
      <c r="D51" t="inlineStr">
        <is>
          <t>NORRBOTTENS LÄN</t>
        </is>
      </c>
      <c r="E51" t="inlineStr">
        <is>
          <t>ÖVERTORNEÅ</t>
        </is>
      </c>
      <c r="G51" t="n">
        <v>14</v>
      </c>
      <c r="H51" t="n">
        <v>0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Gammelgransskål
Garnlav</t>
        </is>
      </c>
      <c r="S51">
        <f>HYPERLINK("https://klasma.github.io/Logging_2518/artfynd/A 22668-2022 artfynd.xlsx", "A 22668-2022")</f>
        <v/>
      </c>
      <c r="T51">
        <f>HYPERLINK("https://klasma.github.io/Logging_2518/kartor/A 22668-2022 karta.png", "A 22668-2022")</f>
        <v/>
      </c>
      <c r="V51">
        <f>HYPERLINK("https://klasma.github.io/Logging_2518/klagomål/A 22668-2022 FSC-klagomål.docx", "A 22668-2022")</f>
        <v/>
      </c>
      <c r="W51">
        <f>HYPERLINK("https://klasma.github.io/Logging_2518/klagomålsmail/A 22668-2022 FSC-klagomål mail.docx", "A 22668-2022")</f>
        <v/>
      </c>
      <c r="X51">
        <f>HYPERLINK("https://klasma.github.io/Logging_2518/tillsyn/A 22668-2022 tillsynsbegäran.docx", "A 22668-2022")</f>
        <v/>
      </c>
      <c r="Y51">
        <f>HYPERLINK("https://klasma.github.io/Logging_2518/tillsynsmail/A 22668-2022 tillsynsbegäran mail.docx", "A 22668-2022")</f>
        <v/>
      </c>
    </row>
    <row r="52" ht="15" customHeight="1">
      <c r="A52" t="inlineStr">
        <is>
          <t>A 43057-2022</t>
        </is>
      </c>
      <c r="B52" s="1" t="n">
        <v>44833</v>
      </c>
      <c r="C52" s="1" t="n">
        <v>45669</v>
      </c>
      <c r="D52" t="inlineStr">
        <is>
          <t>NORRBOTTENS LÄN</t>
        </is>
      </c>
      <c r="E52" t="inlineStr">
        <is>
          <t>ÖVERTORNEÅ</t>
        </is>
      </c>
      <c r="F52" t="inlineStr">
        <is>
          <t>Sveaskog</t>
        </is>
      </c>
      <c r="G52" t="n">
        <v>2.4</v>
      </c>
      <c r="H52" t="n">
        <v>0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Gammelgransskål
Garnlav</t>
        </is>
      </c>
      <c r="S52">
        <f>HYPERLINK("https://klasma.github.io/Logging_2518/artfynd/A 43057-2022 artfynd.xlsx", "A 43057-2022")</f>
        <v/>
      </c>
      <c r="T52">
        <f>HYPERLINK("https://klasma.github.io/Logging_2518/kartor/A 43057-2022 karta.png", "A 43057-2022")</f>
        <v/>
      </c>
      <c r="V52">
        <f>HYPERLINK("https://klasma.github.io/Logging_2518/klagomål/A 43057-2022 FSC-klagomål.docx", "A 43057-2022")</f>
        <v/>
      </c>
      <c r="W52">
        <f>HYPERLINK("https://klasma.github.io/Logging_2518/klagomålsmail/A 43057-2022 FSC-klagomål mail.docx", "A 43057-2022")</f>
        <v/>
      </c>
      <c r="X52">
        <f>HYPERLINK("https://klasma.github.io/Logging_2518/tillsyn/A 43057-2022 tillsynsbegäran.docx", "A 43057-2022")</f>
        <v/>
      </c>
      <c r="Y52">
        <f>HYPERLINK("https://klasma.github.io/Logging_2518/tillsynsmail/A 43057-2022 tillsynsbegäran mail.docx", "A 43057-2022")</f>
        <v/>
      </c>
    </row>
    <row r="53" ht="15" customHeight="1">
      <c r="A53" t="inlineStr">
        <is>
          <t>A 44248-2022</t>
        </is>
      </c>
      <c r="B53" s="1" t="n">
        <v>44839</v>
      </c>
      <c r="C53" s="1" t="n">
        <v>45669</v>
      </c>
      <c r="D53" t="inlineStr">
        <is>
          <t>NORRBOTTENS LÄN</t>
        </is>
      </c>
      <c r="E53" t="inlineStr">
        <is>
          <t>ÖVERTORNEÅ</t>
        </is>
      </c>
      <c r="F53" t="inlineStr">
        <is>
          <t>Sveaskog</t>
        </is>
      </c>
      <c r="G53" t="n">
        <v>28.7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Garnlav
Revlummer</t>
        </is>
      </c>
      <c r="S53">
        <f>HYPERLINK("https://klasma.github.io/Logging_2518/artfynd/A 44248-2022 artfynd.xlsx", "A 44248-2022")</f>
        <v/>
      </c>
      <c r="T53">
        <f>HYPERLINK("https://klasma.github.io/Logging_2518/kartor/A 44248-2022 karta.png", "A 44248-2022")</f>
        <v/>
      </c>
      <c r="V53">
        <f>HYPERLINK("https://klasma.github.io/Logging_2518/klagomål/A 44248-2022 FSC-klagomål.docx", "A 44248-2022")</f>
        <v/>
      </c>
      <c r="W53">
        <f>HYPERLINK("https://klasma.github.io/Logging_2518/klagomålsmail/A 44248-2022 FSC-klagomål mail.docx", "A 44248-2022")</f>
        <v/>
      </c>
      <c r="X53">
        <f>HYPERLINK("https://klasma.github.io/Logging_2518/tillsyn/A 44248-2022 tillsynsbegäran.docx", "A 44248-2022")</f>
        <v/>
      </c>
      <c r="Y53">
        <f>HYPERLINK("https://klasma.github.io/Logging_2518/tillsynsmail/A 44248-2022 tillsynsbegäran mail.docx", "A 44248-2022")</f>
        <v/>
      </c>
    </row>
    <row r="54" ht="15" customHeight="1">
      <c r="A54" t="inlineStr">
        <is>
          <t>A 50957-2023</t>
        </is>
      </c>
      <c r="B54" s="1" t="n">
        <v>45211</v>
      </c>
      <c r="C54" s="1" t="n">
        <v>45669</v>
      </c>
      <c r="D54" t="inlineStr">
        <is>
          <t>NORRBOTTENS LÄN</t>
        </is>
      </c>
      <c r="E54" t="inlineStr">
        <is>
          <t>ÖVERTORNEÅ</t>
        </is>
      </c>
      <c r="G54" t="n">
        <v>34.4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Garnlav
Lavskrika</t>
        </is>
      </c>
      <c r="S54">
        <f>HYPERLINK("https://klasma.github.io/Logging_2518/artfynd/A 50957-2023 artfynd.xlsx", "A 50957-2023")</f>
        <v/>
      </c>
      <c r="T54">
        <f>HYPERLINK("https://klasma.github.io/Logging_2518/kartor/A 50957-2023 karta.png", "A 50957-2023")</f>
        <v/>
      </c>
      <c r="V54">
        <f>HYPERLINK("https://klasma.github.io/Logging_2518/klagomål/A 50957-2023 FSC-klagomål.docx", "A 50957-2023")</f>
        <v/>
      </c>
      <c r="W54">
        <f>HYPERLINK("https://klasma.github.io/Logging_2518/klagomålsmail/A 50957-2023 FSC-klagomål mail.docx", "A 50957-2023")</f>
        <v/>
      </c>
      <c r="X54">
        <f>HYPERLINK("https://klasma.github.io/Logging_2518/tillsyn/A 50957-2023 tillsynsbegäran.docx", "A 50957-2023")</f>
        <v/>
      </c>
      <c r="Y54">
        <f>HYPERLINK("https://klasma.github.io/Logging_2518/tillsynsmail/A 50957-2023 tillsynsbegäran mail.docx", "A 50957-2023")</f>
        <v/>
      </c>
      <c r="Z54">
        <f>HYPERLINK("https://klasma.github.io/Logging_2518/fåglar/A 50957-2023 prioriterade fågelarter.docx", "A 50957-2023")</f>
        <v/>
      </c>
    </row>
    <row r="55" ht="15" customHeight="1">
      <c r="A55" t="inlineStr">
        <is>
          <t>A 62199-2023</t>
        </is>
      </c>
      <c r="B55" s="1" t="n">
        <v>45267</v>
      </c>
      <c r="C55" s="1" t="n">
        <v>45669</v>
      </c>
      <c r="D55" t="inlineStr">
        <is>
          <t>NORRBOTTENS LÄN</t>
        </is>
      </c>
      <c r="E55" t="inlineStr">
        <is>
          <t>ÖVERTORNEÅ</t>
        </is>
      </c>
      <c r="G55" t="n">
        <v>3.6</v>
      </c>
      <c r="H55" t="n">
        <v>1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2</v>
      </c>
      <c r="R55" s="2" t="inlineStr">
        <is>
          <t>Garnlav
Spillkråka</t>
        </is>
      </c>
      <c r="S55">
        <f>HYPERLINK("https://klasma.github.io/Logging_2518/artfynd/A 62199-2023 artfynd.xlsx", "A 62199-2023")</f>
        <v/>
      </c>
      <c r="T55">
        <f>HYPERLINK("https://klasma.github.io/Logging_2518/kartor/A 62199-2023 karta.png", "A 62199-2023")</f>
        <v/>
      </c>
      <c r="V55">
        <f>HYPERLINK("https://klasma.github.io/Logging_2518/klagomål/A 62199-2023 FSC-klagomål.docx", "A 62199-2023")</f>
        <v/>
      </c>
      <c r="W55">
        <f>HYPERLINK("https://klasma.github.io/Logging_2518/klagomålsmail/A 62199-2023 FSC-klagomål mail.docx", "A 62199-2023")</f>
        <v/>
      </c>
      <c r="X55">
        <f>HYPERLINK("https://klasma.github.io/Logging_2518/tillsyn/A 62199-2023 tillsynsbegäran.docx", "A 62199-2023")</f>
        <v/>
      </c>
      <c r="Y55">
        <f>HYPERLINK("https://klasma.github.io/Logging_2518/tillsynsmail/A 62199-2023 tillsynsbegäran mail.docx", "A 62199-2023")</f>
        <v/>
      </c>
      <c r="Z55">
        <f>HYPERLINK("https://klasma.github.io/Logging_2518/fåglar/A 62199-2023 prioriterade fågelarter.docx", "A 62199-2023")</f>
        <v/>
      </c>
    </row>
    <row r="56" ht="15" customHeight="1">
      <c r="A56" t="inlineStr">
        <is>
          <t>A 29381-2019</t>
        </is>
      </c>
      <c r="B56" s="1" t="n">
        <v>43629</v>
      </c>
      <c r="C56" s="1" t="n">
        <v>45669</v>
      </c>
      <c r="D56" t="inlineStr">
        <is>
          <t>NORRBOTTENS LÄN</t>
        </is>
      </c>
      <c r="E56" t="inlineStr">
        <is>
          <t>ÖVERTORNEÅ</t>
        </is>
      </c>
      <c r="G56" t="n">
        <v>7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Garnlav</t>
        </is>
      </c>
      <c r="S56">
        <f>HYPERLINK("https://klasma.github.io/Logging_2518/artfynd/A 29381-2019 artfynd.xlsx", "A 29381-2019")</f>
        <v/>
      </c>
      <c r="T56">
        <f>HYPERLINK("https://klasma.github.io/Logging_2518/kartor/A 29381-2019 karta.png", "A 29381-2019")</f>
        <v/>
      </c>
      <c r="V56">
        <f>HYPERLINK("https://klasma.github.io/Logging_2518/klagomål/A 29381-2019 FSC-klagomål.docx", "A 29381-2019")</f>
        <v/>
      </c>
      <c r="W56">
        <f>HYPERLINK("https://klasma.github.io/Logging_2518/klagomålsmail/A 29381-2019 FSC-klagomål mail.docx", "A 29381-2019")</f>
        <v/>
      </c>
      <c r="X56">
        <f>HYPERLINK("https://klasma.github.io/Logging_2518/tillsyn/A 29381-2019 tillsynsbegäran.docx", "A 29381-2019")</f>
        <v/>
      </c>
      <c r="Y56">
        <f>HYPERLINK("https://klasma.github.io/Logging_2518/tillsynsmail/A 29381-2019 tillsynsbegäran mail.docx", "A 29381-2019")</f>
        <v/>
      </c>
    </row>
    <row r="57" ht="15" customHeight="1">
      <c r="A57" t="inlineStr">
        <is>
          <t>A 38711-2019</t>
        </is>
      </c>
      <c r="B57" s="1" t="n">
        <v>43686</v>
      </c>
      <c r="C57" s="1" t="n">
        <v>45669</v>
      </c>
      <c r="D57" t="inlineStr">
        <is>
          <t>NORRBOTTENS LÄN</t>
        </is>
      </c>
      <c r="E57" t="inlineStr">
        <is>
          <t>ÖVERTORNEÅ</t>
        </is>
      </c>
      <c r="F57" t="inlineStr">
        <is>
          <t>Sveaskog</t>
        </is>
      </c>
      <c r="G57" t="n">
        <v>9.4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Kungsörn</t>
        </is>
      </c>
      <c r="S57">
        <f>HYPERLINK("https://klasma.github.io/Logging_2518/artfynd/A 38711-2019 artfynd.xlsx", "A 38711-2019")</f>
        <v/>
      </c>
      <c r="T57">
        <f>HYPERLINK("https://klasma.github.io/Logging_2518/kartor/A 38711-2019 karta.png", "A 38711-2019")</f>
        <v/>
      </c>
      <c r="V57">
        <f>HYPERLINK("https://klasma.github.io/Logging_2518/klagomål/A 38711-2019 FSC-klagomål.docx", "A 38711-2019")</f>
        <v/>
      </c>
      <c r="W57">
        <f>HYPERLINK("https://klasma.github.io/Logging_2518/klagomålsmail/A 38711-2019 FSC-klagomål mail.docx", "A 38711-2019")</f>
        <v/>
      </c>
      <c r="X57">
        <f>HYPERLINK("https://klasma.github.io/Logging_2518/tillsyn/A 38711-2019 tillsynsbegäran.docx", "A 38711-2019")</f>
        <v/>
      </c>
      <c r="Y57">
        <f>HYPERLINK("https://klasma.github.io/Logging_2518/tillsynsmail/A 38711-2019 tillsynsbegäran mail.docx", "A 38711-2019")</f>
        <v/>
      </c>
      <c r="Z57">
        <f>HYPERLINK("https://klasma.github.io/Logging_2518/fåglar/A 38711-2019 prioriterade fågelarter.docx", "A 38711-2019")</f>
        <v/>
      </c>
    </row>
    <row r="58" ht="15" customHeight="1">
      <c r="A58" t="inlineStr">
        <is>
          <t>A 69535-2020</t>
        </is>
      </c>
      <c r="B58" s="1" t="n">
        <v>44194</v>
      </c>
      <c r="C58" s="1" t="n">
        <v>45669</v>
      </c>
      <c r="D58" t="inlineStr">
        <is>
          <t>NORRBOTTENS LÄN</t>
        </is>
      </c>
      <c r="E58" t="inlineStr">
        <is>
          <t>ÖVERTORNEÅ</t>
        </is>
      </c>
      <c r="F58" t="inlineStr">
        <is>
          <t>Sveaskog</t>
        </is>
      </c>
      <c r="G58" t="n">
        <v>1.2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Stuplav</t>
        </is>
      </c>
      <c r="S58">
        <f>HYPERLINK("https://klasma.github.io/Logging_2518/artfynd/A 69535-2020 artfynd.xlsx", "A 69535-2020")</f>
        <v/>
      </c>
      <c r="T58">
        <f>HYPERLINK("https://klasma.github.io/Logging_2518/kartor/A 69535-2020 karta.png", "A 69535-2020")</f>
        <v/>
      </c>
      <c r="V58">
        <f>HYPERLINK("https://klasma.github.io/Logging_2518/klagomål/A 69535-2020 FSC-klagomål.docx", "A 69535-2020")</f>
        <v/>
      </c>
      <c r="W58">
        <f>HYPERLINK("https://klasma.github.io/Logging_2518/klagomålsmail/A 69535-2020 FSC-klagomål mail.docx", "A 69535-2020")</f>
        <v/>
      </c>
      <c r="X58">
        <f>HYPERLINK("https://klasma.github.io/Logging_2518/tillsyn/A 69535-2020 tillsynsbegäran.docx", "A 69535-2020")</f>
        <v/>
      </c>
      <c r="Y58">
        <f>HYPERLINK("https://klasma.github.io/Logging_2518/tillsynsmail/A 69535-2020 tillsynsbegäran mail.docx", "A 69535-2020")</f>
        <v/>
      </c>
    </row>
    <row r="59" ht="15" customHeight="1">
      <c r="A59" t="inlineStr">
        <is>
          <t>A 40208-2021</t>
        </is>
      </c>
      <c r="B59" s="1" t="n">
        <v>44418</v>
      </c>
      <c r="C59" s="1" t="n">
        <v>45669</v>
      </c>
      <c r="D59" t="inlineStr">
        <is>
          <t>NORRBOTTENS LÄN</t>
        </is>
      </c>
      <c r="E59" t="inlineStr">
        <is>
          <t>ÖVERTORNEÅ</t>
        </is>
      </c>
      <c r="G59" t="n">
        <v>5.7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Älvstarr</t>
        </is>
      </c>
      <c r="S59">
        <f>HYPERLINK("https://klasma.github.io/Logging_2518/artfynd/A 40208-2021 artfynd.xlsx", "A 40208-2021")</f>
        <v/>
      </c>
      <c r="T59">
        <f>HYPERLINK("https://klasma.github.io/Logging_2518/kartor/A 40208-2021 karta.png", "A 40208-2021")</f>
        <v/>
      </c>
      <c r="V59">
        <f>HYPERLINK("https://klasma.github.io/Logging_2518/klagomål/A 40208-2021 FSC-klagomål.docx", "A 40208-2021")</f>
        <v/>
      </c>
      <c r="W59">
        <f>HYPERLINK("https://klasma.github.io/Logging_2518/klagomålsmail/A 40208-2021 FSC-klagomål mail.docx", "A 40208-2021")</f>
        <v/>
      </c>
      <c r="X59">
        <f>HYPERLINK("https://klasma.github.io/Logging_2518/tillsyn/A 40208-2021 tillsynsbegäran.docx", "A 40208-2021")</f>
        <v/>
      </c>
      <c r="Y59">
        <f>HYPERLINK("https://klasma.github.io/Logging_2518/tillsynsmail/A 40208-2021 tillsynsbegäran mail.docx", "A 40208-2021")</f>
        <v/>
      </c>
    </row>
    <row r="60" ht="15" customHeight="1">
      <c r="A60" t="inlineStr">
        <is>
          <t>A 1090-2022</t>
        </is>
      </c>
      <c r="B60" s="1" t="n">
        <v>44571</v>
      </c>
      <c r="C60" s="1" t="n">
        <v>45669</v>
      </c>
      <c r="D60" t="inlineStr">
        <is>
          <t>NORRBOTTENS LÄN</t>
        </is>
      </c>
      <c r="E60" t="inlineStr">
        <is>
          <t>ÖVERTORNEÅ</t>
        </is>
      </c>
      <c r="G60" t="n">
        <v>23.1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Grönpyrola</t>
        </is>
      </c>
      <c r="S60">
        <f>HYPERLINK("https://klasma.github.io/Logging_2518/artfynd/A 1090-2022 artfynd.xlsx", "A 1090-2022")</f>
        <v/>
      </c>
      <c r="T60">
        <f>HYPERLINK("https://klasma.github.io/Logging_2518/kartor/A 1090-2022 karta.png", "A 1090-2022")</f>
        <v/>
      </c>
      <c r="V60">
        <f>HYPERLINK("https://klasma.github.io/Logging_2518/klagomål/A 1090-2022 FSC-klagomål.docx", "A 1090-2022")</f>
        <v/>
      </c>
      <c r="W60">
        <f>HYPERLINK("https://klasma.github.io/Logging_2518/klagomålsmail/A 1090-2022 FSC-klagomål mail.docx", "A 1090-2022")</f>
        <v/>
      </c>
      <c r="X60">
        <f>HYPERLINK("https://klasma.github.io/Logging_2518/tillsyn/A 1090-2022 tillsynsbegäran.docx", "A 1090-2022")</f>
        <v/>
      </c>
      <c r="Y60">
        <f>HYPERLINK("https://klasma.github.io/Logging_2518/tillsynsmail/A 1090-2022 tillsynsbegäran mail.docx", "A 1090-2022")</f>
        <v/>
      </c>
    </row>
    <row r="61" ht="15" customHeight="1">
      <c r="A61" t="inlineStr">
        <is>
          <t>A 33029-2022</t>
        </is>
      </c>
      <c r="B61" s="1" t="n">
        <v>44785</v>
      </c>
      <c r="C61" s="1" t="n">
        <v>45669</v>
      </c>
      <c r="D61" t="inlineStr">
        <is>
          <t>NORRBOTTENS LÄN</t>
        </is>
      </c>
      <c r="E61" t="inlineStr">
        <is>
          <t>ÖVERTORNEÅ</t>
        </is>
      </c>
      <c r="G61" t="n">
        <v>10.3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Fläcknycklar</t>
        </is>
      </c>
      <c r="S61">
        <f>HYPERLINK("https://klasma.github.io/Logging_2518/artfynd/A 33029-2022 artfynd.xlsx", "A 33029-2022")</f>
        <v/>
      </c>
      <c r="T61">
        <f>HYPERLINK("https://klasma.github.io/Logging_2518/kartor/A 33029-2022 karta.png", "A 33029-2022")</f>
        <v/>
      </c>
      <c r="V61">
        <f>HYPERLINK("https://klasma.github.io/Logging_2518/klagomål/A 33029-2022 FSC-klagomål.docx", "A 33029-2022")</f>
        <v/>
      </c>
      <c r="W61">
        <f>HYPERLINK("https://klasma.github.io/Logging_2518/klagomålsmail/A 33029-2022 FSC-klagomål mail.docx", "A 33029-2022")</f>
        <v/>
      </c>
      <c r="X61">
        <f>HYPERLINK("https://klasma.github.io/Logging_2518/tillsyn/A 33029-2022 tillsynsbegäran.docx", "A 33029-2022")</f>
        <v/>
      </c>
      <c r="Y61">
        <f>HYPERLINK("https://klasma.github.io/Logging_2518/tillsynsmail/A 33029-2022 tillsynsbegäran mail.docx", "A 33029-2022")</f>
        <v/>
      </c>
    </row>
    <row r="62" ht="15" customHeight="1">
      <c r="A62" t="inlineStr">
        <is>
          <t>A 34186-2022</t>
        </is>
      </c>
      <c r="B62" s="1" t="n">
        <v>44791</v>
      </c>
      <c r="C62" s="1" t="n">
        <v>45669</v>
      </c>
      <c r="D62" t="inlineStr">
        <is>
          <t>NORRBOTTENS LÄN</t>
        </is>
      </c>
      <c r="E62" t="inlineStr">
        <is>
          <t>ÖVERTORNEÅ</t>
        </is>
      </c>
      <c r="F62" t="inlineStr">
        <is>
          <t>Sveaskog</t>
        </is>
      </c>
      <c r="G62" t="n">
        <v>33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Stor aspticka</t>
        </is>
      </c>
      <c r="S62">
        <f>HYPERLINK("https://klasma.github.io/Logging_2518/artfynd/A 34186-2022 artfynd.xlsx", "A 34186-2022")</f>
        <v/>
      </c>
      <c r="T62">
        <f>HYPERLINK("https://klasma.github.io/Logging_2518/kartor/A 34186-2022 karta.png", "A 34186-2022")</f>
        <v/>
      </c>
      <c r="V62">
        <f>HYPERLINK("https://klasma.github.io/Logging_2518/klagomål/A 34186-2022 FSC-klagomål.docx", "A 34186-2022")</f>
        <v/>
      </c>
      <c r="W62">
        <f>HYPERLINK("https://klasma.github.io/Logging_2518/klagomålsmail/A 34186-2022 FSC-klagomål mail.docx", "A 34186-2022")</f>
        <v/>
      </c>
      <c r="X62">
        <f>HYPERLINK("https://klasma.github.io/Logging_2518/tillsyn/A 34186-2022 tillsynsbegäran.docx", "A 34186-2022")</f>
        <v/>
      </c>
      <c r="Y62">
        <f>HYPERLINK("https://klasma.github.io/Logging_2518/tillsynsmail/A 34186-2022 tillsynsbegäran mail.docx", "A 34186-2022")</f>
        <v/>
      </c>
    </row>
    <row r="63" ht="15" customHeight="1">
      <c r="A63" t="inlineStr">
        <is>
          <t>A 45665-2022</t>
        </is>
      </c>
      <c r="B63" s="1" t="n">
        <v>44845</v>
      </c>
      <c r="C63" s="1" t="n">
        <v>45669</v>
      </c>
      <c r="D63" t="inlineStr">
        <is>
          <t>NORRBOTTENS LÄN</t>
        </is>
      </c>
      <c r="E63" t="inlineStr">
        <is>
          <t>ÖVERTORNEÅ</t>
        </is>
      </c>
      <c r="F63" t="inlineStr">
        <is>
          <t>Sveaskog</t>
        </is>
      </c>
      <c r="G63" t="n">
        <v>4.6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Garnlav</t>
        </is>
      </c>
      <c r="S63">
        <f>HYPERLINK("https://klasma.github.io/Logging_2518/artfynd/A 45665-2022 artfynd.xlsx", "A 45665-2022")</f>
        <v/>
      </c>
      <c r="T63">
        <f>HYPERLINK("https://klasma.github.io/Logging_2518/kartor/A 45665-2022 karta.png", "A 45665-2022")</f>
        <v/>
      </c>
      <c r="V63">
        <f>HYPERLINK("https://klasma.github.io/Logging_2518/klagomål/A 45665-2022 FSC-klagomål.docx", "A 45665-2022")</f>
        <v/>
      </c>
      <c r="W63">
        <f>HYPERLINK("https://klasma.github.io/Logging_2518/klagomålsmail/A 45665-2022 FSC-klagomål mail.docx", "A 45665-2022")</f>
        <v/>
      </c>
      <c r="X63">
        <f>HYPERLINK("https://klasma.github.io/Logging_2518/tillsyn/A 45665-2022 tillsynsbegäran.docx", "A 45665-2022")</f>
        <v/>
      </c>
      <c r="Y63">
        <f>HYPERLINK("https://klasma.github.io/Logging_2518/tillsynsmail/A 45665-2022 tillsynsbegäran mail.docx", "A 45665-2022")</f>
        <v/>
      </c>
    </row>
    <row r="64" ht="15" customHeight="1">
      <c r="A64" t="inlineStr">
        <is>
          <t>A 38349-2023</t>
        </is>
      </c>
      <c r="B64" s="1" t="n">
        <v>45161</v>
      </c>
      <c r="C64" s="1" t="n">
        <v>45669</v>
      </c>
      <c r="D64" t="inlineStr">
        <is>
          <t>NORRBOTTENS LÄN</t>
        </is>
      </c>
      <c r="E64" t="inlineStr">
        <is>
          <t>ÖVERTORNEÅ</t>
        </is>
      </c>
      <c r="G64" t="n">
        <v>12.1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Garnlav</t>
        </is>
      </c>
      <c r="S64">
        <f>HYPERLINK("https://klasma.github.io/Logging_2518/artfynd/A 38349-2023 artfynd.xlsx", "A 38349-2023")</f>
        <v/>
      </c>
      <c r="T64">
        <f>HYPERLINK("https://klasma.github.io/Logging_2518/kartor/A 38349-2023 karta.png", "A 38349-2023")</f>
        <v/>
      </c>
      <c r="V64">
        <f>HYPERLINK("https://klasma.github.io/Logging_2518/klagomål/A 38349-2023 FSC-klagomål.docx", "A 38349-2023")</f>
        <v/>
      </c>
      <c r="W64">
        <f>HYPERLINK("https://klasma.github.io/Logging_2518/klagomålsmail/A 38349-2023 FSC-klagomål mail.docx", "A 38349-2023")</f>
        <v/>
      </c>
      <c r="X64">
        <f>HYPERLINK("https://klasma.github.io/Logging_2518/tillsyn/A 38349-2023 tillsynsbegäran.docx", "A 38349-2023")</f>
        <v/>
      </c>
      <c r="Y64">
        <f>HYPERLINK("https://klasma.github.io/Logging_2518/tillsynsmail/A 38349-2023 tillsynsbegäran mail.docx", "A 38349-2023")</f>
        <v/>
      </c>
    </row>
    <row r="65" ht="15" customHeight="1">
      <c r="A65" t="inlineStr">
        <is>
          <t>A 46378-2023</t>
        </is>
      </c>
      <c r="B65" s="1" t="n">
        <v>45197</v>
      </c>
      <c r="C65" s="1" t="n">
        <v>45669</v>
      </c>
      <c r="D65" t="inlineStr">
        <is>
          <t>NORRBOTTENS LÄN</t>
        </is>
      </c>
      <c r="E65" t="inlineStr">
        <is>
          <t>ÖVERTORNEÅ</t>
        </is>
      </c>
      <c r="F65" t="inlineStr">
        <is>
          <t>Sveaskog</t>
        </is>
      </c>
      <c r="G65" t="n">
        <v>43.9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Kungsörn</t>
        </is>
      </c>
      <c r="S65">
        <f>HYPERLINK("https://klasma.github.io/Logging_2518/artfynd/A 46378-2023 artfynd.xlsx", "A 46378-2023")</f>
        <v/>
      </c>
      <c r="T65">
        <f>HYPERLINK("https://klasma.github.io/Logging_2518/kartor/A 46378-2023 karta.png", "A 46378-2023")</f>
        <v/>
      </c>
      <c r="V65">
        <f>HYPERLINK("https://klasma.github.io/Logging_2518/klagomål/A 46378-2023 FSC-klagomål.docx", "A 46378-2023")</f>
        <v/>
      </c>
      <c r="W65">
        <f>HYPERLINK("https://klasma.github.io/Logging_2518/klagomålsmail/A 46378-2023 FSC-klagomål mail.docx", "A 46378-2023")</f>
        <v/>
      </c>
      <c r="X65">
        <f>HYPERLINK("https://klasma.github.io/Logging_2518/tillsyn/A 46378-2023 tillsynsbegäran.docx", "A 46378-2023")</f>
        <v/>
      </c>
      <c r="Y65">
        <f>HYPERLINK("https://klasma.github.io/Logging_2518/tillsynsmail/A 46378-2023 tillsynsbegäran mail.docx", "A 46378-2023")</f>
        <v/>
      </c>
      <c r="Z65">
        <f>HYPERLINK("https://klasma.github.io/Logging_2518/fåglar/A 46378-2023 prioriterade fågelarter.docx", "A 46378-2023")</f>
        <v/>
      </c>
    </row>
    <row r="66" ht="15" customHeight="1">
      <c r="A66" t="inlineStr">
        <is>
          <t>A 65183-2023</t>
        </is>
      </c>
      <c r="B66" s="1" t="n">
        <v>45288</v>
      </c>
      <c r="C66" s="1" t="n">
        <v>45669</v>
      </c>
      <c r="D66" t="inlineStr">
        <is>
          <t>NORRBOTTENS LÄN</t>
        </is>
      </c>
      <c r="E66" t="inlineStr">
        <is>
          <t>ÖVERTORNEÅ</t>
        </is>
      </c>
      <c r="G66" t="n">
        <v>8.300000000000001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Garnlav</t>
        </is>
      </c>
      <c r="S66">
        <f>HYPERLINK("https://klasma.github.io/Logging_2518/artfynd/A 65183-2023 artfynd.xlsx", "A 65183-2023")</f>
        <v/>
      </c>
      <c r="T66">
        <f>HYPERLINK("https://klasma.github.io/Logging_2518/kartor/A 65183-2023 karta.png", "A 65183-2023")</f>
        <v/>
      </c>
      <c r="V66">
        <f>HYPERLINK("https://klasma.github.io/Logging_2518/klagomål/A 65183-2023 FSC-klagomål.docx", "A 65183-2023")</f>
        <v/>
      </c>
      <c r="W66">
        <f>HYPERLINK("https://klasma.github.io/Logging_2518/klagomålsmail/A 65183-2023 FSC-klagomål mail.docx", "A 65183-2023")</f>
        <v/>
      </c>
      <c r="X66">
        <f>HYPERLINK("https://klasma.github.io/Logging_2518/tillsyn/A 65183-2023 tillsynsbegäran.docx", "A 65183-2023")</f>
        <v/>
      </c>
      <c r="Y66">
        <f>HYPERLINK("https://klasma.github.io/Logging_2518/tillsynsmail/A 65183-2023 tillsynsbegäran mail.docx", "A 65183-2023")</f>
        <v/>
      </c>
    </row>
    <row r="67" ht="15" customHeight="1">
      <c r="A67" t="inlineStr">
        <is>
          <t>A 856-2024</t>
        </is>
      </c>
      <c r="B67" s="1" t="n">
        <v>45300</v>
      </c>
      <c r="C67" s="1" t="n">
        <v>45669</v>
      </c>
      <c r="D67" t="inlineStr">
        <is>
          <t>NORRBOTTENS LÄN</t>
        </is>
      </c>
      <c r="E67" t="inlineStr">
        <is>
          <t>ÖVERTORNEÅ</t>
        </is>
      </c>
      <c r="G67" t="n">
        <v>8.300000000000001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Garnlav</t>
        </is>
      </c>
      <c r="S67">
        <f>HYPERLINK("https://klasma.github.io/Logging_2518/artfynd/A 856-2024 artfynd.xlsx", "A 856-2024")</f>
        <v/>
      </c>
      <c r="T67">
        <f>HYPERLINK("https://klasma.github.io/Logging_2518/kartor/A 856-2024 karta.png", "A 856-2024")</f>
        <v/>
      </c>
      <c r="V67">
        <f>HYPERLINK("https://klasma.github.io/Logging_2518/klagomål/A 856-2024 FSC-klagomål.docx", "A 856-2024")</f>
        <v/>
      </c>
      <c r="W67">
        <f>HYPERLINK("https://klasma.github.io/Logging_2518/klagomålsmail/A 856-2024 FSC-klagomål mail.docx", "A 856-2024")</f>
        <v/>
      </c>
      <c r="X67">
        <f>HYPERLINK("https://klasma.github.io/Logging_2518/tillsyn/A 856-2024 tillsynsbegäran.docx", "A 856-2024")</f>
        <v/>
      </c>
      <c r="Y67">
        <f>HYPERLINK("https://klasma.github.io/Logging_2518/tillsynsmail/A 856-2024 tillsynsbegäran mail.docx", "A 856-2024")</f>
        <v/>
      </c>
    </row>
    <row r="68" ht="15" customHeight="1">
      <c r="A68" t="inlineStr">
        <is>
          <t>A 16457-2024</t>
        </is>
      </c>
      <c r="B68" s="1" t="n">
        <v>45408</v>
      </c>
      <c r="C68" s="1" t="n">
        <v>45669</v>
      </c>
      <c r="D68" t="inlineStr">
        <is>
          <t>NORRBOTTENS LÄN</t>
        </is>
      </c>
      <c r="E68" t="inlineStr">
        <is>
          <t>ÖVERTORNEÅ</t>
        </is>
      </c>
      <c r="G68" t="n">
        <v>4.7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Orre</t>
        </is>
      </c>
      <c r="S68">
        <f>HYPERLINK("https://klasma.github.io/Logging_2518/artfynd/A 16457-2024 artfynd.xlsx", "A 16457-2024")</f>
        <v/>
      </c>
      <c r="T68">
        <f>HYPERLINK("https://klasma.github.io/Logging_2518/kartor/A 16457-2024 karta.png", "A 16457-2024")</f>
        <v/>
      </c>
      <c r="V68">
        <f>HYPERLINK("https://klasma.github.io/Logging_2518/klagomål/A 16457-2024 FSC-klagomål.docx", "A 16457-2024")</f>
        <v/>
      </c>
      <c r="W68">
        <f>HYPERLINK("https://klasma.github.io/Logging_2518/klagomålsmail/A 16457-2024 FSC-klagomål mail.docx", "A 16457-2024")</f>
        <v/>
      </c>
      <c r="X68">
        <f>HYPERLINK("https://klasma.github.io/Logging_2518/tillsyn/A 16457-2024 tillsynsbegäran.docx", "A 16457-2024")</f>
        <v/>
      </c>
      <c r="Y68">
        <f>HYPERLINK("https://klasma.github.io/Logging_2518/tillsynsmail/A 16457-2024 tillsynsbegäran mail.docx", "A 16457-2024")</f>
        <v/>
      </c>
      <c r="Z68">
        <f>HYPERLINK("https://klasma.github.io/Logging_2518/fåglar/A 16457-2024 prioriterade fågelarter.docx", "A 16457-2024")</f>
        <v/>
      </c>
    </row>
    <row r="69" ht="15" customHeight="1">
      <c r="A69" t="inlineStr">
        <is>
          <t>A 18671-2024</t>
        </is>
      </c>
      <c r="B69" s="1" t="n">
        <v>45426</v>
      </c>
      <c r="C69" s="1" t="n">
        <v>45669</v>
      </c>
      <c r="D69" t="inlineStr">
        <is>
          <t>NORRBOTTENS LÄN</t>
        </is>
      </c>
      <c r="E69" t="inlineStr">
        <is>
          <t>ÖVERTORNEÅ</t>
        </is>
      </c>
      <c r="F69" t="inlineStr">
        <is>
          <t>Sveaskog</t>
        </is>
      </c>
      <c r="G69" t="n">
        <v>33.8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Röd trolldruva</t>
        </is>
      </c>
      <c r="S69">
        <f>HYPERLINK("https://klasma.github.io/Logging_2518/artfynd/A 18671-2024 artfynd.xlsx", "A 18671-2024")</f>
        <v/>
      </c>
      <c r="T69">
        <f>HYPERLINK("https://klasma.github.io/Logging_2518/kartor/A 18671-2024 karta.png", "A 18671-2024")</f>
        <v/>
      </c>
      <c r="V69">
        <f>HYPERLINK("https://klasma.github.io/Logging_2518/klagomål/A 18671-2024 FSC-klagomål.docx", "A 18671-2024")</f>
        <v/>
      </c>
      <c r="W69">
        <f>HYPERLINK("https://klasma.github.io/Logging_2518/klagomålsmail/A 18671-2024 FSC-klagomål mail.docx", "A 18671-2024")</f>
        <v/>
      </c>
      <c r="X69">
        <f>HYPERLINK("https://klasma.github.io/Logging_2518/tillsyn/A 18671-2024 tillsynsbegäran.docx", "A 18671-2024")</f>
        <v/>
      </c>
      <c r="Y69">
        <f>HYPERLINK("https://klasma.github.io/Logging_2518/tillsynsmail/A 18671-2024 tillsynsbegäran mail.docx", "A 18671-2024")</f>
        <v/>
      </c>
    </row>
    <row r="70" ht="15" customHeight="1">
      <c r="A70" t="inlineStr">
        <is>
          <t>A 23056-2024</t>
        </is>
      </c>
      <c r="B70" s="1" t="n">
        <v>45449</v>
      </c>
      <c r="C70" s="1" t="n">
        <v>45669</v>
      </c>
      <c r="D70" t="inlineStr">
        <is>
          <t>NORRBOTTENS LÄN</t>
        </is>
      </c>
      <c r="E70" t="inlineStr">
        <is>
          <t>ÖVERTORNEÅ</t>
        </is>
      </c>
      <c r="G70" t="n">
        <v>1.4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Revlummer</t>
        </is>
      </c>
      <c r="S70">
        <f>HYPERLINK("https://klasma.github.io/Logging_2518/artfynd/A 23056-2024 artfynd.xlsx", "A 23056-2024")</f>
        <v/>
      </c>
      <c r="T70">
        <f>HYPERLINK("https://klasma.github.io/Logging_2518/kartor/A 23056-2024 karta.png", "A 23056-2024")</f>
        <v/>
      </c>
      <c r="V70">
        <f>HYPERLINK("https://klasma.github.io/Logging_2518/klagomål/A 23056-2024 FSC-klagomål.docx", "A 23056-2024")</f>
        <v/>
      </c>
      <c r="W70">
        <f>HYPERLINK("https://klasma.github.io/Logging_2518/klagomålsmail/A 23056-2024 FSC-klagomål mail.docx", "A 23056-2024")</f>
        <v/>
      </c>
      <c r="X70">
        <f>HYPERLINK("https://klasma.github.io/Logging_2518/tillsyn/A 23056-2024 tillsynsbegäran.docx", "A 23056-2024")</f>
        <v/>
      </c>
      <c r="Y70">
        <f>HYPERLINK("https://klasma.github.io/Logging_2518/tillsynsmail/A 23056-2024 tillsynsbegäran mail.docx", "A 23056-2024")</f>
        <v/>
      </c>
    </row>
    <row r="71" ht="15" customHeight="1">
      <c r="A71" t="inlineStr">
        <is>
          <t>A 38158-2024</t>
        </is>
      </c>
      <c r="B71" s="1" t="n">
        <v>45545</v>
      </c>
      <c r="C71" s="1" t="n">
        <v>45669</v>
      </c>
      <c r="D71" t="inlineStr">
        <is>
          <t>NORRBOTTENS LÄN</t>
        </is>
      </c>
      <c r="E71" t="inlineStr">
        <is>
          <t>ÖVERTORNEÅ</t>
        </is>
      </c>
      <c r="F71" t="inlineStr">
        <is>
          <t>Sveaskog</t>
        </is>
      </c>
      <c r="G71" t="n">
        <v>3.2</v>
      </c>
      <c r="H71" t="n">
        <v>0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Lappticka</t>
        </is>
      </c>
      <c r="S71">
        <f>HYPERLINK("https://klasma.github.io/Logging_2518/artfynd/A 38158-2024 artfynd.xlsx", "A 38158-2024")</f>
        <v/>
      </c>
      <c r="T71">
        <f>HYPERLINK("https://klasma.github.io/Logging_2518/kartor/A 38158-2024 karta.png", "A 38158-2024")</f>
        <v/>
      </c>
      <c r="V71">
        <f>HYPERLINK("https://klasma.github.io/Logging_2518/klagomål/A 38158-2024 FSC-klagomål.docx", "A 38158-2024")</f>
        <v/>
      </c>
      <c r="W71">
        <f>HYPERLINK("https://klasma.github.io/Logging_2518/klagomålsmail/A 38158-2024 FSC-klagomål mail.docx", "A 38158-2024")</f>
        <v/>
      </c>
      <c r="X71">
        <f>HYPERLINK("https://klasma.github.io/Logging_2518/tillsyn/A 38158-2024 tillsynsbegäran.docx", "A 38158-2024")</f>
        <v/>
      </c>
      <c r="Y71">
        <f>HYPERLINK("https://klasma.github.io/Logging_2518/tillsynsmail/A 38158-2024 tillsynsbegäran mail.docx", "A 38158-2024")</f>
        <v/>
      </c>
    </row>
    <row r="72" ht="15" customHeight="1">
      <c r="A72" t="inlineStr">
        <is>
          <t>A 17983-2019</t>
        </is>
      </c>
      <c r="B72" s="1" t="n">
        <v>43557</v>
      </c>
      <c r="C72" s="1" t="n">
        <v>45669</v>
      </c>
      <c r="D72" t="inlineStr">
        <is>
          <t>NORRBOTTENS LÄN</t>
        </is>
      </c>
      <c r="E72" t="inlineStr">
        <is>
          <t>ÖVERTORNEÅ</t>
        </is>
      </c>
      <c r="G72" t="n">
        <v>9.199999999999999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18038-2019</t>
        </is>
      </c>
      <c r="B73" s="1" t="n">
        <v>43557</v>
      </c>
      <c r="C73" s="1" t="n">
        <v>45669</v>
      </c>
      <c r="D73" t="inlineStr">
        <is>
          <t>NORRBOTTENS LÄN</t>
        </is>
      </c>
      <c r="E73" t="inlineStr">
        <is>
          <t>ÖVERTORNEÅ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22294-2019</t>
        </is>
      </c>
      <c r="B74" s="1" t="n">
        <v>43585</v>
      </c>
      <c r="C74" s="1" t="n">
        <v>45669</v>
      </c>
      <c r="D74" t="inlineStr">
        <is>
          <t>NORRBOTTENS LÄN</t>
        </is>
      </c>
      <c r="E74" t="inlineStr">
        <is>
          <t>ÖVERTORNEÅ</t>
        </is>
      </c>
      <c r="G74" t="n">
        <v>6.7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22900-2019</t>
        </is>
      </c>
      <c r="B75" s="1" t="n">
        <v>43587</v>
      </c>
      <c r="C75" s="1" t="n">
        <v>45669</v>
      </c>
      <c r="D75" t="inlineStr">
        <is>
          <t>NORRBOTTENS LÄN</t>
        </is>
      </c>
      <c r="E75" t="inlineStr">
        <is>
          <t>ÖVERTORNEÅ</t>
        </is>
      </c>
      <c r="G75" t="n">
        <v>0.3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23449-2019</t>
        </is>
      </c>
      <c r="B76" s="1" t="n">
        <v>43593</v>
      </c>
      <c r="C76" s="1" t="n">
        <v>45669</v>
      </c>
      <c r="D76" t="inlineStr">
        <is>
          <t>NORRBOTTENS LÄN</t>
        </is>
      </c>
      <c r="E76" t="inlineStr">
        <is>
          <t>ÖVERTORNEÅ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24474-2019</t>
        </is>
      </c>
      <c r="B77" s="1" t="n">
        <v>43600</v>
      </c>
      <c r="C77" s="1" t="n">
        <v>45669</v>
      </c>
      <c r="D77" t="inlineStr">
        <is>
          <t>NORRBOTTENS LÄN</t>
        </is>
      </c>
      <c r="E77" t="inlineStr">
        <is>
          <t>ÖVERTORNEÅ</t>
        </is>
      </c>
      <c r="G77" t="n">
        <v>8.9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26101-2019</t>
        </is>
      </c>
      <c r="B78" s="1" t="n">
        <v>43605</v>
      </c>
      <c r="C78" s="1" t="n">
        <v>45669</v>
      </c>
      <c r="D78" t="inlineStr">
        <is>
          <t>NORRBOTTENS LÄN</t>
        </is>
      </c>
      <c r="E78" t="inlineStr">
        <is>
          <t>ÖVERTORNEÅ</t>
        </is>
      </c>
      <c r="G78" t="n">
        <v>4.7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25660-2019</t>
        </is>
      </c>
      <c r="B79" s="1" t="n">
        <v>43607</v>
      </c>
      <c r="C79" s="1" t="n">
        <v>45669</v>
      </c>
      <c r="D79" t="inlineStr">
        <is>
          <t>NORRBOTTENS LÄN</t>
        </is>
      </c>
      <c r="E79" t="inlineStr">
        <is>
          <t>ÖVERTORNEÅ</t>
        </is>
      </c>
      <c r="G79" t="n">
        <v>9.800000000000001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26865-2019</t>
        </is>
      </c>
      <c r="B80" s="1" t="n">
        <v>43608</v>
      </c>
      <c r="C80" s="1" t="n">
        <v>45669</v>
      </c>
      <c r="D80" t="inlineStr">
        <is>
          <t>NORRBOTTENS LÄN</t>
        </is>
      </c>
      <c r="E80" t="inlineStr">
        <is>
          <t>ÖVERTORNEÅ</t>
        </is>
      </c>
      <c r="G80" t="n">
        <v>0.3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26256-2019</t>
        </is>
      </c>
      <c r="B81" s="1" t="n">
        <v>43610</v>
      </c>
      <c r="C81" s="1" t="n">
        <v>45669</v>
      </c>
      <c r="D81" t="inlineStr">
        <is>
          <t>NORRBOTTENS LÄN</t>
        </is>
      </c>
      <c r="E81" t="inlineStr">
        <is>
          <t>ÖVERTORNEÅ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28674-2019</t>
        </is>
      </c>
      <c r="B82" s="1" t="n">
        <v>43614</v>
      </c>
      <c r="C82" s="1" t="n">
        <v>45669</v>
      </c>
      <c r="D82" t="inlineStr">
        <is>
          <t>NORRBOTTENS LÄN</t>
        </is>
      </c>
      <c r="E82" t="inlineStr">
        <is>
          <t>ÖVERTORNEÅ</t>
        </is>
      </c>
      <c r="G82" t="n">
        <v>13.7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29384-2019</t>
        </is>
      </c>
      <c r="B83" s="1" t="n">
        <v>43629</v>
      </c>
      <c r="C83" s="1" t="n">
        <v>45669</v>
      </c>
      <c r="D83" t="inlineStr">
        <is>
          <t>NORRBOTTENS LÄN</t>
        </is>
      </c>
      <c r="E83" t="inlineStr">
        <is>
          <t>ÖVERTORNEÅ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30106-2019</t>
        </is>
      </c>
      <c r="B84" s="1" t="n">
        <v>43634</v>
      </c>
      <c r="C84" s="1" t="n">
        <v>45669</v>
      </c>
      <c r="D84" t="inlineStr">
        <is>
          <t>NORRBOTTENS LÄN</t>
        </is>
      </c>
      <c r="E84" t="inlineStr">
        <is>
          <t>ÖVERTORNEÅ</t>
        </is>
      </c>
      <c r="F84" t="inlineStr">
        <is>
          <t>Sveaskog</t>
        </is>
      </c>
      <c r="G84" t="n">
        <v>18.5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32897-2019</t>
        </is>
      </c>
      <c r="B85" s="1" t="n">
        <v>43643</v>
      </c>
      <c r="C85" s="1" t="n">
        <v>45669</v>
      </c>
      <c r="D85" t="inlineStr">
        <is>
          <t>NORRBOTTENS LÄN</t>
        </is>
      </c>
      <c r="E85" t="inlineStr">
        <is>
          <t>ÖVERTORNEÅ</t>
        </is>
      </c>
      <c r="G85" t="n">
        <v>17.1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32894-2019</t>
        </is>
      </c>
      <c r="B86" s="1" t="n">
        <v>43643</v>
      </c>
      <c r="C86" s="1" t="n">
        <v>45669</v>
      </c>
      <c r="D86" t="inlineStr">
        <is>
          <t>NORRBOTTENS LÄN</t>
        </is>
      </c>
      <c r="E86" t="inlineStr">
        <is>
          <t>ÖVERTORNEÅ</t>
        </is>
      </c>
      <c r="G86" t="n">
        <v>4.4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34174-2019</t>
        </is>
      </c>
      <c r="B87" s="1" t="n">
        <v>43655</v>
      </c>
      <c r="C87" s="1" t="n">
        <v>45669</v>
      </c>
      <c r="D87" t="inlineStr">
        <is>
          <t>NORRBOTTENS LÄN</t>
        </is>
      </c>
      <c r="E87" t="inlineStr">
        <is>
          <t>ÖVERTORNEÅ</t>
        </is>
      </c>
      <c r="F87" t="inlineStr">
        <is>
          <t>Sveaskog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37160-2019</t>
        </is>
      </c>
      <c r="B88" s="1" t="n">
        <v>43658</v>
      </c>
      <c r="C88" s="1" t="n">
        <v>45669</v>
      </c>
      <c r="D88" t="inlineStr">
        <is>
          <t>NORRBOTTENS LÄN</t>
        </is>
      </c>
      <c r="E88" t="inlineStr">
        <is>
          <t>ÖVERTORNEÅ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37151-2019</t>
        </is>
      </c>
      <c r="B89" s="1" t="n">
        <v>43658</v>
      </c>
      <c r="C89" s="1" t="n">
        <v>45669</v>
      </c>
      <c r="D89" t="inlineStr">
        <is>
          <t>NORRBOTTENS LÄN</t>
        </is>
      </c>
      <c r="E89" t="inlineStr">
        <is>
          <t>ÖVERTORNEÅ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36114-2019</t>
        </is>
      </c>
      <c r="B90" s="1" t="n">
        <v>43658</v>
      </c>
      <c r="C90" s="1" t="n">
        <v>45669</v>
      </c>
      <c r="D90" t="inlineStr">
        <is>
          <t>NORRBOTTENS LÄN</t>
        </is>
      </c>
      <c r="E90" t="inlineStr">
        <is>
          <t>ÖVERTORNEÅ</t>
        </is>
      </c>
      <c r="G90" t="n">
        <v>6.9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37159-2019</t>
        </is>
      </c>
      <c r="B91" s="1" t="n">
        <v>43658</v>
      </c>
      <c r="C91" s="1" t="n">
        <v>45669</v>
      </c>
      <c r="D91" t="inlineStr">
        <is>
          <t>NORRBOTTENS LÄN</t>
        </is>
      </c>
      <c r="E91" t="inlineStr">
        <is>
          <t>ÖVERTORNEÅ</t>
        </is>
      </c>
      <c r="G91" t="n">
        <v>4.7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37148-2019</t>
        </is>
      </c>
      <c r="B92" s="1" t="n">
        <v>43658</v>
      </c>
      <c r="C92" s="1" t="n">
        <v>45669</v>
      </c>
      <c r="D92" t="inlineStr">
        <is>
          <t>NORRBOTTENS LÄN</t>
        </is>
      </c>
      <c r="E92" t="inlineStr">
        <is>
          <t>ÖVERTORNEÅ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37146-2019</t>
        </is>
      </c>
      <c r="B93" s="1" t="n">
        <v>43658</v>
      </c>
      <c r="C93" s="1" t="n">
        <v>45669</v>
      </c>
      <c r="D93" t="inlineStr">
        <is>
          <t>NORRBOTTENS LÄN</t>
        </is>
      </c>
      <c r="E93" t="inlineStr">
        <is>
          <t>ÖVERTORNEÅ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37155-2019</t>
        </is>
      </c>
      <c r="B94" s="1" t="n">
        <v>43658</v>
      </c>
      <c r="C94" s="1" t="n">
        <v>45669</v>
      </c>
      <c r="D94" t="inlineStr">
        <is>
          <t>NORRBOTTENS LÄN</t>
        </is>
      </c>
      <c r="E94" t="inlineStr">
        <is>
          <t>ÖVERTORNEÅ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37152-2019</t>
        </is>
      </c>
      <c r="B95" s="1" t="n">
        <v>43658</v>
      </c>
      <c r="C95" s="1" t="n">
        <v>45669</v>
      </c>
      <c r="D95" t="inlineStr">
        <is>
          <t>NORRBOTTENS LÄN</t>
        </is>
      </c>
      <c r="E95" t="inlineStr">
        <is>
          <t>ÖVERTORNEÅ</t>
        </is>
      </c>
      <c r="G95" t="n">
        <v>3.1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37219-2019</t>
        </is>
      </c>
      <c r="B96" s="1" t="n">
        <v>43677</v>
      </c>
      <c r="C96" s="1" t="n">
        <v>45669</v>
      </c>
      <c r="D96" t="inlineStr">
        <is>
          <t>NORRBOTTENS LÄN</t>
        </is>
      </c>
      <c r="E96" t="inlineStr">
        <is>
          <t>ÖVERTORNEÅ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39601-2019</t>
        </is>
      </c>
      <c r="B97" s="1" t="n">
        <v>43686</v>
      </c>
      <c r="C97" s="1" t="n">
        <v>45669</v>
      </c>
      <c r="D97" t="inlineStr">
        <is>
          <t>NORRBOTTENS LÄN</t>
        </is>
      </c>
      <c r="E97" t="inlineStr">
        <is>
          <t>ÖVERTORNEÅ</t>
        </is>
      </c>
      <c r="G97" t="n">
        <v>6.8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43089-2019</t>
        </is>
      </c>
      <c r="B98" s="1" t="n">
        <v>43686</v>
      </c>
      <c r="C98" s="1" t="n">
        <v>45669</v>
      </c>
      <c r="D98" t="inlineStr">
        <is>
          <t>NORRBOTTENS LÄN</t>
        </is>
      </c>
      <c r="E98" t="inlineStr">
        <is>
          <t>ÖVERTORNEÅ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39580-2019</t>
        </is>
      </c>
      <c r="B99" s="1" t="n">
        <v>43686</v>
      </c>
      <c r="C99" s="1" t="n">
        <v>45669</v>
      </c>
      <c r="D99" t="inlineStr">
        <is>
          <t>NORRBOTTENS LÄN</t>
        </is>
      </c>
      <c r="E99" t="inlineStr">
        <is>
          <t>ÖVERTORNEÅ</t>
        </is>
      </c>
      <c r="G99" t="n">
        <v>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41003-2019</t>
        </is>
      </c>
      <c r="B100" s="1" t="n">
        <v>43697</v>
      </c>
      <c r="C100" s="1" t="n">
        <v>45669</v>
      </c>
      <c r="D100" t="inlineStr">
        <is>
          <t>NORRBOTTENS LÄN</t>
        </is>
      </c>
      <c r="E100" t="inlineStr">
        <is>
          <t>ÖVERTORNEÅ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41004-2019</t>
        </is>
      </c>
      <c r="B101" s="1" t="n">
        <v>43697</v>
      </c>
      <c r="C101" s="1" t="n">
        <v>45669</v>
      </c>
      <c r="D101" t="inlineStr">
        <is>
          <t>NORRBOTTENS LÄN</t>
        </is>
      </c>
      <c r="E101" t="inlineStr">
        <is>
          <t>ÖVERTORNEÅ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41974-2019</t>
        </is>
      </c>
      <c r="B102" s="1" t="n">
        <v>43700</v>
      </c>
      <c r="C102" s="1" t="n">
        <v>45669</v>
      </c>
      <c r="D102" t="inlineStr">
        <is>
          <t>NORRBOTTENS LÄN</t>
        </is>
      </c>
      <c r="E102" t="inlineStr">
        <is>
          <t>ÖVERTORNEÅ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41976-2019</t>
        </is>
      </c>
      <c r="B103" s="1" t="n">
        <v>43700</v>
      </c>
      <c r="C103" s="1" t="n">
        <v>45669</v>
      </c>
      <c r="D103" t="inlineStr">
        <is>
          <t>NORRBOTTENS LÄN</t>
        </is>
      </c>
      <c r="E103" t="inlineStr">
        <is>
          <t>ÖVERTORNEÅ</t>
        </is>
      </c>
      <c r="G103" t="n">
        <v>3.6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43812-2019</t>
        </is>
      </c>
      <c r="B104" s="1" t="n">
        <v>43707</v>
      </c>
      <c r="C104" s="1" t="n">
        <v>45669</v>
      </c>
      <c r="D104" t="inlineStr">
        <is>
          <t>NORRBOTTENS LÄN</t>
        </is>
      </c>
      <c r="E104" t="inlineStr">
        <is>
          <t>ÖVERTORNEÅ</t>
        </is>
      </c>
      <c r="F104" t="inlineStr">
        <is>
          <t>Sveaskog</t>
        </is>
      </c>
      <c r="G104" t="n">
        <v>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48490-2019</t>
        </is>
      </c>
      <c r="B105" s="1" t="n">
        <v>43727</v>
      </c>
      <c r="C105" s="1" t="n">
        <v>45669</v>
      </c>
      <c r="D105" t="inlineStr">
        <is>
          <t>NORRBOTTENS LÄN</t>
        </is>
      </c>
      <c r="E105" t="inlineStr">
        <is>
          <t>ÖVERTORNEÅ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49279-2019</t>
        </is>
      </c>
      <c r="B106" s="1" t="n">
        <v>43728</v>
      </c>
      <c r="C106" s="1" t="n">
        <v>45669</v>
      </c>
      <c r="D106" t="inlineStr">
        <is>
          <t>NORRBOTTENS LÄN</t>
        </is>
      </c>
      <c r="E106" t="inlineStr">
        <is>
          <t>ÖVERTORNEÅ</t>
        </is>
      </c>
      <c r="G106" t="n">
        <v>3.7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49648-2019</t>
        </is>
      </c>
      <c r="B107" s="1" t="n">
        <v>43732</v>
      </c>
      <c r="C107" s="1" t="n">
        <v>45669</v>
      </c>
      <c r="D107" t="inlineStr">
        <is>
          <t>NORRBOTTENS LÄN</t>
        </is>
      </c>
      <c r="E107" t="inlineStr">
        <is>
          <t>ÖVERTORNEÅ</t>
        </is>
      </c>
      <c r="G107" t="n">
        <v>4.9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52989-2019</t>
        </is>
      </c>
      <c r="B108" s="1" t="n">
        <v>43740</v>
      </c>
      <c r="C108" s="1" t="n">
        <v>45669</v>
      </c>
      <c r="D108" t="inlineStr">
        <is>
          <t>NORRBOTTENS LÄN</t>
        </is>
      </c>
      <c r="E108" t="inlineStr">
        <is>
          <t>ÖVERTORNEÅ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2259-2020</t>
        </is>
      </c>
      <c r="B109" s="1" t="n">
        <v>43740</v>
      </c>
      <c r="C109" s="1" t="n">
        <v>45669</v>
      </c>
      <c r="D109" t="inlineStr">
        <is>
          <t>NORRBOTTENS LÄN</t>
        </is>
      </c>
      <c r="E109" t="inlineStr">
        <is>
          <t>ÖVERTORNEÅ</t>
        </is>
      </c>
      <c r="G109" t="n">
        <v>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53054-2019</t>
        </is>
      </c>
      <c r="B110" s="1" t="n">
        <v>43740</v>
      </c>
      <c r="C110" s="1" t="n">
        <v>45669</v>
      </c>
      <c r="D110" t="inlineStr">
        <is>
          <t>NORRBOTTENS LÄN</t>
        </is>
      </c>
      <c r="E110" t="inlineStr">
        <is>
          <t>ÖVERTORNEÅ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53084-2019</t>
        </is>
      </c>
      <c r="B111" s="1" t="n">
        <v>43740</v>
      </c>
      <c r="C111" s="1" t="n">
        <v>45669</v>
      </c>
      <c r="D111" t="inlineStr">
        <is>
          <t>NORRBOTTENS LÄN</t>
        </is>
      </c>
      <c r="E111" t="inlineStr">
        <is>
          <t>ÖVERTORNEÅ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2269-2020</t>
        </is>
      </c>
      <c r="B112" s="1" t="n">
        <v>43740</v>
      </c>
      <c r="C112" s="1" t="n">
        <v>45669</v>
      </c>
      <c r="D112" t="inlineStr">
        <is>
          <t>NORRBOTTENS LÄN</t>
        </is>
      </c>
      <c r="E112" t="inlineStr">
        <is>
          <t>ÖVERTORNEÅ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51642-2019</t>
        </is>
      </c>
      <c r="B113" s="1" t="n">
        <v>43740</v>
      </c>
      <c r="C113" s="1" t="n">
        <v>45669</v>
      </c>
      <c r="D113" t="inlineStr">
        <is>
          <t>NORRBOTTENS LÄN</t>
        </is>
      </c>
      <c r="E113" t="inlineStr">
        <is>
          <t>ÖVERTORNEÅ</t>
        </is>
      </c>
      <c r="G113" t="n">
        <v>16.1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54210-2019</t>
        </is>
      </c>
      <c r="B114" s="1" t="n">
        <v>43745</v>
      </c>
      <c r="C114" s="1" t="n">
        <v>45669</v>
      </c>
      <c r="D114" t="inlineStr">
        <is>
          <t>NORRBOTTENS LÄN</t>
        </is>
      </c>
      <c r="E114" t="inlineStr">
        <is>
          <t>ÖVERTORNEÅ</t>
        </is>
      </c>
      <c r="G114" t="n">
        <v>15.6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53321-2019</t>
        </is>
      </c>
      <c r="B115" s="1" t="n">
        <v>43748</v>
      </c>
      <c r="C115" s="1" t="n">
        <v>45669</v>
      </c>
      <c r="D115" t="inlineStr">
        <is>
          <t>NORRBOTTENS LÄN</t>
        </is>
      </c>
      <c r="E115" t="inlineStr">
        <is>
          <t>ÖVERTORNEÅ</t>
        </is>
      </c>
      <c r="F115" t="inlineStr">
        <is>
          <t>Sveaskog</t>
        </is>
      </c>
      <c r="G115" t="n">
        <v>62.4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54078-2019</t>
        </is>
      </c>
      <c r="B116" s="1" t="n">
        <v>43752</v>
      </c>
      <c r="C116" s="1" t="n">
        <v>45669</v>
      </c>
      <c r="D116" t="inlineStr">
        <is>
          <t>NORRBOTTENS LÄN</t>
        </is>
      </c>
      <c r="E116" t="inlineStr">
        <is>
          <t>ÖVERTORNEÅ</t>
        </is>
      </c>
      <c r="G116" t="n">
        <v>7.2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55073-2019</t>
        </is>
      </c>
      <c r="B117" s="1" t="n">
        <v>43752</v>
      </c>
      <c r="C117" s="1" t="n">
        <v>45669</v>
      </c>
      <c r="D117" t="inlineStr">
        <is>
          <t>NORRBOTTENS LÄN</t>
        </is>
      </c>
      <c r="E117" t="inlineStr">
        <is>
          <t>ÖVERTORNEÅ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56365-2019</t>
        </is>
      </c>
      <c r="B118" s="1" t="n">
        <v>43762</v>
      </c>
      <c r="C118" s="1" t="n">
        <v>45669</v>
      </c>
      <c r="D118" t="inlineStr">
        <is>
          <t>NORRBOTTENS LÄN</t>
        </is>
      </c>
      <c r="E118" t="inlineStr">
        <is>
          <t>ÖVERTORNEÅ</t>
        </is>
      </c>
      <c r="F118" t="inlineStr">
        <is>
          <t>Sveaskog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60129-2019</t>
        </is>
      </c>
      <c r="B119" s="1" t="n">
        <v>43778</v>
      </c>
      <c r="C119" s="1" t="n">
        <v>45669</v>
      </c>
      <c r="D119" t="inlineStr">
        <is>
          <t>NORRBOTTENS LÄN</t>
        </is>
      </c>
      <c r="E119" t="inlineStr">
        <is>
          <t>ÖVERTORNEÅ</t>
        </is>
      </c>
      <c r="G119" t="n">
        <v>31.1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60891-2019</t>
        </is>
      </c>
      <c r="B120" s="1" t="n">
        <v>43781</v>
      </c>
      <c r="C120" s="1" t="n">
        <v>45669</v>
      </c>
      <c r="D120" t="inlineStr">
        <is>
          <t>NORRBOTTENS LÄN</t>
        </is>
      </c>
      <c r="E120" t="inlineStr">
        <is>
          <t>ÖVERTORNEÅ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62214-2019</t>
        </is>
      </c>
      <c r="B121" s="1" t="n">
        <v>43782</v>
      </c>
      <c r="C121" s="1" t="n">
        <v>45669</v>
      </c>
      <c r="D121" t="inlineStr">
        <is>
          <t>NORRBOTTENS LÄN</t>
        </is>
      </c>
      <c r="E121" t="inlineStr">
        <is>
          <t>ÖVERTORNEÅ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62183-2019</t>
        </is>
      </c>
      <c r="B122" s="1" t="n">
        <v>43787</v>
      </c>
      <c r="C122" s="1" t="n">
        <v>45669</v>
      </c>
      <c r="D122" t="inlineStr">
        <is>
          <t>NORRBOTTENS LÄN</t>
        </is>
      </c>
      <c r="E122" t="inlineStr">
        <is>
          <t>ÖVERTORNEÅ</t>
        </is>
      </c>
      <c r="G122" t="n">
        <v>7.4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62951-2019</t>
        </is>
      </c>
      <c r="B123" s="1" t="n">
        <v>43789</v>
      </c>
      <c r="C123" s="1" t="n">
        <v>45669</v>
      </c>
      <c r="D123" t="inlineStr">
        <is>
          <t>NORRBOTTENS LÄN</t>
        </is>
      </c>
      <c r="E123" t="inlineStr">
        <is>
          <t>ÖVERTORNEÅ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62960-2019</t>
        </is>
      </c>
      <c r="B124" s="1" t="n">
        <v>43790</v>
      </c>
      <c r="C124" s="1" t="n">
        <v>45669</v>
      </c>
      <c r="D124" t="inlineStr">
        <is>
          <t>NORRBOTTENS LÄN</t>
        </is>
      </c>
      <c r="E124" t="inlineStr">
        <is>
          <t>ÖVERTORNEÅ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64003-2019</t>
        </is>
      </c>
      <c r="B125" s="1" t="n">
        <v>43791</v>
      </c>
      <c r="C125" s="1" t="n">
        <v>45669</v>
      </c>
      <c r="D125" t="inlineStr">
        <is>
          <t>NORRBOTTENS LÄN</t>
        </is>
      </c>
      <c r="E125" t="inlineStr">
        <is>
          <t>ÖVERTORNEÅ</t>
        </is>
      </c>
      <c r="G125" t="n">
        <v>8.4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64010-2019</t>
        </is>
      </c>
      <c r="B126" s="1" t="n">
        <v>43791</v>
      </c>
      <c r="C126" s="1" t="n">
        <v>45669</v>
      </c>
      <c r="D126" t="inlineStr">
        <is>
          <t>NORRBOTTENS LÄN</t>
        </is>
      </c>
      <c r="E126" t="inlineStr">
        <is>
          <t>ÖVERTORNEÅ</t>
        </is>
      </c>
      <c r="G126" t="n">
        <v>13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64321-2019</t>
        </is>
      </c>
      <c r="B127" s="1" t="n">
        <v>43797</v>
      </c>
      <c r="C127" s="1" t="n">
        <v>45669</v>
      </c>
      <c r="D127" t="inlineStr">
        <is>
          <t>NORRBOTTENS LÄN</t>
        </is>
      </c>
      <c r="E127" t="inlineStr">
        <is>
          <t>ÖVERTORNEÅ</t>
        </is>
      </c>
      <c r="G127" t="n">
        <v>7.2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65062-2019</t>
        </is>
      </c>
      <c r="B128" s="1" t="n">
        <v>43801</v>
      </c>
      <c r="C128" s="1" t="n">
        <v>45669</v>
      </c>
      <c r="D128" t="inlineStr">
        <is>
          <t>NORRBOTTENS LÄN</t>
        </is>
      </c>
      <c r="E128" t="inlineStr">
        <is>
          <t>ÖVERTORNEÅ</t>
        </is>
      </c>
      <c r="G128" t="n">
        <v>8.6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65510-2019</t>
        </is>
      </c>
      <c r="B129" s="1" t="n">
        <v>43803</v>
      </c>
      <c r="C129" s="1" t="n">
        <v>45669</v>
      </c>
      <c r="D129" t="inlineStr">
        <is>
          <t>NORRBOTTENS LÄN</t>
        </is>
      </c>
      <c r="E129" t="inlineStr">
        <is>
          <t>ÖVERTORNEÅ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65500-2019</t>
        </is>
      </c>
      <c r="B130" s="1" t="n">
        <v>43803</v>
      </c>
      <c r="C130" s="1" t="n">
        <v>45669</v>
      </c>
      <c r="D130" t="inlineStr">
        <is>
          <t>NORRBOTTENS LÄN</t>
        </is>
      </c>
      <c r="E130" t="inlineStr">
        <is>
          <t>ÖVERTORNEÅ</t>
        </is>
      </c>
      <c r="G130" t="n">
        <v>5.1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65457-2019</t>
        </is>
      </c>
      <c r="B131" s="1" t="n">
        <v>43803</v>
      </c>
      <c r="C131" s="1" t="n">
        <v>45669</v>
      </c>
      <c r="D131" t="inlineStr">
        <is>
          <t>NORRBOTTENS LÄN</t>
        </is>
      </c>
      <c r="E131" t="inlineStr">
        <is>
          <t>ÖVERTORNEÅ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65498-2019</t>
        </is>
      </c>
      <c r="B132" s="1" t="n">
        <v>43803</v>
      </c>
      <c r="C132" s="1" t="n">
        <v>45669</v>
      </c>
      <c r="D132" t="inlineStr">
        <is>
          <t>NORRBOTTENS LÄN</t>
        </is>
      </c>
      <c r="E132" t="inlineStr">
        <is>
          <t>ÖVERTORNEÅ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66111-2019</t>
        </is>
      </c>
      <c r="B133" s="1" t="n">
        <v>43808</v>
      </c>
      <c r="C133" s="1" t="n">
        <v>45669</v>
      </c>
      <c r="D133" t="inlineStr">
        <is>
          <t>NORRBOTTENS LÄN</t>
        </is>
      </c>
      <c r="E133" t="inlineStr">
        <is>
          <t>ÖVERTORNEÅ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66542-2019</t>
        </is>
      </c>
      <c r="B134" s="1" t="n">
        <v>43809</v>
      </c>
      <c r="C134" s="1" t="n">
        <v>45669</v>
      </c>
      <c r="D134" t="inlineStr">
        <is>
          <t>NORRBOTTENS LÄN</t>
        </is>
      </c>
      <c r="E134" t="inlineStr">
        <is>
          <t>ÖVERTORNEÅ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66536-2019</t>
        </is>
      </c>
      <c r="B135" s="1" t="n">
        <v>43809</v>
      </c>
      <c r="C135" s="1" t="n">
        <v>45669</v>
      </c>
      <c r="D135" t="inlineStr">
        <is>
          <t>NORRBOTTENS LÄN</t>
        </is>
      </c>
      <c r="E135" t="inlineStr">
        <is>
          <t>ÖVERTORNEÅ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67864-2019</t>
        </is>
      </c>
      <c r="B136" s="1" t="n">
        <v>43810</v>
      </c>
      <c r="C136" s="1" t="n">
        <v>45669</v>
      </c>
      <c r="D136" t="inlineStr">
        <is>
          <t>NORRBOTTENS LÄN</t>
        </is>
      </c>
      <c r="E136" t="inlineStr">
        <is>
          <t>ÖVERTORNEÅ</t>
        </is>
      </c>
      <c r="G136" t="n">
        <v>2.8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67862-2019</t>
        </is>
      </c>
      <c r="B137" s="1" t="n">
        <v>43810</v>
      </c>
      <c r="C137" s="1" t="n">
        <v>45669</v>
      </c>
      <c r="D137" t="inlineStr">
        <is>
          <t>NORRBOTTENS LÄN</t>
        </is>
      </c>
      <c r="E137" t="inlineStr">
        <is>
          <t>ÖVERTORNEÅ</t>
        </is>
      </c>
      <c r="G137" t="n">
        <v>6.5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67858-2019</t>
        </is>
      </c>
      <c r="B138" s="1" t="n">
        <v>43810</v>
      </c>
      <c r="C138" s="1" t="n">
        <v>45669</v>
      </c>
      <c r="D138" t="inlineStr">
        <is>
          <t>NORRBOTTENS LÄN</t>
        </is>
      </c>
      <c r="E138" t="inlineStr">
        <is>
          <t>ÖVERTORNEÅ</t>
        </is>
      </c>
      <c r="G138" t="n">
        <v>5.1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68835-2019</t>
        </is>
      </c>
      <c r="B139" s="1" t="n">
        <v>43819</v>
      </c>
      <c r="C139" s="1" t="n">
        <v>45669</v>
      </c>
      <c r="D139" t="inlineStr">
        <is>
          <t>NORRBOTTENS LÄN</t>
        </is>
      </c>
      <c r="E139" t="inlineStr">
        <is>
          <t>ÖVERTORNEÅ</t>
        </is>
      </c>
      <c r="G139" t="n">
        <v>12.4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69085-2019</t>
        </is>
      </c>
      <c r="B140" s="1" t="n">
        <v>43829</v>
      </c>
      <c r="C140" s="1" t="n">
        <v>45669</v>
      </c>
      <c r="D140" t="inlineStr">
        <is>
          <t>NORRBOTTENS LÄN</t>
        </is>
      </c>
      <c r="E140" t="inlineStr">
        <is>
          <t>ÖVERTORNEÅ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4882-2020</t>
        </is>
      </c>
      <c r="B141" s="1" t="n">
        <v>43852</v>
      </c>
      <c r="C141" s="1" t="n">
        <v>45669</v>
      </c>
      <c r="D141" t="inlineStr">
        <is>
          <t>NORRBOTTENS LÄN</t>
        </is>
      </c>
      <c r="E141" t="inlineStr">
        <is>
          <t>ÖVERTORNEÅ</t>
        </is>
      </c>
      <c r="G141" t="n">
        <v>7.7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5276-2020</t>
        </is>
      </c>
      <c r="B142" s="1" t="n">
        <v>43857</v>
      </c>
      <c r="C142" s="1" t="n">
        <v>45669</v>
      </c>
      <c r="D142" t="inlineStr">
        <is>
          <t>NORRBOTTENS LÄN</t>
        </is>
      </c>
      <c r="E142" t="inlineStr">
        <is>
          <t>ÖVERTORNEÅ</t>
        </is>
      </c>
      <c r="G142" t="n">
        <v>4.6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5469-2020</t>
        </is>
      </c>
      <c r="B143" s="1" t="n">
        <v>43858</v>
      </c>
      <c r="C143" s="1" t="n">
        <v>45669</v>
      </c>
      <c r="D143" t="inlineStr">
        <is>
          <t>NORRBOTTENS LÄN</t>
        </is>
      </c>
      <c r="E143" t="inlineStr">
        <is>
          <t>ÖVERTORNEÅ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4725-2020</t>
        </is>
      </c>
      <c r="B144" s="1" t="n">
        <v>43858</v>
      </c>
      <c r="C144" s="1" t="n">
        <v>45669</v>
      </c>
      <c r="D144" t="inlineStr">
        <is>
          <t>NORRBOTTENS LÄN</t>
        </is>
      </c>
      <c r="E144" t="inlineStr">
        <is>
          <t>ÖVERTORNEÅ</t>
        </is>
      </c>
      <c r="G144" t="n">
        <v>0.1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5463-2020</t>
        </is>
      </c>
      <c r="B145" s="1" t="n">
        <v>43858</v>
      </c>
      <c r="C145" s="1" t="n">
        <v>45669</v>
      </c>
      <c r="D145" t="inlineStr">
        <is>
          <t>NORRBOTTENS LÄN</t>
        </is>
      </c>
      <c r="E145" t="inlineStr">
        <is>
          <t>ÖVERTORNEÅ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5784-2020</t>
        </is>
      </c>
      <c r="B146" s="1" t="n">
        <v>43864</v>
      </c>
      <c r="C146" s="1" t="n">
        <v>45669</v>
      </c>
      <c r="D146" t="inlineStr">
        <is>
          <t>NORRBOTTENS LÄN</t>
        </is>
      </c>
      <c r="E146" t="inlineStr">
        <is>
          <t>ÖVERTORNEÅ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5782-2020</t>
        </is>
      </c>
      <c r="B147" s="1" t="n">
        <v>43864</v>
      </c>
      <c r="C147" s="1" t="n">
        <v>45669</v>
      </c>
      <c r="D147" t="inlineStr">
        <is>
          <t>NORRBOTTENS LÄN</t>
        </is>
      </c>
      <c r="E147" t="inlineStr">
        <is>
          <t>ÖVERTORNEÅ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6132-2020</t>
        </is>
      </c>
      <c r="B148" s="1" t="n">
        <v>43864</v>
      </c>
      <c r="C148" s="1" t="n">
        <v>45669</v>
      </c>
      <c r="D148" t="inlineStr">
        <is>
          <t>NORRBOTTENS LÄN</t>
        </is>
      </c>
      <c r="E148" t="inlineStr">
        <is>
          <t>ÖVERTORNEÅ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6131-2020</t>
        </is>
      </c>
      <c r="B149" s="1" t="n">
        <v>43864</v>
      </c>
      <c r="C149" s="1" t="n">
        <v>45669</v>
      </c>
      <c r="D149" t="inlineStr">
        <is>
          <t>NORRBOTTENS LÄN</t>
        </is>
      </c>
      <c r="E149" t="inlineStr">
        <is>
          <t>ÖVERTORNEÅ</t>
        </is>
      </c>
      <c r="G149" t="n">
        <v>4.4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8041-2020</t>
        </is>
      </c>
      <c r="B150" s="1" t="n">
        <v>43873</v>
      </c>
      <c r="C150" s="1" t="n">
        <v>45669</v>
      </c>
      <c r="D150" t="inlineStr">
        <is>
          <t>NORRBOTTENS LÄN</t>
        </is>
      </c>
      <c r="E150" t="inlineStr">
        <is>
          <t>ÖVERTORNEÅ</t>
        </is>
      </c>
      <c r="G150" t="n">
        <v>27.6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13065-2020</t>
        </is>
      </c>
      <c r="B151" s="1" t="n">
        <v>43900</v>
      </c>
      <c r="C151" s="1" t="n">
        <v>45669</v>
      </c>
      <c r="D151" t="inlineStr">
        <is>
          <t>NORRBOTTENS LÄN</t>
        </is>
      </c>
      <c r="E151" t="inlineStr">
        <is>
          <t>ÖVERTORNEÅ</t>
        </is>
      </c>
      <c r="G151" t="n">
        <v>8.300000000000001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13059-2020</t>
        </is>
      </c>
      <c r="B152" s="1" t="n">
        <v>43900</v>
      </c>
      <c r="C152" s="1" t="n">
        <v>45669</v>
      </c>
      <c r="D152" t="inlineStr">
        <is>
          <t>NORRBOTTENS LÄN</t>
        </is>
      </c>
      <c r="E152" t="inlineStr">
        <is>
          <t>ÖVERTORNEÅ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19058-2020</t>
        </is>
      </c>
      <c r="B153" s="1" t="n">
        <v>43936</v>
      </c>
      <c r="C153" s="1" t="n">
        <v>45669</v>
      </c>
      <c r="D153" t="inlineStr">
        <is>
          <t>NORRBOTTENS LÄN</t>
        </is>
      </c>
      <c r="E153" t="inlineStr">
        <is>
          <t>ÖVERTORNEÅ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19978-2020</t>
        </is>
      </c>
      <c r="B154" s="1" t="n">
        <v>43943</v>
      </c>
      <c r="C154" s="1" t="n">
        <v>45669</v>
      </c>
      <c r="D154" t="inlineStr">
        <is>
          <t>NORRBOTTENS LÄN</t>
        </is>
      </c>
      <c r="E154" t="inlineStr">
        <is>
          <t>ÖVERTORNEÅ</t>
        </is>
      </c>
      <c r="G154" t="n">
        <v>5.1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19981-2020</t>
        </is>
      </c>
      <c r="B155" s="1" t="n">
        <v>43943</v>
      </c>
      <c r="C155" s="1" t="n">
        <v>45669</v>
      </c>
      <c r="D155" t="inlineStr">
        <is>
          <t>NORRBOTTENS LÄN</t>
        </is>
      </c>
      <c r="E155" t="inlineStr">
        <is>
          <t>ÖVERTORNEÅ</t>
        </is>
      </c>
      <c r="G155" t="n">
        <v>8.800000000000001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20418-2020</t>
        </is>
      </c>
      <c r="B156" s="1" t="n">
        <v>43945</v>
      </c>
      <c r="C156" s="1" t="n">
        <v>45669</v>
      </c>
      <c r="D156" t="inlineStr">
        <is>
          <t>NORRBOTTENS LÄN</t>
        </is>
      </c>
      <c r="E156" t="inlineStr">
        <is>
          <t>ÖVERTORNEÅ</t>
        </is>
      </c>
      <c r="G156" t="n">
        <v>4.8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26315-2020</t>
        </is>
      </c>
      <c r="B157" s="1" t="n">
        <v>43986</v>
      </c>
      <c r="C157" s="1" t="n">
        <v>45669</v>
      </c>
      <c r="D157" t="inlineStr">
        <is>
          <t>NORRBOTTENS LÄN</t>
        </is>
      </c>
      <c r="E157" t="inlineStr">
        <is>
          <t>ÖVERTORNEÅ</t>
        </is>
      </c>
      <c r="G157" t="n">
        <v>2.9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26312-2020</t>
        </is>
      </c>
      <c r="B158" s="1" t="n">
        <v>43986</v>
      </c>
      <c r="C158" s="1" t="n">
        <v>45669</v>
      </c>
      <c r="D158" t="inlineStr">
        <is>
          <t>NORRBOTTENS LÄN</t>
        </is>
      </c>
      <c r="E158" t="inlineStr">
        <is>
          <t>ÖVERTORNEÅ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29220-2020</t>
        </is>
      </c>
      <c r="B159" s="1" t="n">
        <v>44004</v>
      </c>
      <c r="C159" s="1" t="n">
        <v>45669</v>
      </c>
      <c r="D159" t="inlineStr">
        <is>
          <t>NORRBOTTENS LÄN</t>
        </is>
      </c>
      <c r="E159" t="inlineStr">
        <is>
          <t>ÖVERTORNEÅ</t>
        </is>
      </c>
      <c r="G159" t="n">
        <v>8.1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30582-2020</t>
        </is>
      </c>
      <c r="B160" s="1" t="n">
        <v>44008</v>
      </c>
      <c r="C160" s="1" t="n">
        <v>45669</v>
      </c>
      <c r="D160" t="inlineStr">
        <is>
          <t>NORRBOTTENS LÄN</t>
        </is>
      </c>
      <c r="E160" t="inlineStr">
        <is>
          <t>ÖVERTORNEÅ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30583-2020</t>
        </is>
      </c>
      <c r="B161" s="1" t="n">
        <v>44008</v>
      </c>
      <c r="C161" s="1" t="n">
        <v>45669</v>
      </c>
      <c r="D161" t="inlineStr">
        <is>
          <t>NORRBOTTENS LÄN</t>
        </is>
      </c>
      <c r="E161" t="inlineStr">
        <is>
          <t>ÖVERTORNEÅ</t>
        </is>
      </c>
      <c r="G161" t="n">
        <v>8.800000000000001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31555-2020</t>
        </is>
      </c>
      <c r="B162" s="1" t="n">
        <v>44013</v>
      </c>
      <c r="C162" s="1" t="n">
        <v>45669</v>
      </c>
      <c r="D162" t="inlineStr">
        <is>
          <t>NORRBOTTENS LÄN</t>
        </is>
      </c>
      <c r="E162" t="inlineStr">
        <is>
          <t>ÖVERTORNEÅ</t>
        </is>
      </c>
      <c r="F162" t="inlineStr">
        <is>
          <t>Sveaskog</t>
        </is>
      </c>
      <c r="G162" t="n">
        <v>4.5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32075-2020</t>
        </is>
      </c>
      <c r="B163" s="1" t="n">
        <v>44015</v>
      </c>
      <c r="C163" s="1" t="n">
        <v>45669</v>
      </c>
      <c r="D163" t="inlineStr">
        <is>
          <t>NORRBOTTENS LÄN</t>
        </is>
      </c>
      <c r="E163" t="inlineStr">
        <is>
          <t>ÖVERTORNEÅ</t>
        </is>
      </c>
      <c r="F163" t="inlineStr">
        <is>
          <t>Sveaskog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38241-2020</t>
        </is>
      </c>
      <c r="B164" s="1" t="n">
        <v>44060</v>
      </c>
      <c r="C164" s="1" t="n">
        <v>45669</v>
      </c>
      <c r="D164" t="inlineStr">
        <is>
          <t>NORRBOTTENS LÄN</t>
        </is>
      </c>
      <c r="E164" t="inlineStr">
        <is>
          <t>ÖVERTORNEÅ</t>
        </is>
      </c>
      <c r="G164" t="n">
        <v>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41651-2020</t>
        </is>
      </c>
      <c r="B165" s="1" t="n">
        <v>44074</v>
      </c>
      <c r="C165" s="1" t="n">
        <v>45669</v>
      </c>
      <c r="D165" t="inlineStr">
        <is>
          <t>NORRBOTTENS LÄN</t>
        </is>
      </c>
      <c r="E165" t="inlineStr">
        <is>
          <t>ÖVERTORNEÅ</t>
        </is>
      </c>
      <c r="F165" t="inlineStr">
        <is>
          <t>Sveaskog</t>
        </is>
      </c>
      <c r="G165" t="n">
        <v>3.9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43562-2020</t>
        </is>
      </c>
      <c r="B166" s="1" t="n">
        <v>44077</v>
      </c>
      <c r="C166" s="1" t="n">
        <v>45669</v>
      </c>
      <c r="D166" t="inlineStr">
        <is>
          <t>NORRBOTTENS LÄN</t>
        </is>
      </c>
      <c r="E166" t="inlineStr">
        <is>
          <t>ÖVERTORNEÅ</t>
        </is>
      </c>
      <c r="G166" t="n">
        <v>2.8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45673-2020</t>
        </is>
      </c>
      <c r="B167" s="1" t="n">
        <v>44090</v>
      </c>
      <c r="C167" s="1" t="n">
        <v>45669</v>
      </c>
      <c r="D167" t="inlineStr">
        <is>
          <t>NORRBOTTENS LÄN</t>
        </is>
      </c>
      <c r="E167" t="inlineStr">
        <is>
          <t>ÖVERTORNEÅ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45716-2020</t>
        </is>
      </c>
      <c r="B168" s="1" t="n">
        <v>44090</v>
      </c>
      <c r="C168" s="1" t="n">
        <v>45669</v>
      </c>
      <c r="D168" t="inlineStr">
        <is>
          <t>NORRBOTTENS LÄN</t>
        </is>
      </c>
      <c r="E168" t="inlineStr">
        <is>
          <t>ÖVERTORNEÅ</t>
        </is>
      </c>
      <c r="G168" t="n">
        <v>5.3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51582-2020</t>
        </is>
      </c>
      <c r="B169" s="1" t="n">
        <v>44113</v>
      </c>
      <c r="C169" s="1" t="n">
        <v>45669</v>
      </c>
      <c r="D169" t="inlineStr">
        <is>
          <t>NORRBOTTENS LÄN</t>
        </is>
      </c>
      <c r="E169" t="inlineStr">
        <is>
          <t>ÖVERTORNEÅ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53481-2020</t>
        </is>
      </c>
      <c r="B170" s="1" t="n">
        <v>44123</v>
      </c>
      <c r="C170" s="1" t="n">
        <v>45669</v>
      </c>
      <c r="D170" t="inlineStr">
        <is>
          <t>NORRBOTTENS LÄN</t>
        </is>
      </c>
      <c r="E170" t="inlineStr">
        <is>
          <t>ÖVERTORNEÅ</t>
        </is>
      </c>
      <c r="G170" t="n">
        <v>15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54911-2020</t>
        </is>
      </c>
      <c r="B171" s="1" t="n">
        <v>44127</v>
      </c>
      <c r="C171" s="1" t="n">
        <v>45669</v>
      </c>
      <c r="D171" t="inlineStr">
        <is>
          <t>NORRBOTTENS LÄN</t>
        </is>
      </c>
      <c r="E171" t="inlineStr">
        <is>
          <t>ÖVERTORNEÅ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55230-2020</t>
        </is>
      </c>
      <c r="B172" s="1" t="n">
        <v>44130</v>
      </c>
      <c r="C172" s="1" t="n">
        <v>45669</v>
      </c>
      <c r="D172" t="inlineStr">
        <is>
          <t>NORRBOTTENS LÄN</t>
        </is>
      </c>
      <c r="E172" t="inlineStr">
        <is>
          <t>ÖVERTORNEÅ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55222-2020</t>
        </is>
      </c>
      <c r="B173" s="1" t="n">
        <v>44130</v>
      </c>
      <c r="C173" s="1" t="n">
        <v>45669</v>
      </c>
      <c r="D173" t="inlineStr">
        <is>
          <t>NORRBOTTENS LÄN</t>
        </is>
      </c>
      <c r="E173" t="inlineStr">
        <is>
          <t>ÖVERTORNEÅ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55518-2020</t>
        </is>
      </c>
      <c r="B174" s="1" t="n">
        <v>44130</v>
      </c>
      <c r="C174" s="1" t="n">
        <v>45669</v>
      </c>
      <c r="D174" t="inlineStr">
        <is>
          <t>NORRBOTTENS LÄN</t>
        </is>
      </c>
      <c r="E174" t="inlineStr">
        <is>
          <t>ÖVERTORNEÅ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56024-2020</t>
        </is>
      </c>
      <c r="B175" s="1" t="n">
        <v>44132</v>
      </c>
      <c r="C175" s="1" t="n">
        <v>45669</v>
      </c>
      <c r="D175" t="inlineStr">
        <is>
          <t>NORRBOTTENS LÄN</t>
        </is>
      </c>
      <c r="E175" t="inlineStr">
        <is>
          <t>ÖVERTORNEÅ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56363-2020</t>
        </is>
      </c>
      <c r="B176" s="1" t="n">
        <v>44135</v>
      </c>
      <c r="C176" s="1" t="n">
        <v>45669</v>
      </c>
      <c r="D176" t="inlineStr">
        <is>
          <t>NORRBOTTENS LÄN</t>
        </is>
      </c>
      <c r="E176" t="inlineStr">
        <is>
          <t>ÖVERTORNEÅ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60919-2020</t>
        </is>
      </c>
      <c r="B177" s="1" t="n">
        <v>44153</v>
      </c>
      <c r="C177" s="1" t="n">
        <v>45669</v>
      </c>
      <c r="D177" t="inlineStr">
        <is>
          <t>NORRBOTTENS LÄN</t>
        </is>
      </c>
      <c r="E177" t="inlineStr">
        <is>
          <t>ÖVERTORNEÅ</t>
        </is>
      </c>
      <c r="G177" t="n">
        <v>3.2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65771-2020</t>
        </is>
      </c>
      <c r="B178" s="1" t="n">
        <v>44172</v>
      </c>
      <c r="C178" s="1" t="n">
        <v>45669</v>
      </c>
      <c r="D178" t="inlineStr">
        <is>
          <t>NORRBOTTENS LÄN</t>
        </is>
      </c>
      <c r="E178" t="inlineStr">
        <is>
          <t>ÖVERTORNEÅ</t>
        </is>
      </c>
      <c r="G178" t="n">
        <v>9.300000000000001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68166-2020</t>
        </is>
      </c>
      <c r="B179" s="1" t="n">
        <v>44183</v>
      </c>
      <c r="C179" s="1" t="n">
        <v>45669</v>
      </c>
      <c r="D179" t="inlineStr">
        <is>
          <t>NORRBOTTENS LÄN</t>
        </is>
      </c>
      <c r="E179" t="inlineStr">
        <is>
          <t>ÖVERTORNEÅ</t>
        </is>
      </c>
      <c r="G179" t="n">
        <v>3.9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2544-2021</t>
        </is>
      </c>
      <c r="B180" s="1" t="n">
        <v>44214</v>
      </c>
      <c r="C180" s="1" t="n">
        <v>45669</v>
      </c>
      <c r="D180" t="inlineStr">
        <is>
          <t>NORRBOTTENS LÄN</t>
        </is>
      </c>
      <c r="E180" t="inlineStr">
        <is>
          <t>ÖVERTORNEÅ</t>
        </is>
      </c>
      <c r="G180" t="n">
        <v>18.4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2743-2021</t>
        </is>
      </c>
      <c r="B181" s="1" t="n">
        <v>44214</v>
      </c>
      <c r="C181" s="1" t="n">
        <v>45669</v>
      </c>
      <c r="D181" t="inlineStr">
        <is>
          <t>NORRBOTTENS LÄN</t>
        </is>
      </c>
      <c r="E181" t="inlineStr">
        <is>
          <t>ÖVERTORNEÅ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3775-2021</t>
        </is>
      </c>
      <c r="B182" s="1" t="n">
        <v>44217</v>
      </c>
      <c r="C182" s="1" t="n">
        <v>45669</v>
      </c>
      <c r="D182" t="inlineStr">
        <is>
          <t>NORRBOTTENS LÄN</t>
        </is>
      </c>
      <c r="E182" t="inlineStr">
        <is>
          <t>ÖVERTORNEÅ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4792-2021</t>
        </is>
      </c>
      <c r="B183" s="1" t="n">
        <v>44225</v>
      </c>
      <c r="C183" s="1" t="n">
        <v>45669</v>
      </c>
      <c r="D183" t="inlineStr">
        <is>
          <t>NORRBOTTENS LÄN</t>
        </is>
      </c>
      <c r="E183" t="inlineStr">
        <is>
          <t>ÖVERTORNEÅ</t>
        </is>
      </c>
      <c r="G183" t="n">
        <v>48.7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7472-2021</t>
        </is>
      </c>
      <c r="B184" s="1" t="n">
        <v>44238</v>
      </c>
      <c r="C184" s="1" t="n">
        <v>45669</v>
      </c>
      <c r="D184" t="inlineStr">
        <is>
          <t>NORRBOTTENS LÄN</t>
        </is>
      </c>
      <c r="E184" t="inlineStr">
        <is>
          <t>ÖVERTORNEÅ</t>
        </is>
      </c>
      <c r="G184" t="n">
        <v>3.8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7470-2021</t>
        </is>
      </c>
      <c r="B185" s="1" t="n">
        <v>44238</v>
      </c>
      <c r="C185" s="1" t="n">
        <v>45669</v>
      </c>
      <c r="D185" t="inlineStr">
        <is>
          <t>NORRBOTTENS LÄN</t>
        </is>
      </c>
      <c r="E185" t="inlineStr">
        <is>
          <t>ÖVERTORNEÅ</t>
        </is>
      </c>
      <c r="G185" t="n">
        <v>3.7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7469-2021</t>
        </is>
      </c>
      <c r="B186" s="1" t="n">
        <v>44238</v>
      </c>
      <c r="C186" s="1" t="n">
        <v>45669</v>
      </c>
      <c r="D186" t="inlineStr">
        <is>
          <t>NORRBOTTENS LÄN</t>
        </is>
      </c>
      <c r="E186" t="inlineStr">
        <is>
          <t>ÖVERTORNEÅ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8495-2021</t>
        </is>
      </c>
      <c r="B187" s="1" t="n">
        <v>44244</v>
      </c>
      <c r="C187" s="1" t="n">
        <v>45669</v>
      </c>
      <c r="D187" t="inlineStr">
        <is>
          <t>NORRBOTTENS LÄN</t>
        </is>
      </c>
      <c r="E187" t="inlineStr">
        <is>
          <t>ÖVERTORNEÅ</t>
        </is>
      </c>
      <c r="G187" t="n">
        <v>18.5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8511-2021</t>
        </is>
      </c>
      <c r="B188" s="1" t="n">
        <v>44244</v>
      </c>
      <c r="C188" s="1" t="n">
        <v>45669</v>
      </c>
      <c r="D188" t="inlineStr">
        <is>
          <t>NORRBOTTENS LÄN</t>
        </is>
      </c>
      <c r="E188" t="inlineStr">
        <is>
          <t>ÖVERTORNEÅ</t>
        </is>
      </c>
      <c r="G188" t="n">
        <v>23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8898-2021</t>
        </is>
      </c>
      <c r="B189" s="1" t="n">
        <v>44245</v>
      </c>
      <c r="C189" s="1" t="n">
        <v>45669</v>
      </c>
      <c r="D189" t="inlineStr">
        <is>
          <t>NORRBOTTENS LÄN</t>
        </is>
      </c>
      <c r="E189" t="inlineStr">
        <is>
          <t>ÖVERTORNEÅ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9838-2021</t>
        </is>
      </c>
      <c r="B190" s="1" t="n">
        <v>44252</v>
      </c>
      <c r="C190" s="1" t="n">
        <v>45669</v>
      </c>
      <c r="D190" t="inlineStr">
        <is>
          <t>NORRBOTTENS LÄN</t>
        </is>
      </c>
      <c r="E190" t="inlineStr">
        <is>
          <t>ÖVERTORNEÅ</t>
        </is>
      </c>
      <c r="G190" t="n">
        <v>4.5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9842-2021</t>
        </is>
      </c>
      <c r="B191" s="1" t="n">
        <v>44252</v>
      </c>
      <c r="C191" s="1" t="n">
        <v>45669</v>
      </c>
      <c r="D191" t="inlineStr">
        <is>
          <t>NORRBOTTENS LÄN</t>
        </is>
      </c>
      <c r="E191" t="inlineStr">
        <is>
          <t>ÖVERTORNEÅ</t>
        </is>
      </c>
      <c r="G191" t="n">
        <v>8.800000000000001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10188-2021</t>
        </is>
      </c>
      <c r="B192" s="1" t="n">
        <v>44256</v>
      </c>
      <c r="C192" s="1" t="n">
        <v>45669</v>
      </c>
      <c r="D192" t="inlineStr">
        <is>
          <t>NORRBOTTENS LÄN</t>
        </is>
      </c>
      <c r="E192" t="inlineStr">
        <is>
          <t>ÖVERTORNEÅ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10619-2021</t>
        </is>
      </c>
      <c r="B193" s="1" t="n">
        <v>44258</v>
      </c>
      <c r="C193" s="1" t="n">
        <v>45669</v>
      </c>
      <c r="D193" t="inlineStr">
        <is>
          <t>NORRBOTTENS LÄN</t>
        </is>
      </c>
      <c r="E193" t="inlineStr">
        <is>
          <t>ÖVERTORNEÅ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13576-2021</t>
        </is>
      </c>
      <c r="B194" s="1" t="n">
        <v>44273</v>
      </c>
      <c r="C194" s="1" t="n">
        <v>45669</v>
      </c>
      <c r="D194" t="inlineStr">
        <is>
          <t>NORRBOTTENS LÄN</t>
        </is>
      </c>
      <c r="E194" t="inlineStr">
        <is>
          <t>ÖVERTORNEÅ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13866-2021</t>
        </is>
      </c>
      <c r="B195" s="1" t="n">
        <v>44277</v>
      </c>
      <c r="C195" s="1" t="n">
        <v>45669</v>
      </c>
      <c r="D195" t="inlineStr">
        <is>
          <t>NORRBOTTENS LÄN</t>
        </is>
      </c>
      <c r="E195" t="inlineStr">
        <is>
          <t>ÖVERTORNEÅ</t>
        </is>
      </c>
      <c r="G195" t="n">
        <v>9.6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13864-2021</t>
        </is>
      </c>
      <c r="B196" s="1" t="n">
        <v>44277</v>
      </c>
      <c r="C196" s="1" t="n">
        <v>45669</v>
      </c>
      <c r="D196" t="inlineStr">
        <is>
          <t>NORRBOTTENS LÄN</t>
        </is>
      </c>
      <c r="E196" t="inlineStr">
        <is>
          <t>ÖVERTORNEÅ</t>
        </is>
      </c>
      <c r="G196" t="n">
        <v>48.3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13861-2021</t>
        </is>
      </c>
      <c r="B197" s="1" t="n">
        <v>44277</v>
      </c>
      <c r="C197" s="1" t="n">
        <v>45669</v>
      </c>
      <c r="D197" t="inlineStr">
        <is>
          <t>NORRBOTTENS LÄN</t>
        </is>
      </c>
      <c r="E197" t="inlineStr">
        <is>
          <t>ÖVERTORNEÅ</t>
        </is>
      </c>
      <c r="G197" t="n">
        <v>7.2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13870-2021</t>
        </is>
      </c>
      <c r="B198" s="1" t="n">
        <v>44277</v>
      </c>
      <c r="C198" s="1" t="n">
        <v>45669</v>
      </c>
      <c r="D198" t="inlineStr">
        <is>
          <t>NORRBOTTENS LÄN</t>
        </is>
      </c>
      <c r="E198" t="inlineStr">
        <is>
          <t>ÖVERTORNEÅ</t>
        </is>
      </c>
      <c r="G198" t="n">
        <v>10.8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13859-2021</t>
        </is>
      </c>
      <c r="B199" s="1" t="n">
        <v>44277</v>
      </c>
      <c r="C199" s="1" t="n">
        <v>45669</v>
      </c>
      <c r="D199" t="inlineStr">
        <is>
          <t>NORRBOTTENS LÄN</t>
        </is>
      </c>
      <c r="E199" t="inlineStr">
        <is>
          <t>ÖVERTORNEÅ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13877-2021</t>
        </is>
      </c>
      <c r="B200" s="1" t="n">
        <v>44277</v>
      </c>
      <c r="C200" s="1" t="n">
        <v>45669</v>
      </c>
      <c r="D200" t="inlineStr">
        <is>
          <t>NORRBOTTENS LÄN</t>
        </is>
      </c>
      <c r="E200" t="inlineStr">
        <is>
          <t>ÖVERTORNEÅ</t>
        </is>
      </c>
      <c r="G200" t="n">
        <v>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15238-2021</t>
        </is>
      </c>
      <c r="B201" s="1" t="n">
        <v>44284</v>
      </c>
      <c r="C201" s="1" t="n">
        <v>45669</v>
      </c>
      <c r="D201" t="inlineStr">
        <is>
          <t>NORRBOTTENS LÄN</t>
        </is>
      </c>
      <c r="E201" t="inlineStr">
        <is>
          <t>ÖVERTORNEÅ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15240-2021</t>
        </is>
      </c>
      <c r="B202" s="1" t="n">
        <v>44284</v>
      </c>
      <c r="C202" s="1" t="n">
        <v>45669</v>
      </c>
      <c r="D202" t="inlineStr">
        <is>
          <t>NORRBOTTENS LÄN</t>
        </is>
      </c>
      <c r="E202" t="inlineStr">
        <is>
          <t>ÖVERTORNEÅ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15239-2021</t>
        </is>
      </c>
      <c r="B203" s="1" t="n">
        <v>44284</v>
      </c>
      <c r="C203" s="1" t="n">
        <v>45669</v>
      </c>
      <c r="D203" t="inlineStr">
        <is>
          <t>NORRBOTTENS LÄN</t>
        </is>
      </c>
      <c r="E203" t="inlineStr">
        <is>
          <t>ÖVERTORNEÅ</t>
        </is>
      </c>
      <c r="G203" t="n">
        <v>9.300000000000001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15246-2021</t>
        </is>
      </c>
      <c r="B204" s="1" t="n">
        <v>44284</v>
      </c>
      <c r="C204" s="1" t="n">
        <v>45669</v>
      </c>
      <c r="D204" t="inlineStr">
        <is>
          <t>NORRBOTTENS LÄN</t>
        </is>
      </c>
      <c r="E204" t="inlineStr">
        <is>
          <t>ÖVERTORNEÅ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16111-2021</t>
        </is>
      </c>
      <c r="B205" s="1" t="n">
        <v>44291</v>
      </c>
      <c r="C205" s="1" t="n">
        <v>45669</v>
      </c>
      <c r="D205" t="inlineStr">
        <is>
          <t>NORRBOTTENS LÄN</t>
        </is>
      </c>
      <c r="E205" t="inlineStr">
        <is>
          <t>ÖVERTORNEÅ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16112-2021</t>
        </is>
      </c>
      <c r="B206" s="1" t="n">
        <v>44291</v>
      </c>
      <c r="C206" s="1" t="n">
        <v>45669</v>
      </c>
      <c r="D206" t="inlineStr">
        <is>
          <t>NORRBOTTENS LÄN</t>
        </is>
      </c>
      <c r="E206" t="inlineStr">
        <is>
          <t>ÖVERTORNEÅ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18449-2021</t>
        </is>
      </c>
      <c r="B207" s="1" t="n">
        <v>44305</v>
      </c>
      <c r="C207" s="1" t="n">
        <v>45669</v>
      </c>
      <c r="D207" t="inlineStr">
        <is>
          <t>NORRBOTTENS LÄN</t>
        </is>
      </c>
      <c r="E207" t="inlineStr">
        <is>
          <t>ÖVERTORNEÅ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18575-2021</t>
        </is>
      </c>
      <c r="B208" s="1" t="n">
        <v>44305</v>
      </c>
      <c r="C208" s="1" t="n">
        <v>45669</v>
      </c>
      <c r="D208" t="inlineStr">
        <is>
          <t>NORRBOTTENS LÄN</t>
        </is>
      </c>
      <c r="E208" t="inlineStr">
        <is>
          <t>ÖVERTORNEÅ</t>
        </is>
      </c>
      <c r="G208" t="n">
        <v>10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18566-2021</t>
        </is>
      </c>
      <c r="B209" s="1" t="n">
        <v>44305</v>
      </c>
      <c r="C209" s="1" t="n">
        <v>45669</v>
      </c>
      <c r="D209" t="inlineStr">
        <is>
          <t>NORRBOTTENS LÄN</t>
        </is>
      </c>
      <c r="E209" t="inlineStr">
        <is>
          <t>ÖVERTORNEÅ</t>
        </is>
      </c>
      <c r="G209" t="n">
        <v>7.9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18578-2021</t>
        </is>
      </c>
      <c r="B210" s="1" t="n">
        <v>44305</v>
      </c>
      <c r="C210" s="1" t="n">
        <v>45669</v>
      </c>
      <c r="D210" t="inlineStr">
        <is>
          <t>NORRBOTTENS LÄN</t>
        </is>
      </c>
      <c r="E210" t="inlineStr">
        <is>
          <t>ÖVERTORNEÅ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18577-2021</t>
        </is>
      </c>
      <c r="B211" s="1" t="n">
        <v>44305</v>
      </c>
      <c r="C211" s="1" t="n">
        <v>45669</v>
      </c>
      <c r="D211" t="inlineStr">
        <is>
          <t>NORRBOTTENS LÄN</t>
        </is>
      </c>
      <c r="E211" t="inlineStr">
        <is>
          <t>ÖVERTORNEÅ</t>
        </is>
      </c>
      <c r="G211" t="n">
        <v>16.9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19401-2021</t>
        </is>
      </c>
      <c r="B212" s="1" t="n">
        <v>44310</v>
      </c>
      <c r="C212" s="1" t="n">
        <v>45669</v>
      </c>
      <c r="D212" t="inlineStr">
        <is>
          <t>NORRBOTTENS LÄN</t>
        </is>
      </c>
      <c r="E212" t="inlineStr">
        <is>
          <t>ÖVERTORNEÅ</t>
        </is>
      </c>
      <c r="G212" t="n">
        <v>3.7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19845-2021</t>
        </is>
      </c>
      <c r="B213" s="1" t="n">
        <v>44312</v>
      </c>
      <c r="C213" s="1" t="n">
        <v>45669</v>
      </c>
      <c r="D213" t="inlineStr">
        <is>
          <t>NORRBOTTENS LÄN</t>
        </is>
      </c>
      <c r="E213" t="inlineStr">
        <is>
          <t>ÖVERTORNEÅ</t>
        </is>
      </c>
      <c r="G213" t="n">
        <v>3.5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22726-2021</t>
        </is>
      </c>
      <c r="B214" s="1" t="n">
        <v>44327</v>
      </c>
      <c r="C214" s="1" t="n">
        <v>45669</v>
      </c>
      <c r="D214" t="inlineStr">
        <is>
          <t>NORRBOTTENS LÄN</t>
        </is>
      </c>
      <c r="E214" t="inlineStr">
        <is>
          <t>ÖVERTORNEÅ</t>
        </is>
      </c>
      <c r="G214" t="n">
        <v>20.2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24416-2021</t>
        </is>
      </c>
      <c r="B215" s="1" t="n">
        <v>44337</v>
      </c>
      <c r="C215" s="1" t="n">
        <v>45669</v>
      </c>
      <c r="D215" t="inlineStr">
        <is>
          <t>NORRBOTTENS LÄN</t>
        </is>
      </c>
      <c r="E215" t="inlineStr">
        <is>
          <t>ÖVERTORNEÅ</t>
        </is>
      </c>
      <c r="G215" t="n">
        <v>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27789-2021</t>
        </is>
      </c>
      <c r="B216" s="1" t="n">
        <v>44354</v>
      </c>
      <c r="C216" s="1" t="n">
        <v>45669</v>
      </c>
      <c r="D216" t="inlineStr">
        <is>
          <t>NORRBOTTENS LÄN</t>
        </is>
      </c>
      <c r="E216" t="inlineStr">
        <is>
          <t>ÖVERTORNEÅ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29945-2021</t>
        </is>
      </c>
      <c r="B217" s="1" t="n">
        <v>44363</v>
      </c>
      <c r="C217" s="1" t="n">
        <v>45669</v>
      </c>
      <c r="D217" t="inlineStr">
        <is>
          <t>NORRBOTTENS LÄN</t>
        </is>
      </c>
      <c r="E217" t="inlineStr">
        <is>
          <t>ÖVERTORNEÅ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30688-2021</t>
        </is>
      </c>
      <c r="B218" s="1" t="n">
        <v>44365</v>
      </c>
      <c r="C218" s="1" t="n">
        <v>45669</v>
      </c>
      <c r="D218" t="inlineStr">
        <is>
          <t>NORRBOTTENS LÄN</t>
        </is>
      </c>
      <c r="E218" t="inlineStr">
        <is>
          <t>ÖVERTORNEÅ</t>
        </is>
      </c>
      <c r="G218" t="n">
        <v>4.2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31008-2021</t>
        </is>
      </c>
      <c r="B219" s="1" t="n">
        <v>44366</v>
      </c>
      <c r="C219" s="1" t="n">
        <v>45669</v>
      </c>
      <c r="D219" t="inlineStr">
        <is>
          <t>NORRBOTTENS LÄN</t>
        </is>
      </c>
      <c r="E219" t="inlineStr">
        <is>
          <t>ÖVERTORNEÅ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31007-2021</t>
        </is>
      </c>
      <c r="B220" s="1" t="n">
        <v>44366</v>
      </c>
      <c r="C220" s="1" t="n">
        <v>45669</v>
      </c>
      <c r="D220" t="inlineStr">
        <is>
          <t>NORRBOTTENS LÄN</t>
        </is>
      </c>
      <c r="E220" t="inlineStr">
        <is>
          <t>ÖVERTORNEÅ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31444-2021</t>
        </is>
      </c>
      <c r="B221" s="1" t="n">
        <v>44369</v>
      </c>
      <c r="C221" s="1" t="n">
        <v>45669</v>
      </c>
      <c r="D221" t="inlineStr">
        <is>
          <t>NORRBOTTENS LÄN</t>
        </is>
      </c>
      <c r="E221" t="inlineStr">
        <is>
          <t>ÖVERTORNEÅ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32902-2021</t>
        </is>
      </c>
      <c r="B222" s="1" t="n">
        <v>44376</v>
      </c>
      <c r="C222" s="1" t="n">
        <v>45669</v>
      </c>
      <c r="D222" t="inlineStr">
        <is>
          <t>NORRBOTTENS LÄN</t>
        </is>
      </c>
      <c r="E222" t="inlineStr">
        <is>
          <t>ÖVERTORNEÅ</t>
        </is>
      </c>
      <c r="G222" t="n">
        <v>4.3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36202-2021</t>
        </is>
      </c>
      <c r="B223" s="1" t="n">
        <v>44389</v>
      </c>
      <c r="C223" s="1" t="n">
        <v>45669</v>
      </c>
      <c r="D223" t="inlineStr">
        <is>
          <t>NORRBOTTENS LÄN</t>
        </is>
      </c>
      <c r="E223" t="inlineStr">
        <is>
          <t>ÖVERTORNEÅ</t>
        </is>
      </c>
      <c r="F223" t="inlineStr">
        <is>
          <t>Sveaskog</t>
        </is>
      </c>
      <c r="G223" t="n">
        <v>34.9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37607-2021</t>
        </is>
      </c>
      <c r="B224" s="1" t="n">
        <v>44399</v>
      </c>
      <c r="C224" s="1" t="n">
        <v>45669</v>
      </c>
      <c r="D224" t="inlineStr">
        <is>
          <t>NORRBOTTENS LÄN</t>
        </is>
      </c>
      <c r="E224" t="inlineStr">
        <is>
          <t>ÖVERTORNEÅ</t>
        </is>
      </c>
      <c r="G224" t="n">
        <v>12.1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37846-2021</t>
        </is>
      </c>
      <c r="B225" s="1" t="n">
        <v>44403</v>
      </c>
      <c r="C225" s="1" t="n">
        <v>45669</v>
      </c>
      <c r="D225" t="inlineStr">
        <is>
          <t>NORRBOTTENS LÄN</t>
        </is>
      </c>
      <c r="E225" t="inlineStr">
        <is>
          <t>ÖVERTORNEÅ</t>
        </is>
      </c>
      <c r="G225" t="n">
        <v>11.2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38002-2021</t>
        </is>
      </c>
      <c r="B226" s="1" t="n">
        <v>44404</v>
      </c>
      <c r="C226" s="1" t="n">
        <v>45669</v>
      </c>
      <c r="D226" t="inlineStr">
        <is>
          <t>NORRBOTTENS LÄN</t>
        </is>
      </c>
      <c r="E226" t="inlineStr">
        <is>
          <t>ÖVERTORNEÅ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38152-2021</t>
        </is>
      </c>
      <c r="B227" s="1" t="n">
        <v>44405</v>
      </c>
      <c r="C227" s="1" t="n">
        <v>45669</v>
      </c>
      <c r="D227" t="inlineStr">
        <is>
          <t>NORRBOTTENS LÄN</t>
        </is>
      </c>
      <c r="E227" t="inlineStr">
        <is>
          <t>ÖVERTORNEÅ</t>
        </is>
      </c>
      <c r="G227" t="n">
        <v>14.8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38156-2021</t>
        </is>
      </c>
      <c r="B228" s="1" t="n">
        <v>44405</v>
      </c>
      <c r="C228" s="1" t="n">
        <v>45669</v>
      </c>
      <c r="D228" t="inlineStr">
        <is>
          <t>NORRBOTTENS LÄN</t>
        </is>
      </c>
      <c r="E228" t="inlineStr">
        <is>
          <t>ÖVERTORNEÅ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38696-2021</t>
        </is>
      </c>
      <c r="B229" s="1" t="n">
        <v>44406</v>
      </c>
      <c r="C229" s="1" t="n">
        <v>45669</v>
      </c>
      <c r="D229" t="inlineStr">
        <is>
          <t>NORRBOTTENS LÄN</t>
        </is>
      </c>
      <c r="E229" t="inlineStr">
        <is>
          <t>ÖVERTORNEÅ</t>
        </is>
      </c>
      <c r="G229" t="n">
        <v>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38500-2021</t>
        </is>
      </c>
      <c r="B230" s="1" t="n">
        <v>44406</v>
      </c>
      <c r="C230" s="1" t="n">
        <v>45669</v>
      </c>
      <c r="D230" t="inlineStr">
        <is>
          <t>NORRBOTTENS LÄN</t>
        </is>
      </c>
      <c r="E230" t="inlineStr">
        <is>
          <t>ÖVERTORNEÅ</t>
        </is>
      </c>
      <c r="G230" t="n">
        <v>17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39893-2021</t>
        </is>
      </c>
      <c r="B231" s="1" t="n">
        <v>44417</v>
      </c>
      <c r="C231" s="1" t="n">
        <v>45669</v>
      </c>
      <c r="D231" t="inlineStr">
        <is>
          <t>NORRBOTTENS LÄN</t>
        </is>
      </c>
      <c r="E231" t="inlineStr">
        <is>
          <t>ÖVERTORNEÅ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41137-2021</t>
        </is>
      </c>
      <c r="B232" s="1" t="n">
        <v>44423</v>
      </c>
      <c r="C232" s="1" t="n">
        <v>45669</v>
      </c>
      <c r="D232" t="inlineStr">
        <is>
          <t>NORRBOTTENS LÄN</t>
        </is>
      </c>
      <c r="E232" t="inlineStr">
        <is>
          <t>ÖVERTORNEÅ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41197-2021</t>
        </is>
      </c>
      <c r="B233" s="1" t="n">
        <v>44424</v>
      </c>
      <c r="C233" s="1" t="n">
        <v>45669</v>
      </c>
      <c r="D233" t="inlineStr">
        <is>
          <t>NORRBOTTENS LÄN</t>
        </is>
      </c>
      <c r="E233" t="inlineStr">
        <is>
          <t>ÖVERTORNEÅ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42172-2021</t>
        </is>
      </c>
      <c r="B234" s="1" t="n">
        <v>44426</v>
      </c>
      <c r="C234" s="1" t="n">
        <v>45669</v>
      </c>
      <c r="D234" t="inlineStr">
        <is>
          <t>NORRBOTTENS LÄN</t>
        </is>
      </c>
      <c r="E234" t="inlineStr">
        <is>
          <t>ÖVERTORNEÅ</t>
        </is>
      </c>
      <c r="F234" t="inlineStr">
        <is>
          <t>Sveaskog</t>
        </is>
      </c>
      <c r="G234" t="n">
        <v>3.5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43407-2021</t>
        </is>
      </c>
      <c r="B235" s="1" t="n">
        <v>44432</v>
      </c>
      <c r="C235" s="1" t="n">
        <v>45669</v>
      </c>
      <c r="D235" t="inlineStr">
        <is>
          <t>NORRBOTTENS LÄN</t>
        </is>
      </c>
      <c r="E235" t="inlineStr">
        <is>
          <t>ÖVERTORNEÅ</t>
        </is>
      </c>
      <c r="F235" t="inlineStr">
        <is>
          <t>Sveaskog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43487-2021</t>
        </is>
      </c>
      <c r="B236" s="1" t="n">
        <v>44433</v>
      </c>
      <c r="C236" s="1" t="n">
        <v>45669</v>
      </c>
      <c r="D236" t="inlineStr">
        <is>
          <t>NORRBOTTENS LÄN</t>
        </is>
      </c>
      <c r="E236" t="inlineStr">
        <is>
          <t>ÖVERTORNEÅ</t>
        </is>
      </c>
      <c r="G236" t="n">
        <v>22.5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44278-2021</t>
        </is>
      </c>
      <c r="B237" s="1" t="n">
        <v>44433</v>
      </c>
      <c r="C237" s="1" t="n">
        <v>45669</v>
      </c>
      <c r="D237" t="inlineStr">
        <is>
          <t>NORRBOTTENS LÄN</t>
        </is>
      </c>
      <c r="E237" t="inlineStr">
        <is>
          <t>ÖVERTORNEÅ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45566-2021</t>
        </is>
      </c>
      <c r="B238" s="1" t="n">
        <v>44440</v>
      </c>
      <c r="C238" s="1" t="n">
        <v>45669</v>
      </c>
      <c r="D238" t="inlineStr">
        <is>
          <t>NORRBOTTENS LÄN</t>
        </is>
      </c>
      <c r="E238" t="inlineStr">
        <is>
          <t>ÖVERTORNEÅ</t>
        </is>
      </c>
      <c r="G238" t="n">
        <v>3.5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46022-2021</t>
        </is>
      </c>
      <c r="B239" s="1" t="n">
        <v>44442</v>
      </c>
      <c r="C239" s="1" t="n">
        <v>45669</v>
      </c>
      <c r="D239" t="inlineStr">
        <is>
          <t>NORRBOTTENS LÄN</t>
        </is>
      </c>
      <c r="E239" t="inlineStr">
        <is>
          <t>ÖVERTORNEÅ</t>
        </is>
      </c>
      <c r="G239" t="n">
        <v>8.800000000000001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46031-2021</t>
        </is>
      </c>
      <c r="B240" s="1" t="n">
        <v>44441</v>
      </c>
      <c r="C240" s="1" t="n">
        <v>45669</v>
      </c>
      <c r="D240" t="inlineStr">
        <is>
          <t>NORRBOTTENS LÄN</t>
        </is>
      </c>
      <c r="E240" t="inlineStr">
        <is>
          <t>ÖVERTORNEÅ</t>
        </is>
      </c>
      <c r="G240" t="n">
        <v>9.9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46026-2021</t>
        </is>
      </c>
      <c r="B241" s="1" t="n">
        <v>44442</v>
      </c>
      <c r="C241" s="1" t="n">
        <v>45669</v>
      </c>
      <c r="D241" t="inlineStr">
        <is>
          <t>NORRBOTTENS LÄN</t>
        </is>
      </c>
      <c r="E241" t="inlineStr">
        <is>
          <t>ÖVERTORNEÅ</t>
        </is>
      </c>
      <c r="G241" t="n">
        <v>2.9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46035-2021</t>
        </is>
      </c>
      <c r="B242" s="1" t="n">
        <v>44441</v>
      </c>
      <c r="C242" s="1" t="n">
        <v>45669</v>
      </c>
      <c r="D242" t="inlineStr">
        <is>
          <t>NORRBOTTENS LÄN</t>
        </is>
      </c>
      <c r="E242" t="inlineStr">
        <is>
          <t>ÖVERTORNEÅ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46024-2021</t>
        </is>
      </c>
      <c r="B243" s="1" t="n">
        <v>44441</v>
      </c>
      <c r="C243" s="1" t="n">
        <v>45669</v>
      </c>
      <c r="D243" t="inlineStr">
        <is>
          <t>NORRBOTTENS LÄN</t>
        </is>
      </c>
      <c r="E243" t="inlineStr">
        <is>
          <t>ÖVERTORNEÅ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46032-2021</t>
        </is>
      </c>
      <c r="B244" s="1" t="n">
        <v>44441</v>
      </c>
      <c r="C244" s="1" t="n">
        <v>45669</v>
      </c>
      <c r="D244" t="inlineStr">
        <is>
          <t>NORRBOTTENS LÄN</t>
        </is>
      </c>
      <c r="E244" t="inlineStr">
        <is>
          <t>ÖVERTORNEÅ</t>
        </is>
      </c>
      <c r="G244" t="n">
        <v>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46027-2021</t>
        </is>
      </c>
      <c r="B245" s="1" t="n">
        <v>44442</v>
      </c>
      <c r="C245" s="1" t="n">
        <v>45669</v>
      </c>
      <c r="D245" t="inlineStr">
        <is>
          <t>NORRBOTTENS LÄN</t>
        </is>
      </c>
      <c r="E245" t="inlineStr">
        <is>
          <t>ÖVERTORNEÅ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46037-2021</t>
        </is>
      </c>
      <c r="B246" s="1" t="n">
        <v>44441</v>
      </c>
      <c r="C246" s="1" t="n">
        <v>45669</v>
      </c>
      <c r="D246" t="inlineStr">
        <is>
          <t>NORRBOTTENS LÄN</t>
        </is>
      </c>
      <c r="E246" t="inlineStr">
        <is>
          <t>ÖVERTORNEÅ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46973-2021</t>
        </is>
      </c>
      <c r="B247" s="1" t="n">
        <v>44446</v>
      </c>
      <c r="C247" s="1" t="n">
        <v>45669</v>
      </c>
      <c r="D247" t="inlineStr">
        <is>
          <t>NORRBOTTENS LÄN</t>
        </is>
      </c>
      <c r="E247" t="inlineStr">
        <is>
          <t>ÖVERTORNEÅ</t>
        </is>
      </c>
      <c r="G247" t="n">
        <v>6.5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48792-2021</t>
        </is>
      </c>
      <c r="B248" s="1" t="n">
        <v>44452</v>
      </c>
      <c r="C248" s="1" t="n">
        <v>45669</v>
      </c>
      <c r="D248" t="inlineStr">
        <is>
          <t>NORRBOTTENS LÄN</t>
        </is>
      </c>
      <c r="E248" t="inlineStr">
        <is>
          <t>ÖVERTORNEÅ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48770-2021</t>
        </is>
      </c>
      <c r="B249" s="1" t="n">
        <v>44452</v>
      </c>
      <c r="C249" s="1" t="n">
        <v>45669</v>
      </c>
      <c r="D249" t="inlineStr">
        <is>
          <t>NORRBOTTENS LÄN</t>
        </is>
      </c>
      <c r="E249" t="inlineStr">
        <is>
          <t>ÖVERTORNEÅ</t>
        </is>
      </c>
      <c r="G249" t="n">
        <v>9.4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48780-2021</t>
        </is>
      </c>
      <c r="B250" s="1" t="n">
        <v>44452</v>
      </c>
      <c r="C250" s="1" t="n">
        <v>45669</v>
      </c>
      <c r="D250" t="inlineStr">
        <is>
          <t>NORRBOTTENS LÄN</t>
        </is>
      </c>
      <c r="E250" t="inlineStr">
        <is>
          <t>ÖVERTORNEÅ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48746-2021</t>
        </is>
      </c>
      <c r="B251" s="1" t="n">
        <v>44452</v>
      </c>
      <c r="C251" s="1" t="n">
        <v>45669</v>
      </c>
      <c r="D251" t="inlineStr">
        <is>
          <t>NORRBOTTENS LÄN</t>
        </is>
      </c>
      <c r="E251" t="inlineStr">
        <is>
          <t>ÖVERTORNEÅ</t>
        </is>
      </c>
      <c r="G251" t="n">
        <v>6.4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52288-2021</t>
        </is>
      </c>
      <c r="B252" s="1" t="n">
        <v>44463</v>
      </c>
      <c r="C252" s="1" t="n">
        <v>45669</v>
      </c>
      <c r="D252" t="inlineStr">
        <is>
          <t>NORRBOTTENS LÄN</t>
        </is>
      </c>
      <c r="E252" t="inlineStr">
        <is>
          <t>ÖVERTORNEÅ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57636-2021</t>
        </is>
      </c>
      <c r="B253" s="1" t="n">
        <v>44484</v>
      </c>
      <c r="C253" s="1" t="n">
        <v>45669</v>
      </c>
      <c r="D253" t="inlineStr">
        <is>
          <t>NORRBOTTENS LÄN</t>
        </is>
      </c>
      <c r="E253" t="inlineStr">
        <is>
          <t>ÖVERTORNEÅ</t>
        </is>
      </c>
      <c r="G253" t="n">
        <v>6.8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57849-2021</t>
        </is>
      </c>
      <c r="B254" s="1" t="n">
        <v>44484</v>
      </c>
      <c r="C254" s="1" t="n">
        <v>45669</v>
      </c>
      <c r="D254" t="inlineStr">
        <is>
          <t>NORRBOTTENS LÄN</t>
        </is>
      </c>
      <c r="E254" t="inlineStr">
        <is>
          <t>ÖVERTORNEÅ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58185-2021</t>
        </is>
      </c>
      <c r="B255" s="1" t="n">
        <v>44487</v>
      </c>
      <c r="C255" s="1" t="n">
        <v>45669</v>
      </c>
      <c r="D255" t="inlineStr">
        <is>
          <t>NORRBOTTENS LÄN</t>
        </is>
      </c>
      <c r="E255" t="inlineStr">
        <is>
          <t>ÖVERTORNEÅ</t>
        </is>
      </c>
      <c r="F255" t="inlineStr">
        <is>
          <t>Sveaskog</t>
        </is>
      </c>
      <c r="G255" t="n">
        <v>4.1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58304-2021</t>
        </is>
      </c>
      <c r="B256" s="1" t="n">
        <v>44488</v>
      </c>
      <c r="C256" s="1" t="n">
        <v>45669</v>
      </c>
      <c r="D256" t="inlineStr">
        <is>
          <t>NORRBOTTENS LÄN</t>
        </is>
      </c>
      <c r="E256" t="inlineStr">
        <is>
          <t>ÖVERTORNEÅ</t>
        </is>
      </c>
      <c r="F256" t="inlineStr">
        <is>
          <t>Sveaskog</t>
        </is>
      </c>
      <c r="G256" t="n">
        <v>4.1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58691-2021</t>
        </is>
      </c>
      <c r="B257" s="1" t="n">
        <v>44489</v>
      </c>
      <c r="C257" s="1" t="n">
        <v>45669</v>
      </c>
      <c r="D257" t="inlineStr">
        <is>
          <t>NORRBOTTENS LÄN</t>
        </is>
      </c>
      <c r="E257" t="inlineStr">
        <is>
          <t>ÖVERTORNEÅ</t>
        </is>
      </c>
      <c r="G257" t="n">
        <v>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60133-2021</t>
        </is>
      </c>
      <c r="B258" s="1" t="n">
        <v>44494</v>
      </c>
      <c r="C258" s="1" t="n">
        <v>45669</v>
      </c>
      <c r="D258" t="inlineStr">
        <is>
          <t>NORRBOTTENS LÄN</t>
        </is>
      </c>
      <c r="E258" t="inlineStr">
        <is>
          <t>ÖVERTORNEÅ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60948-2021</t>
        </is>
      </c>
      <c r="B259" s="1" t="n">
        <v>44497</v>
      </c>
      <c r="C259" s="1" t="n">
        <v>45669</v>
      </c>
      <c r="D259" t="inlineStr">
        <is>
          <t>NORRBOTTENS LÄN</t>
        </is>
      </c>
      <c r="E259" t="inlineStr">
        <is>
          <t>ÖVERTORNEÅ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62851-2021</t>
        </is>
      </c>
      <c r="B260" s="1" t="n">
        <v>44504</v>
      </c>
      <c r="C260" s="1" t="n">
        <v>45669</v>
      </c>
      <c r="D260" t="inlineStr">
        <is>
          <t>NORRBOTTENS LÄN</t>
        </is>
      </c>
      <c r="E260" t="inlineStr">
        <is>
          <t>ÖVERTORNEÅ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62856-2021</t>
        </is>
      </c>
      <c r="B261" s="1" t="n">
        <v>44504</v>
      </c>
      <c r="C261" s="1" t="n">
        <v>45669</v>
      </c>
      <c r="D261" t="inlineStr">
        <is>
          <t>NORRBOTTENS LÄN</t>
        </is>
      </c>
      <c r="E261" t="inlineStr">
        <is>
          <t>ÖVERTORNEÅ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63347-2021</t>
        </is>
      </c>
      <c r="B262" s="1" t="n">
        <v>44508</v>
      </c>
      <c r="C262" s="1" t="n">
        <v>45669</v>
      </c>
      <c r="D262" t="inlineStr">
        <is>
          <t>NORRBOTTENS LÄN</t>
        </is>
      </c>
      <c r="E262" t="inlineStr">
        <is>
          <t>ÖVERTORNEÅ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63351-2021</t>
        </is>
      </c>
      <c r="B263" s="1" t="n">
        <v>44508</v>
      </c>
      <c r="C263" s="1" t="n">
        <v>45669</v>
      </c>
      <c r="D263" t="inlineStr">
        <is>
          <t>NORRBOTTENS LÄN</t>
        </is>
      </c>
      <c r="E263" t="inlineStr">
        <is>
          <t>ÖVERTORNEÅ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63735-2021</t>
        </is>
      </c>
      <c r="B264" s="1" t="n">
        <v>44508</v>
      </c>
      <c r="C264" s="1" t="n">
        <v>45669</v>
      </c>
      <c r="D264" t="inlineStr">
        <is>
          <t>NORRBOTTENS LÄN</t>
        </is>
      </c>
      <c r="E264" t="inlineStr">
        <is>
          <t>ÖVERTORNEÅ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63738-2021</t>
        </is>
      </c>
      <c r="B265" s="1" t="n">
        <v>44508</v>
      </c>
      <c r="C265" s="1" t="n">
        <v>45669</v>
      </c>
      <c r="D265" t="inlineStr">
        <is>
          <t>NORRBOTTENS LÄN</t>
        </is>
      </c>
      <c r="E265" t="inlineStr">
        <is>
          <t>ÖVERTORNEÅ</t>
        </is>
      </c>
      <c r="G265" t="n">
        <v>10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65110-2021</t>
        </is>
      </c>
      <c r="B266" s="1" t="n">
        <v>44515</v>
      </c>
      <c r="C266" s="1" t="n">
        <v>45669</v>
      </c>
      <c r="D266" t="inlineStr">
        <is>
          <t>NORRBOTTENS LÄN</t>
        </is>
      </c>
      <c r="E266" t="inlineStr">
        <is>
          <t>ÖVERTORNEÅ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66737-2021</t>
        </is>
      </c>
      <c r="B267" s="1" t="n">
        <v>44520</v>
      </c>
      <c r="C267" s="1" t="n">
        <v>45669</v>
      </c>
      <c r="D267" t="inlineStr">
        <is>
          <t>NORRBOTTENS LÄN</t>
        </is>
      </c>
      <c r="E267" t="inlineStr">
        <is>
          <t>ÖVERTORNEÅ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66775-2021</t>
        </is>
      </c>
      <c r="B268" s="1" t="n">
        <v>44522</v>
      </c>
      <c r="C268" s="1" t="n">
        <v>45669</v>
      </c>
      <c r="D268" t="inlineStr">
        <is>
          <t>NORRBOTTENS LÄN</t>
        </is>
      </c>
      <c r="E268" t="inlineStr">
        <is>
          <t>ÖVERTORNEÅ</t>
        </is>
      </c>
      <c r="G268" t="n">
        <v>15.1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68764-2021</t>
        </is>
      </c>
      <c r="B269" s="1" t="n">
        <v>44529</v>
      </c>
      <c r="C269" s="1" t="n">
        <v>45669</v>
      </c>
      <c r="D269" t="inlineStr">
        <is>
          <t>NORRBOTTENS LÄN</t>
        </is>
      </c>
      <c r="E269" t="inlineStr">
        <is>
          <t>ÖVERTORNEÅ</t>
        </is>
      </c>
      <c r="G269" t="n">
        <v>19.2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69402-2021</t>
        </is>
      </c>
      <c r="B270" s="1" t="n">
        <v>44531</v>
      </c>
      <c r="C270" s="1" t="n">
        <v>45669</v>
      </c>
      <c r="D270" t="inlineStr">
        <is>
          <t>NORRBOTTENS LÄN</t>
        </is>
      </c>
      <c r="E270" t="inlineStr">
        <is>
          <t>ÖVERTORNEÅ</t>
        </is>
      </c>
      <c r="F270" t="inlineStr">
        <is>
          <t>Sveaskog</t>
        </is>
      </c>
      <c r="G270" t="n">
        <v>21.1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69898-2021</t>
        </is>
      </c>
      <c r="B271" s="1" t="n">
        <v>44532</v>
      </c>
      <c r="C271" s="1" t="n">
        <v>45669</v>
      </c>
      <c r="D271" t="inlineStr">
        <is>
          <t>NORRBOTTENS LÄN</t>
        </is>
      </c>
      <c r="E271" t="inlineStr">
        <is>
          <t>ÖVERTORNEÅ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70415-2021</t>
        </is>
      </c>
      <c r="B272" s="1" t="n">
        <v>44536</v>
      </c>
      <c r="C272" s="1" t="n">
        <v>45669</v>
      </c>
      <c r="D272" t="inlineStr">
        <is>
          <t>NORRBOTTENS LÄN</t>
        </is>
      </c>
      <c r="E272" t="inlineStr">
        <is>
          <t>ÖVERTORNEÅ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70413-2021</t>
        </is>
      </c>
      <c r="B273" s="1" t="n">
        <v>44536</v>
      </c>
      <c r="C273" s="1" t="n">
        <v>45669</v>
      </c>
      <c r="D273" t="inlineStr">
        <is>
          <t>NORRBOTTENS LÄN</t>
        </is>
      </c>
      <c r="E273" t="inlineStr">
        <is>
          <t>ÖVERTORNEÅ</t>
        </is>
      </c>
      <c r="G273" t="n">
        <v>11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70617-2021</t>
        </is>
      </c>
      <c r="B274" s="1" t="n">
        <v>44537</v>
      </c>
      <c r="C274" s="1" t="n">
        <v>45669</v>
      </c>
      <c r="D274" t="inlineStr">
        <is>
          <t>NORRBOTTENS LÄN</t>
        </is>
      </c>
      <c r="E274" t="inlineStr">
        <is>
          <t>ÖVERTORNEÅ</t>
        </is>
      </c>
      <c r="F274" t="inlineStr">
        <is>
          <t>Kyrkan</t>
        </is>
      </c>
      <c r="G274" t="n">
        <v>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71381-2021</t>
        </is>
      </c>
      <c r="B275" s="1" t="n">
        <v>44538</v>
      </c>
      <c r="C275" s="1" t="n">
        <v>45669</v>
      </c>
      <c r="D275" t="inlineStr">
        <is>
          <t>NORRBOTTENS LÄN</t>
        </is>
      </c>
      <c r="E275" t="inlineStr">
        <is>
          <t>ÖVERTORNEÅ</t>
        </is>
      </c>
      <c r="G275" t="n">
        <v>6.2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72442-2021</t>
        </is>
      </c>
      <c r="B276" s="1" t="n">
        <v>44544</v>
      </c>
      <c r="C276" s="1" t="n">
        <v>45669</v>
      </c>
      <c r="D276" t="inlineStr">
        <is>
          <t>NORRBOTTENS LÄN</t>
        </is>
      </c>
      <c r="E276" t="inlineStr">
        <is>
          <t>ÖVERTORNEÅ</t>
        </is>
      </c>
      <c r="G276" t="n">
        <v>12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72299-2021</t>
        </is>
      </c>
      <c r="B277" s="1" t="n">
        <v>44545</v>
      </c>
      <c r="C277" s="1" t="n">
        <v>45669</v>
      </c>
      <c r="D277" t="inlineStr">
        <is>
          <t>NORRBOTTENS LÄN</t>
        </is>
      </c>
      <c r="E277" t="inlineStr">
        <is>
          <t>ÖVERTORNEÅ</t>
        </is>
      </c>
      <c r="F277" t="inlineStr">
        <is>
          <t>Sveaskog</t>
        </is>
      </c>
      <c r="G277" t="n">
        <v>5.7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73605-2021</t>
        </is>
      </c>
      <c r="B278" s="1" t="n">
        <v>44551</v>
      </c>
      <c r="C278" s="1" t="n">
        <v>45669</v>
      </c>
      <c r="D278" t="inlineStr">
        <is>
          <t>NORRBOTTENS LÄN</t>
        </is>
      </c>
      <c r="E278" t="inlineStr">
        <is>
          <t>ÖVERTORNEÅ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73603-2021</t>
        </is>
      </c>
      <c r="B279" s="1" t="n">
        <v>44551</v>
      </c>
      <c r="C279" s="1" t="n">
        <v>45669</v>
      </c>
      <c r="D279" t="inlineStr">
        <is>
          <t>NORRBOTTENS LÄN</t>
        </is>
      </c>
      <c r="E279" t="inlineStr">
        <is>
          <t>ÖVERTORNEÅ</t>
        </is>
      </c>
      <c r="G279" t="n">
        <v>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74231-2021</t>
        </is>
      </c>
      <c r="B280" s="1" t="n">
        <v>44553</v>
      </c>
      <c r="C280" s="1" t="n">
        <v>45669</v>
      </c>
      <c r="D280" t="inlineStr">
        <is>
          <t>NORRBOTTENS LÄN</t>
        </is>
      </c>
      <c r="E280" t="inlineStr">
        <is>
          <t>ÖVERTORNEÅ</t>
        </is>
      </c>
      <c r="G280" t="n">
        <v>5.5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74228-2021</t>
        </is>
      </c>
      <c r="B281" s="1" t="n">
        <v>44553</v>
      </c>
      <c r="C281" s="1" t="n">
        <v>45669</v>
      </c>
      <c r="D281" t="inlineStr">
        <is>
          <t>NORRBOTTENS LÄN</t>
        </is>
      </c>
      <c r="E281" t="inlineStr">
        <is>
          <t>ÖVERTORNEÅ</t>
        </is>
      </c>
      <c r="G281" t="n">
        <v>27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74232-2021</t>
        </is>
      </c>
      <c r="B282" s="1" t="n">
        <v>44553</v>
      </c>
      <c r="C282" s="1" t="n">
        <v>45669</v>
      </c>
      <c r="D282" t="inlineStr">
        <is>
          <t>NORRBOTTENS LÄN</t>
        </is>
      </c>
      <c r="E282" t="inlineStr">
        <is>
          <t>ÖVERTORNEÅ</t>
        </is>
      </c>
      <c r="G282" t="n">
        <v>8.4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74235-2021</t>
        </is>
      </c>
      <c r="B283" s="1" t="n">
        <v>44553</v>
      </c>
      <c r="C283" s="1" t="n">
        <v>45669</v>
      </c>
      <c r="D283" t="inlineStr">
        <is>
          <t>NORRBOTTENS LÄN</t>
        </is>
      </c>
      <c r="E283" t="inlineStr">
        <is>
          <t>ÖVERTORNEÅ</t>
        </is>
      </c>
      <c r="G283" t="n">
        <v>6.7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74057-2021</t>
        </is>
      </c>
      <c r="B284" s="1" t="n">
        <v>44557</v>
      </c>
      <c r="C284" s="1" t="n">
        <v>45669</v>
      </c>
      <c r="D284" t="inlineStr">
        <is>
          <t>NORRBOTTENS LÄN</t>
        </is>
      </c>
      <c r="E284" t="inlineStr">
        <is>
          <t>ÖVERTORNEÅ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74158-2021</t>
        </is>
      </c>
      <c r="B285" s="1" t="n">
        <v>44557</v>
      </c>
      <c r="C285" s="1" t="n">
        <v>45669</v>
      </c>
      <c r="D285" t="inlineStr">
        <is>
          <t>NORRBOTTENS LÄN</t>
        </is>
      </c>
      <c r="E285" t="inlineStr">
        <is>
          <t>ÖVERTORNEÅ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74163-2021</t>
        </is>
      </c>
      <c r="B286" s="1" t="n">
        <v>44557</v>
      </c>
      <c r="C286" s="1" t="n">
        <v>45669</v>
      </c>
      <c r="D286" t="inlineStr">
        <is>
          <t>NORRBOTTENS LÄN</t>
        </is>
      </c>
      <c r="E286" t="inlineStr">
        <is>
          <t>ÖVERTORNEÅ</t>
        </is>
      </c>
      <c r="G286" t="n">
        <v>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313-2022</t>
        </is>
      </c>
      <c r="B287" s="1" t="n">
        <v>44564</v>
      </c>
      <c r="C287" s="1" t="n">
        <v>45669</v>
      </c>
      <c r="D287" t="inlineStr">
        <is>
          <t>NORRBOTTENS LÄN</t>
        </is>
      </c>
      <c r="E287" t="inlineStr">
        <is>
          <t>ÖVERTORNEÅ</t>
        </is>
      </c>
      <c r="G287" t="n">
        <v>13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1091-2022</t>
        </is>
      </c>
      <c r="B288" s="1" t="n">
        <v>44571</v>
      </c>
      <c r="C288" s="1" t="n">
        <v>45669</v>
      </c>
      <c r="D288" t="inlineStr">
        <is>
          <t>NORRBOTTENS LÄN</t>
        </is>
      </c>
      <c r="E288" t="inlineStr">
        <is>
          <t>ÖVERTORNEÅ</t>
        </is>
      </c>
      <c r="G288" t="n">
        <v>10.7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1092-2022</t>
        </is>
      </c>
      <c r="B289" s="1" t="n">
        <v>44571</v>
      </c>
      <c r="C289" s="1" t="n">
        <v>45669</v>
      </c>
      <c r="D289" t="inlineStr">
        <is>
          <t>NORRBOTTENS LÄN</t>
        </is>
      </c>
      <c r="E289" t="inlineStr">
        <is>
          <t>ÖVERTORNEÅ</t>
        </is>
      </c>
      <c r="G289" t="n">
        <v>23.5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1206-2022</t>
        </is>
      </c>
      <c r="B290" s="1" t="n">
        <v>44572</v>
      </c>
      <c r="C290" s="1" t="n">
        <v>45669</v>
      </c>
      <c r="D290" t="inlineStr">
        <is>
          <t>NORRBOTTENS LÄN</t>
        </is>
      </c>
      <c r="E290" t="inlineStr">
        <is>
          <t>ÖVERTORNEÅ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3010-2022</t>
        </is>
      </c>
      <c r="B291" s="1" t="n">
        <v>44581</v>
      </c>
      <c r="C291" s="1" t="n">
        <v>45669</v>
      </c>
      <c r="D291" t="inlineStr">
        <is>
          <t>NORRBOTTENS LÄN</t>
        </is>
      </c>
      <c r="E291" t="inlineStr">
        <is>
          <t>ÖVERTORNEÅ</t>
        </is>
      </c>
      <c r="G291" t="n">
        <v>2.6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3416-2022</t>
        </is>
      </c>
      <c r="B292" s="1" t="n">
        <v>44585</v>
      </c>
      <c r="C292" s="1" t="n">
        <v>45669</v>
      </c>
      <c r="D292" t="inlineStr">
        <is>
          <t>NORRBOTTENS LÄN</t>
        </is>
      </c>
      <c r="E292" t="inlineStr">
        <is>
          <t>ÖVERTORNEÅ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3431-2022</t>
        </is>
      </c>
      <c r="B293" s="1" t="n">
        <v>44585</v>
      </c>
      <c r="C293" s="1" t="n">
        <v>45669</v>
      </c>
      <c r="D293" t="inlineStr">
        <is>
          <t>NORRBOTTENS LÄN</t>
        </is>
      </c>
      <c r="E293" t="inlineStr">
        <is>
          <t>ÖVERTORNEÅ</t>
        </is>
      </c>
      <c r="G293" t="n">
        <v>11.2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3389-2022</t>
        </is>
      </c>
      <c r="B294" s="1" t="n">
        <v>44585</v>
      </c>
      <c r="C294" s="1" t="n">
        <v>45669</v>
      </c>
      <c r="D294" t="inlineStr">
        <is>
          <t>NORRBOTTENS LÄN</t>
        </is>
      </c>
      <c r="E294" t="inlineStr">
        <is>
          <t>ÖVERTORNEÅ</t>
        </is>
      </c>
      <c r="G294" t="n">
        <v>3.1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4012-2022</t>
        </is>
      </c>
      <c r="B295" s="1" t="n">
        <v>44587</v>
      </c>
      <c r="C295" s="1" t="n">
        <v>45669</v>
      </c>
      <c r="D295" t="inlineStr">
        <is>
          <t>NORRBOTTENS LÄN</t>
        </is>
      </c>
      <c r="E295" t="inlineStr">
        <is>
          <t>ÖVERTORNEÅ</t>
        </is>
      </c>
      <c r="F295" t="inlineStr">
        <is>
          <t>Kommuner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4011-2022</t>
        </is>
      </c>
      <c r="B296" s="1" t="n">
        <v>44587</v>
      </c>
      <c r="C296" s="1" t="n">
        <v>45669</v>
      </c>
      <c r="D296" t="inlineStr">
        <is>
          <t>NORRBOTTENS LÄN</t>
        </is>
      </c>
      <c r="E296" t="inlineStr">
        <is>
          <t>ÖVERTORNEÅ</t>
        </is>
      </c>
      <c r="F296" t="inlineStr">
        <is>
          <t>Kommuner</t>
        </is>
      </c>
      <c r="G296" t="n">
        <v>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4512-2022</t>
        </is>
      </c>
      <c r="B297" s="1" t="n">
        <v>44589</v>
      </c>
      <c r="C297" s="1" t="n">
        <v>45669</v>
      </c>
      <c r="D297" t="inlineStr">
        <is>
          <t>NORRBOTTENS LÄN</t>
        </is>
      </c>
      <c r="E297" t="inlineStr">
        <is>
          <t>ÖVERTORNEÅ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4515-2022</t>
        </is>
      </c>
      <c r="B298" s="1" t="n">
        <v>44589</v>
      </c>
      <c r="C298" s="1" t="n">
        <v>45669</v>
      </c>
      <c r="D298" t="inlineStr">
        <is>
          <t>NORRBOTTENS LÄN</t>
        </is>
      </c>
      <c r="E298" t="inlineStr">
        <is>
          <t>ÖVERTORNEÅ</t>
        </is>
      </c>
      <c r="G298" t="n">
        <v>5.1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4514-2022</t>
        </is>
      </c>
      <c r="B299" s="1" t="n">
        <v>44589</v>
      </c>
      <c r="C299" s="1" t="n">
        <v>45669</v>
      </c>
      <c r="D299" t="inlineStr">
        <is>
          <t>NORRBOTTENS LÄN</t>
        </is>
      </c>
      <c r="E299" t="inlineStr">
        <is>
          <t>ÖVERTORNEÅ</t>
        </is>
      </c>
      <c r="G299" t="n">
        <v>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4513-2022</t>
        </is>
      </c>
      <c r="B300" s="1" t="n">
        <v>44589</v>
      </c>
      <c r="C300" s="1" t="n">
        <v>45669</v>
      </c>
      <c r="D300" t="inlineStr">
        <is>
          <t>NORRBOTTENS LÄN</t>
        </is>
      </c>
      <c r="E300" t="inlineStr">
        <is>
          <t>ÖVERTORNEÅ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6593-2022</t>
        </is>
      </c>
      <c r="B301" s="1" t="n">
        <v>44601</v>
      </c>
      <c r="C301" s="1" t="n">
        <v>45669</v>
      </c>
      <c r="D301" t="inlineStr">
        <is>
          <t>NORRBOTTENS LÄN</t>
        </is>
      </c>
      <c r="E301" t="inlineStr">
        <is>
          <t>ÖVERTORNEÅ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11831-2022</t>
        </is>
      </c>
      <c r="B302" s="1" t="n">
        <v>44634</v>
      </c>
      <c r="C302" s="1" t="n">
        <v>45669</v>
      </c>
      <c r="D302" t="inlineStr">
        <is>
          <t>NORRBOTTENS LÄN</t>
        </is>
      </c>
      <c r="E302" t="inlineStr">
        <is>
          <t>ÖVERTORNEÅ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11830-2022</t>
        </is>
      </c>
      <c r="B303" s="1" t="n">
        <v>44634</v>
      </c>
      <c r="C303" s="1" t="n">
        <v>45669</v>
      </c>
      <c r="D303" t="inlineStr">
        <is>
          <t>NORRBOTTENS LÄN</t>
        </is>
      </c>
      <c r="E303" t="inlineStr">
        <is>
          <t>ÖVERTORNEÅ</t>
        </is>
      </c>
      <c r="G303" t="n">
        <v>7.1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12004-2022</t>
        </is>
      </c>
      <c r="B304" s="1" t="n">
        <v>44635</v>
      </c>
      <c r="C304" s="1" t="n">
        <v>45669</v>
      </c>
      <c r="D304" t="inlineStr">
        <is>
          <t>NORRBOTTENS LÄN</t>
        </is>
      </c>
      <c r="E304" t="inlineStr">
        <is>
          <t>ÖVERTORNEÅ</t>
        </is>
      </c>
      <c r="G304" t="n">
        <v>17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12005-2022</t>
        </is>
      </c>
      <c r="B305" s="1" t="n">
        <v>44635</v>
      </c>
      <c r="C305" s="1" t="n">
        <v>45669</v>
      </c>
      <c r="D305" t="inlineStr">
        <is>
          <t>NORRBOTTENS LÄN</t>
        </is>
      </c>
      <c r="E305" t="inlineStr">
        <is>
          <t>ÖVERTORNEÅ</t>
        </is>
      </c>
      <c r="G305" t="n">
        <v>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15494-2022</t>
        </is>
      </c>
      <c r="B306" s="1" t="n">
        <v>44662</v>
      </c>
      <c r="C306" s="1" t="n">
        <v>45669</v>
      </c>
      <c r="D306" t="inlineStr">
        <is>
          <t>NORRBOTTENS LÄN</t>
        </is>
      </c>
      <c r="E306" t="inlineStr">
        <is>
          <t>ÖVERTORNEÅ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15495-2022</t>
        </is>
      </c>
      <c r="B307" s="1" t="n">
        <v>44662</v>
      </c>
      <c r="C307" s="1" t="n">
        <v>45669</v>
      </c>
      <c r="D307" t="inlineStr">
        <is>
          <t>NORRBOTTENS LÄN</t>
        </is>
      </c>
      <c r="E307" t="inlineStr">
        <is>
          <t>ÖVERTORNEÅ</t>
        </is>
      </c>
      <c r="G307" t="n">
        <v>5.8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15500-2022</t>
        </is>
      </c>
      <c r="B308" s="1" t="n">
        <v>44662</v>
      </c>
      <c r="C308" s="1" t="n">
        <v>45669</v>
      </c>
      <c r="D308" t="inlineStr">
        <is>
          <t>NORRBOTTENS LÄN</t>
        </is>
      </c>
      <c r="E308" t="inlineStr">
        <is>
          <t>ÖVERTORNEÅ</t>
        </is>
      </c>
      <c r="G308" t="n">
        <v>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16471-2022</t>
        </is>
      </c>
      <c r="B309" s="1" t="n">
        <v>44671</v>
      </c>
      <c r="C309" s="1" t="n">
        <v>45669</v>
      </c>
      <c r="D309" t="inlineStr">
        <is>
          <t>NORRBOTTENS LÄN</t>
        </is>
      </c>
      <c r="E309" t="inlineStr">
        <is>
          <t>ÖVERTORNEÅ</t>
        </is>
      </c>
      <c r="G309" t="n">
        <v>4.2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16566-2022</t>
        </is>
      </c>
      <c r="B310" s="1" t="n">
        <v>44672</v>
      </c>
      <c r="C310" s="1" t="n">
        <v>45669</v>
      </c>
      <c r="D310" t="inlineStr">
        <is>
          <t>NORRBOTTENS LÄN</t>
        </is>
      </c>
      <c r="E310" t="inlineStr">
        <is>
          <t>ÖVERTORNEÅ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16561-2022</t>
        </is>
      </c>
      <c r="B311" s="1" t="n">
        <v>44672</v>
      </c>
      <c r="C311" s="1" t="n">
        <v>45669</v>
      </c>
      <c r="D311" t="inlineStr">
        <is>
          <t>NORRBOTTENS LÄN</t>
        </is>
      </c>
      <c r="E311" t="inlineStr">
        <is>
          <t>ÖVERTORNEÅ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17928-2022</t>
        </is>
      </c>
      <c r="B312" s="1" t="n">
        <v>44683</v>
      </c>
      <c r="C312" s="1" t="n">
        <v>45669</v>
      </c>
      <c r="D312" t="inlineStr">
        <is>
          <t>NORRBOTTENS LÄN</t>
        </is>
      </c>
      <c r="E312" t="inlineStr">
        <is>
          <t>ÖVERTORNEÅ</t>
        </is>
      </c>
      <c r="F312" t="inlineStr">
        <is>
          <t>Sveaskog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18698-2022</t>
        </is>
      </c>
      <c r="B313" s="1" t="n">
        <v>44687</v>
      </c>
      <c r="C313" s="1" t="n">
        <v>45669</v>
      </c>
      <c r="D313" t="inlineStr">
        <is>
          <t>NORRBOTTENS LÄN</t>
        </is>
      </c>
      <c r="E313" t="inlineStr">
        <is>
          <t>ÖVERTORNEÅ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18879-2022</t>
        </is>
      </c>
      <c r="B314" s="1" t="n">
        <v>44690</v>
      </c>
      <c r="C314" s="1" t="n">
        <v>45669</v>
      </c>
      <c r="D314" t="inlineStr">
        <is>
          <t>NORRBOTTENS LÄN</t>
        </is>
      </c>
      <c r="E314" t="inlineStr">
        <is>
          <t>ÖVERTORNEÅ</t>
        </is>
      </c>
      <c r="G314" t="n">
        <v>14.6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19247-2022</t>
        </is>
      </c>
      <c r="B315" s="1" t="n">
        <v>44692</v>
      </c>
      <c r="C315" s="1" t="n">
        <v>45669</v>
      </c>
      <c r="D315" t="inlineStr">
        <is>
          <t>NORRBOTTENS LÄN</t>
        </is>
      </c>
      <c r="E315" t="inlineStr">
        <is>
          <t>ÖVERTORNEÅ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19257-2022</t>
        </is>
      </c>
      <c r="B316" s="1" t="n">
        <v>44692</v>
      </c>
      <c r="C316" s="1" t="n">
        <v>45669</v>
      </c>
      <c r="D316" t="inlineStr">
        <is>
          <t>NORRBOTTENS LÄN</t>
        </is>
      </c>
      <c r="E316" t="inlineStr">
        <is>
          <t>ÖVERTORNEÅ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19358-2022</t>
        </is>
      </c>
      <c r="B317" s="1" t="n">
        <v>44692</v>
      </c>
      <c r="C317" s="1" t="n">
        <v>45669</v>
      </c>
      <c r="D317" t="inlineStr">
        <is>
          <t>NORRBOTTENS LÄN</t>
        </is>
      </c>
      <c r="E317" t="inlineStr">
        <is>
          <t>ÖVERTORNEÅ</t>
        </is>
      </c>
      <c r="F317" t="inlineStr">
        <is>
          <t>Sveaskog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21262-2022</t>
        </is>
      </c>
      <c r="B318" s="1" t="n">
        <v>44705</v>
      </c>
      <c r="C318" s="1" t="n">
        <v>45669</v>
      </c>
      <c r="D318" t="inlineStr">
        <is>
          <t>NORRBOTTENS LÄN</t>
        </is>
      </c>
      <c r="E318" t="inlineStr">
        <is>
          <t>ÖVERTORNEÅ</t>
        </is>
      </c>
      <c r="G318" t="n">
        <v>6.7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22942-2022</t>
        </is>
      </c>
      <c r="B319" s="1" t="n">
        <v>44715</v>
      </c>
      <c r="C319" s="1" t="n">
        <v>45669</v>
      </c>
      <c r="D319" t="inlineStr">
        <is>
          <t>NORRBOTTENS LÄN</t>
        </is>
      </c>
      <c r="E319" t="inlineStr">
        <is>
          <t>ÖVERTORNEÅ</t>
        </is>
      </c>
      <c r="F319" t="inlineStr">
        <is>
          <t>Sveaskog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24765-2022</t>
        </is>
      </c>
      <c r="B320" s="1" t="n">
        <v>44728</v>
      </c>
      <c r="C320" s="1" t="n">
        <v>45669</v>
      </c>
      <c r="D320" t="inlineStr">
        <is>
          <t>NORRBOTTENS LÄN</t>
        </is>
      </c>
      <c r="E320" t="inlineStr">
        <is>
          <t>ÖVERTORNEÅ</t>
        </is>
      </c>
      <c r="G320" t="n">
        <v>2.8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24929-2022</t>
        </is>
      </c>
      <c r="B321" s="1" t="n">
        <v>44728</v>
      </c>
      <c r="C321" s="1" t="n">
        <v>45669</v>
      </c>
      <c r="D321" t="inlineStr">
        <is>
          <t>NORRBOTTENS LÄN</t>
        </is>
      </c>
      <c r="E321" t="inlineStr">
        <is>
          <t>ÖVERTORNEÅ</t>
        </is>
      </c>
      <c r="F321" t="inlineStr">
        <is>
          <t>Sveaskog</t>
        </is>
      </c>
      <c r="G321" t="n">
        <v>5.3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24924-2022</t>
        </is>
      </c>
      <c r="B322" s="1" t="n">
        <v>44728</v>
      </c>
      <c r="C322" s="1" t="n">
        <v>45669</v>
      </c>
      <c r="D322" t="inlineStr">
        <is>
          <t>NORRBOTTENS LÄN</t>
        </is>
      </c>
      <c r="E322" t="inlineStr">
        <is>
          <t>ÖVERTORNEÅ</t>
        </is>
      </c>
      <c r="F322" t="inlineStr">
        <is>
          <t>Sveaskog</t>
        </is>
      </c>
      <c r="G322" t="n">
        <v>5.3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25149-2022</t>
        </is>
      </c>
      <c r="B323" s="1" t="n">
        <v>44729</v>
      </c>
      <c r="C323" s="1" t="n">
        <v>45669</v>
      </c>
      <c r="D323" t="inlineStr">
        <is>
          <t>NORRBOTTENS LÄN</t>
        </is>
      </c>
      <c r="E323" t="inlineStr">
        <is>
          <t>ÖVERTORNEÅ</t>
        </is>
      </c>
      <c r="G323" t="n">
        <v>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25695-2022</t>
        </is>
      </c>
      <c r="B324" s="1" t="n">
        <v>44733</v>
      </c>
      <c r="C324" s="1" t="n">
        <v>45669</v>
      </c>
      <c r="D324" t="inlineStr">
        <is>
          <t>NORRBOTTENS LÄN</t>
        </is>
      </c>
      <c r="E324" t="inlineStr">
        <is>
          <t>ÖVERTORNEÅ</t>
        </is>
      </c>
      <c r="F324" t="inlineStr">
        <is>
          <t>Sveaskog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27300-2022</t>
        </is>
      </c>
      <c r="B325" s="1" t="n">
        <v>44742</v>
      </c>
      <c r="C325" s="1" t="n">
        <v>45669</v>
      </c>
      <c r="D325" t="inlineStr">
        <is>
          <t>NORRBOTTENS LÄN</t>
        </is>
      </c>
      <c r="E325" t="inlineStr">
        <is>
          <t>ÖVERTORNEÅ</t>
        </is>
      </c>
      <c r="F325" t="inlineStr">
        <is>
          <t>Sveaskog</t>
        </is>
      </c>
      <c r="G325" t="n">
        <v>2.9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28651-2022</t>
        </is>
      </c>
      <c r="B326" s="1" t="n">
        <v>44748</v>
      </c>
      <c r="C326" s="1" t="n">
        <v>45669</v>
      </c>
      <c r="D326" t="inlineStr">
        <is>
          <t>NORRBOTTENS LÄN</t>
        </is>
      </c>
      <c r="E326" t="inlineStr">
        <is>
          <t>ÖVERTORNEÅ</t>
        </is>
      </c>
      <c r="G326" t="n">
        <v>4.8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28658-2022</t>
        </is>
      </c>
      <c r="B327" s="1" t="n">
        <v>44748</v>
      </c>
      <c r="C327" s="1" t="n">
        <v>45669</v>
      </c>
      <c r="D327" t="inlineStr">
        <is>
          <t>NORRBOTTENS LÄN</t>
        </is>
      </c>
      <c r="E327" t="inlineStr">
        <is>
          <t>ÖVERTORNEÅ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28812-2022</t>
        </is>
      </c>
      <c r="B328" s="1" t="n">
        <v>44749</v>
      </c>
      <c r="C328" s="1" t="n">
        <v>45669</v>
      </c>
      <c r="D328" t="inlineStr">
        <is>
          <t>NORRBOTTENS LÄN</t>
        </is>
      </c>
      <c r="E328" t="inlineStr">
        <is>
          <t>ÖVERTORNEÅ</t>
        </is>
      </c>
      <c r="F328" t="inlineStr">
        <is>
          <t>Sveaskog</t>
        </is>
      </c>
      <c r="G328" t="n">
        <v>22.3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30114-2022</t>
        </is>
      </c>
      <c r="B329" s="1" t="n">
        <v>44757</v>
      </c>
      <c r="C329" s="1" t="n">
        <v>45669</v>
      </c>
      <c r="D329" t="inlineStr">
        <is>
          <t>NORRBOTTENS LÄN</t>
        </is>
      </c>
      <c r="E329" t="inlineStr">
        <is>
          <t>ÖVERTORNEÅ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31145-2022</t>
        </is>
      </c>
      <c r="B330" s="1" t="n">
        <v>44770</v>
      </c>
      <c r="C330" s="1" t="n">
        <v>45669</v>
      </c>
      <c r="D330" t="inlineStr">
        <is>
          <t>NORRBOTTENS LÄN</t>
        </is>
      </c>
      <c r="E330" t="inlineStr">
        <is>
          <t>ÖVERTORNEÅ</t>
        </is>
      </c>
      <c r="G330" t="n">
        <v>4.3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31774-2022</t>
        </is>
      </c>
      <c r="B331" s="1" t="n">
        <v>44776</v>
      </c>
      <c r="C331" s="1" t="n">
        <v>45669</v>
      </c>
      <c r="D331" t="inlineStr">
        <is>
          <t>NORRBOTTENS LÄN</t>
        </is>
      </c>
      <c r="E331" t="inlineStr">
        <is>
          <t>ÖVERTORNEÅ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32314-2022</t>
        </is>
      </c>
      <c r="B332" s="1" t="n">
        <v>44781</v>
      </c>
      <c r="C332" s="1" t="n">
        <v>45669</v>
      </c>
      <c r="D332" t="inlineStr">
        <is>
          <t>NORRBOTTENS LÄN</t>
        </is>
      </c>
      <c r="E332" t="inlineStr">
        <is>
          <t>ÖVERTORNEÅ</t>
        </is>
      </c>
      <c r="G332" t="n">
        <v>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33094-2022</t>
        </is>
      </c>
      <c r="B333" s="1" t="n">
        <v>44785</v>
      </c>
      <c r="C333" s="1" t="n">
        <v>45669</v>
      </c>
      <c r="D333" t="inlineStr">
        <is>
          <t>NORRBOTTENS LÄN</t>
        </is>
      </c>
      <c r="E333" t="inlineStr">
        <is>
          <t>ÖVERTORNEÅ</t>
        </is>
      </c>
      <c r="F333" t="inlineStr">
        <is>
          <t>Sveaskog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33084-2022</t>
        </is>
      </c>
      <c r="B334" s="1" t="n">
        <v>44785</v>
      </c>
      <c r="C334" s="1" t="n">
        <v>45669</v>
      </c>
      <c r="D334" t="inlineStr">
        <is>
          <t>NORRBOTTENS LÄN</t>
        </is>
      </c>
      <c r="E334" t="inlineStr">
        <is>
          <t>ÖVERTORNEÅ</t>
        </is>
      </c>
      <c r="F334" t="inlineStr">
        <is>
          <t>Sveaskog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33092-2022</t>
        </is>
      </c>
      <c r="B335" s="1" t="n">
        <v>44785</v>
      </c>
      <c r="C335" s="1" t="n">
        <v>45669</v>
      </c>
      <c r="D335" t="inlineStr">
        <is>
          <t>NORRBOTTENS LÄN</t>
        </is>
      </c>
      <c r="E335" t="inlineStr">
        <is>
          <t>ÖVERTORNEÅ</t>
        </is>
      </c>
      <c r="F335" t="inlineStr">
        <is>
          <t>Sveaskog</t>
        </is>
      </c>
      <c r="G335" t="n">
        <v>6.4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33097-2022</t>
        </is>
      </c>
      <c r="B336" s="1" t="n">
        <v>44785</v>
      </c>
      <c r="C336" s="1" t="n">
        <v>45669</v>
      </c>
      <c r="D336" t="inlineStr">
        <is>
          <t>NORRBOTTENS LÄN</t>
        </is>
      </c>
      <c r="E336" t="inlineStr">
        <is>
          <t>ÖVERTORNEÅ</t>
        </is>
      </c>
      <c r="F336" t="inlineStr">
        <is>
          <t>Sveaskog</t>
        </is>
      </c>
      <c r="G336" t="n">
        <v>3.1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33415-2022</t>
        </is>
      </c>
      <c r="B337" s="1" t="n">
        <v>44788</v>
      </c>
      <c r="C337" s="1" t="n">
        <v>45669</v>
      </c>
      <c r="D337" t="inlineStr">
        <is>
          <t>NORRBOTTENS LÄN</t>
        </is>
      </c>
      <c r="E337" t="inlineStr">
        <is>
          <t>ÖVERTORNEÅ</t>
        </is>
      </c>
      <c r="F337" t="inlineStr">
        <is>
          <t>Sveaskog</t>
        </is>
      </c>
      <c r="G337" t="n">
        <v>5.7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33523-2022</t>
        </is>
      </c>
      <c r="B338" s="1" t="n">
        <v>44789</v>
      </c>
      <c r="C338" s="1" t="n">
        <v>45669</v>
      </c>
      <c r="D338" t="inlineStr">
        <is>
          <t>NORRBOTTENS LÄN</t>
        </is>
      </c>
      <c r="E338" t="inlineStr">
        <is>
          <t>ÖVERTORNEÅ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34875-2022</t>
        </is>
      </c>
      <c r="B339" s="1" t="n">
        <v>44796</v>
      </c>
      <c r="C339" s="1" t="n">
        <v>45669</v>
      </c>
      <c r="D339" t="inlineStr">
        <is>
          <t>NORRBOTTENS LÄN</t>
        </is>
      </c>
      <c r="E339" t="inlineStr">
        <is>
          <t>ÖVERTORNEÅ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35218-2022</t>
        </is>
      </c>
      <c r="B340" s="1" t="n">
        <v>44798</v>
      </c>
      <c r="C340" s="1" t="n">
        <v>45669</v>
      </c>
      <c r="D340" t="inlineStr">
        <is>
          <t>NORRBOTTENS LÄN</t>
        </is>
      </c>
      <c r="E340" t="inlineStr">
        <is>
          <t>ÖVERTORNEÅ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35220-2022</t>
        </is>
      </c>
      <c r="B341" s="1" t="n">
        <v>44798</v>
      </c>
      <c r="C341" s="1" t="n">
        <v>45669</v>
      </c>
      <c r="D341" t="inlineStr">
        <is>
          <t>NORRBOTTENS LÄN</t>
        </is>
      </c>
      <c r="E341" t="inlineStr">
        <is>
          <t>ÖVERTORNEÅ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35546-2022</t>
        </is>
      </c>
      <c r="B342" s="1" t="n">
        <v>44799</v>
      </c>
      <c r="C342" s="1" t="n">
        <v>45669</v>
      </c>
      <c r="D342" t="inlineStr">
        <is>
          <t>NORRBOTTENS LÄN</t>
        </is>
      </c>
      <c r="E342" t="inlineStr">
        <is>
          <t>ÖVERTORNEÅ</t>
        </is>
      </c>
      <c r="F342" t="inlineStr">
        <is>
          <t>Sveaskog</t>
        </is>
      </c>
      <c r="G342" t="n">
        <v>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37706-2022</t>
        </is>
      </c>
      <c r="B343" s="1" t="n">
        <v>44810</v>
      </c>
      <c r="C343" s="1" t="n">
        <v>45669</v>
      </c>
      <c r="D343" t="inlineStr">
        <is>
          <t>NORRBOTTENS LÄN</t>
        </is>
      </c>
      <c r="E343" t="inlineStr">
        <is>
          <t>ÖVERTORNEÅ</t>
        </is>
      </c>
      <c r="F343" t="inlineStr">
        <is>
          <t>Sveaskog</t>
        </is>
      </c>
      <c r="G343" t="n">
        <v>10.3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37710-2022</t>
        </is>
      </c>
      <c r="B344" s="1" t="n">
        <v>44810</v>
      </c>
      <c r="C344" s="1" t="n">
        <v>45669</v>
      </c>
      <c r="D344" t="inlineStr">
        <is>
          <t>NORRBOTTENS LÄN</t>
        </is>
      </c>
      <c r="E344" t="inlineStr">
        <is>
          <t>ÖVERTORNEÅ</t>
        </is>
      </c>
      <c r="F344" t="inlineStr">
        <is>
          <t>Sveaskog</t>
        </is>
      </c>
      <c r="G344" t="n">
        <v>4.9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37837-2022</t>
        </is>
      </c>
      <c r="B345" s="1" t="n">
        <v>44810</v>
      </c>
      <c r="C345" s="1" t="n">
        <v>45669</v>
      </c>
      <c r="D345" t="inlineStr">
        <is>
          <t>NORRBOTTENS LÄN</t>
        </is>
      </c>
      <c r="E345" t="inlineStr">
        <is>
          <t>ÖVERTORNEÅ</t>
        </is>
      </c>
      <c r="F345" t="inlineStr">
        <is>
          <t>Sveaskog</t>
        </is>
      </c>
      <c r="G345" t="n">
        <v>8.5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38980-2022</t>
        </is>
      </c>
      <c r="B346" s="1" t="n">
        <v>44816</v>
      </c>
      <c r="C346" s="1" t="n">
        <v>45669</v>
      </c>
      <c r="D346" t="inlineStr">
        <is>
          <t>NORRBOTTENS LÄN</t>
        </is>
      </c>
      <c r="E346" t="inlineStr">
        <is>
          <t>ÖVERTORNEÅ</t>
        </is>
      </c>
      <c r="F346" t="inlineStr">
        <is>
          <t>Sveaskog</t>
        </is>
      </c>
      <c r="G346" t="n">
        <v>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39969-2022</t>
        </is>
      </c>
      <c r="B347" s="1" t="n">
        <v>44820</v>
      </c>
      <c r="C347" s="1" t="n">
        <v>45669</v>
      </c>
      <c r="D347" t="inlineStr">
        <is>
          <t>NORRBOTTENS LÄN</t>
        </is>
      </c>
      <c r="E347" t="inlineStr">
        <is>
          <t>ÖVERTORNEÅ</t>
        </is>
      </c>
      <c r="F347" t="inlineStr">
        <is>
          <t>Sveaskog</t>
        </is>
      </c>
      <c r="G347" t="n">
        <v>3.5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42254-2022</t>
        </is>
      </c>
      <c r="B348" s="1" t="n">
        <v>44831</v>
      </c>
      <c r="C348" s="1" t="n">
        <v>45669</v>
      </c>
      <c r="D348" t="inlineStr">
        <is>
          <t>NORRBOTTENS LÄN</t>
        </is>
      </c>
      <c r="E348" t="inlineStr">
        <is>
          <t>ÖVERTORNEÅ</t>
        </is>
      </c>
      <c r="G348" t="n">
        <v>10.3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42604-2022</t>
        </is>
      </c>
      <c r="B349" s="1" t="n">
        <v>44831</v>
      </c>
      <c r="C349" s="1" t="n">
        <v>45669</v>
      </c>
      <c r="D349" t="inlineStr">
        <is>
          <t>NORRBOTTENS LÄN</t>
        </is>
      </c>
      <c r="E349" t="inlineStr">
        <is>
          <t>ÖVERTORNEÅ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42602-2022</t>
        </is>
      </c>
      <c r="B350" s="1" t="n">
        <v>44831</v>
      </c>
      <c r="C350" s="1" t="n">
        <v>45669</v>
      </c>
      <c r="D350" t="inlineStr">
        <is>
          <t>NORRBOTTENS LÄN</t>
        </is>
      </c>
      <c r="E350" t="inlineStr">
        <is>
          <t>ÖVERTORNEÅ</t>
        </is>
      </c>
      <c r="G350" t="n">
        <v>6.3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42607-2022</t>
        </is>
      </c>
      <c r="B351" s="1" t="n">
        <v>44831</v>
      </c>
      <c r="C351" s="1" t="n">
        <v>45669</v>
      </c>
      <c r="D351" t="inlineStr">
        <is>
          <t>NORRBOTTENS LÄN</t>
        </is>
      </c>
      <c r="E351" t="inlineStr">
        <is>
          <t>ÖVERTORNEÅ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42608-2022</t>
        </is>
      </c>
      <c r="B352" s="1" t="n">
        <v>44831</v>
      </c>
      <c r="C352" s="1" t="n">
        <v>45669</v>
      </c>
      <c r="D352" t="inlineStr">
        <is>
          <t>NORRBOTTENS LÄN</t>
        </is>
      </c>
      <c r="E352" t="inlineStr">
        <is>
          <t>ÖVERTORNEÅ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43003-2022</t>
        </is>
      </c>
      <c r="B353" s="1" t="n">
        <v>44833</v>
      </c>
      <c r="C353" s="1" t="n">
        <v>45669</v>
      </c>
      <c r="D353" t="inlineStr">
        <is>
          <t>NORRBOTTENS LÄN</t>
        </is>
      </c>
      <c r="E353" t="inlineStr">
        <is>
          <t>ÖVERTORNEÅ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43055-2022</t>
        </is>
      </c>
      <c r="B354" s="1" t="n">
        <v>44833</v>
      </c>
      <c r="C354" s="1" t="n">
        <v>45669</v>
      </c>
      <c r="D354" t="inlineStr">
        <is>
          <t>NORRBOTTENS LÄN</t>
        </is>
      </c>
      <c r="E354" t="inlineStr">
        <is>
          <t>ÖVERTORNEÅ</t>
        </is>
      </c>
      <c r="F354" t="inlineStr">
        <is>
          <t>Sveaskog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43294-2022</t>
        </is>
      </c>
      <c r="B355" s="1" t="n">
        <v>44833</v>
      </c>
      <c r="C355" s="1" t="n">
        <v>45669</v>
      </c>
      <c r="D355" t="inlineStr">
        <is>
          <t>NORRBOTTENS LÄN</t>
        </is>
      </c>
      <c r="E355" t="inlineStr">
        <is>
          <t>ÖVERTORNEÅ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43282-2022</t>
        </is>
      </c>
      <c r="B356" s="1" t="n">
        <v>44833</v>
      </c>
      <c r="C356" s="1" t="n">
        <v>45669</v>
      </c>
      <c r="D356" t="inlineStr">
        <is>
          <t>NORRBOTTENS LÄN</t>
        </is>
      </c>
      <c r="E356" t="inlineStr">
        <is>
          <t>ÖVERTORNEÅ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43482-2022</t>
        </is>
      </c>
      <c r="B357" s="1" t="n">
        <v>44837</v>
      </c>
      <c r="C357" s="1" t="n">
        <v>45669</v>
      </c>
      <c r="D357" t="inlineStr">
        <is>
          <t>NORRBOTTENS LÄN</t>
        </is>
      </c>
      <c r="E357" t="inlineStr">
        <is>
          <t>ÖVERTORNEÅ</t>
        </is>
      </c>
      <c r="F357" t="inlineStr">
        <is>
          <t>Sveaskog</t>
        </is>
      </c>
      <c r="G357" t="n">
        <v>3.3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44031-2022</t>
        </is>
      </c>
      <c r="B358" s="1" t="n">
        <v>44838</v>
      </c>
      <c r="C358" s="1" t="n">
        <v>45669</v>
      </c>
      <c r="D358" t="inlineStr">
        <is>
          <t>NORRBOTTENS LÄN</t>
        </is>
      </c>
      <c r="E358" t="inlineStr">
        <is>
          <t>ÖVERTORNEÅ</t>
        </is>
      </c>
      <c r="G358" t="n">
        <v>10.5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45178-2022</t>
        </is>
      </c>
      <c r="B359" s="1" t="n">
        <v>44844</v>
      </c>
      <c r="C359" s="1" t="n">
        <v>45669</v>
      </c>
      <c r="D359" t="inlineStr">
        <is>
          <t>NORRBOTTENS LÄN</t>
        </is>
      </c>
      <c r="E359" t="inlineStr">
        <is>
          <t>ÖVERTORNEÅ</t>
        </is>
      </c>
      <c r="G359" t="n">
        <v>8.300000000000001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48298-2022</t>
        </is>
      </c>
      <c r="B360" s="1" t="n">
        <v>44858</v>
      </c>
      <c r="C360" s="1" t="n">
        <v>45669</v>
      </c>
      <c r="D360" t="inlineStr">
        <is>
          <t>NORRBOTTENS LÄN</t>
        </is>
      </c>
      <c r="E360" t="inlineStr">
        <is>
          <t>ÖVERTORNEÅ</t>
        </is>
      </c>
      <c r="F360" t="inlineStr">
        <is>
          <t>Sveaskog</t>
        </is>
      </c>
      <c r="G360" t="n">
        <v>2.6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48891-2022</t>
        </is>
      </c>
      <c r="B361" s="1" t="n">
        <v>44860</v>
      </c>
      <c r="C361" s="1" t="n">
        <v>45669</v>
      </c>
      <c r="D361" t="inlineStr">
        <is>
          <t>NORRBOTTENS LÄN</t>
        </is>
      </c>
      <c r="E361" t="inlineStr">
        <is>
          <t>ÖVERTORNEÅ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49157-2022</t>
        </is>
      </c>
      <c r="B362" s="1" t="n">
        <v>44860</v>
      </c>
      <c r="C362" s="1" t="n">
        <v>45669</v>
      </c>
      <c r="D362" t="inlineStr">
        <is>
          <t>NORRBOTTENS LÄN</t>
        </is>
      </c>
      <c r="E362" t="inlineStr">
        <is>
          <t>ÖVERTORNEÅ</t>
        </is>
      </c>
      <c r="G362" t="n">
        <v>5.6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49886-2022</t>
        </is>
      </c>
      <c r="B363" s="1" t="n">
        <v>44864</v>
      </c>
      <c r="C363" s="1" t="n">
        <v>45669</v>
      </c>
      <c r="D363" t="inlineStr">
        <is>
          <t>NORRBOTTENS LÄN</t>
        </is>
      </c>
      <c r="E363" t="inlineStr">
        <is>
          <t>ÖVERTORNEÅ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52160-2022</t>
        </is>
      </c>
      <c r="B364" s="1" t="n">
        <v>44873</v>
      </c>
      <c r="C364" s="1" t="n">
        <v>45669</v>
      </c>
      <c r="D364" t="inlineStr">
        <is>
          <t>NORRBOTTENS LÄN</t>
        </is>
      </c>
      <c r="E364" t="inlineStr">
        <is>
          <t>ÖVERTORNEÅ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54084-2022</t>
        </is>
      </c>
      <c r="B365" s="1" t="n">
        <v>44881</v>
      </c>
      <c r="C365" s="1" t="n">
        <v>45669</v>
      </c>
      <c r="D365" t="inlineStr">
        <is>
          <t>NORRBOTTENS LÄN</t>
        </is>
      </c>
      <c r="E365" t="inlineStr">
        <is>
          <t>ÖVERTORNEÅ</t>
        </is>
      </c>
      <c r="G365" t="n">
        <v>3.1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55666-2022</t>
        </is>
      </c>
      <c r="B366" s="1" t="n">
        <v>44883</v>
      </c>
      <c r="C366" s="1" t="n">
        <v>45669</v>
      </c>
      <c r="D366" t="inlineStr">
        <is>
          <t>NORRBOTTENS LÄN</t>
        </is>
      </c>
      <c r="E366" t="inlineStr">
        <is>
          <t>ÖVERTORNEÅ</t>
        </is>
      </c>
      <c r="G366" t="n">
        <v>26.6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55802-2022</t>
        </is>
      </c>
      <c r="B367" s="1" t="n">
        <v>44888</v>
      </c>
      <c r="C367" s="1" t="n">
        <v>45669</v>
      </c>
      <c r="D367" t="inlineStr">
        <is>
          <t>NORRBOTTENS LÄN</t>
        </is>
      </c>
      <c r="E367" t="inlineStr">
        <is>
          <t>ÖVERTORNEÅ</t>
        </is>
      </c>
      <c r="F367" t="inlineStr">
        <is>
          <t>Sveaskog</t>
        </is>
      </c>
      <c r="G367" t="n">
        <v>2.9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55801-2022</t>
        </is>
      </c>
      <c r="B368" s="1" t="n">
        <v>44888</v>
      </c>
      <c r="C368" s="1" t="n">
        <v>45669</v>
      </c>
      <c r="D368" t="inlineStr">
        <is>
          <t>NORRBOTTENS LÄN</t>
        </is>
      </c>
      <c r="E368" t="inlineStr">
        <is>
          <t>ÖVERTORNEÅ</t>
        </is>
      </c>
      <c r="F368" t="inlineStr">
        <is>
          <t>Sveaskog</t>
        </is>
      </c>
      <c r="G368" t="n">
        <v>10.4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56369-2022</t>
        </is>
      </c>
      <c r="B369" s="1" t="n">
        <v>44890</v>
      </c>
      <c r="C369" s="1" t="n">
        <v>45669</v>
      </c>
      <c r="D369" t="inlineStr">
        <is>
          <t>NORRBOTTENS LÄN</t>
        </is>
      </c>
      <c r="E369" t="inlineStr">
        <is>
          <t>ÖVERTORNEÅ</t>
        </is>
      </c>
      <c r="G369" t="n">
        <v>4.3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56374-2022</t>
        </is>
      </c>
      <c r="B370" s="1" t="n">
        <v>44890</v>
      </c>
      <c r="C370" s="1" t="n">
        <v>45669</v>
      </c>
      <c r="D370" t="inlineStr">
        <is>
          <t>NORRBOTTENS LÄN</t>
        </is>
      </c>
      <c r="E370" t="inlineStr">
        <is>
          <t>ÖVERTORNEÅ</t>
        </is>
      </c>
      <c r="G370" t="n">
        <v>13.3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56370-2022</t>
        </is>
      </c>
      <c r="B371" s="1" t="n">
        <v>44890</v>
      </c>
      <c r="C371" s="1" t="n">
        <v>45669</v>
      </c>
      <c r="D371" t="inlineStr">
        <is>
          <t>NORRBOTTENS LÄN</t>
        </is>
      </c>
      <c r="E371" t="inlineStr">
        <is>
          <t>ÖVERTORNEÅ</t>
        </is>
      </c>
      <c r="G371" t="n">
        <v>6.1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56375-2022</t>
        </is>
      </c>
      <c r="B372" s="1" t="n">
        <v>44890</v>
      </c>
      <c r="C372" s="1" t="n">
        <v>45669</v>
      </c>
      <c r="D372" t="inlineStr">
        <is>
          <t>NORRBOTTENS LÄN</t>
        </is>
      </c>
      <c r="E372" t="inlineStr">
        <is>
          <t>ÖVERTORNEÅ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56373-2022</t>
        </is>
      </c>
      <c r="B373" s="1" t="n">
        <v>44890</v>
      </c>
      <c r="C373" s="1" t="n">
        <v>45669</v>
      </c>
      <c r="D373" t="inlineStr">
        <is>
          <t>NORRBOTTENS LÄN</t>
        </is>
      </c>
      <c r="E373" t="inlineStr">
        <is>
          <t>ÖVERTORNEÅ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56356-2022</t>
        </is>
      </c>
      <c r="B374" s="1" t="n">
        <v>44890</v>
      </c>
      <c r="C374" s="1" t="n">
        <v>45669</v>
      </c>
      <c r="D374" t="inlineStr">
        <is>
          <t>NORRBOTTENS LÄN</t>
        </is>
      </c>
      <c r="E374" t="inlineStr">
        <is>
          <t>ÖVERTORNEÅ</t>
        </is>
      </c>
      <c r="G374" t="n">
        <v>10.5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56371-2022</t>
        </is>
      </c>
      <c r="B375" s="1" t="n">
        <v>44890</v>
      </c>
      <c r="C375" s="1" t="n">
        <v>45669</v>
      </c>
      <c r="D375" t="inlineStr">
        <is>
          <t>NORRBOTTENS LÄN</t>
        </is>
      </c>
      <c r="E375" t="inlineStr">
        <is>
          <t>ÖVERTORNEÅ</t>
        </is>
      </c>
      <c r="G375" t="n">
        <v>7.3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58035-2022</t>
        </is>
      </c>
      <c r="B376" s="1" t="n">
        <v>44900</v>
      </c>
      <c r="C376" s="1" t="n">
        <v>45669</v>
      </c>
      <c r="D376" t="inlineStr">
        <is>
          <t>NORRBOTTENS LÄN</t>
        </is>
      </c>
      <c r="E376" t="inlineStr">
        <is>
          <t>ÖVERTORNEÅ</t>
        </is>
      </c>
      <c r="F376" t="inlineStr">
        <is>
          <t>Sveaskog</t>
        </is>
      </c>
      <c r="G376" t="n">
        <v>20.2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59965-2022</t>
        </is>
      </c>
      <c r="B377" s="1" t="n">
        <v>44901</v>
      </c>
      <c r="C377" s="1" t="n">
        <v>45669</v>
      </c>
      <c r="D377" t="inlineStr">
        <is>
          <t>NORRBOTTENS LÄN</t>
        </is>
      </c>
      <c r="E377" t="inlineStr">
        <is>
          <t>ÖVERTORNEÅ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58894-2022</t>
        </is>
      </c>
      <c r="B378" s="1" t="n">
        <v>44903</v>
      </c>
      <c r="C378" s="1" t="n">
        <v>45669</v>
      </c>
      <c r="D378" t="inlineStr">
        <is>
          <t>NORRBOTTENS LÄN</t>
        </is>
      </c>
      <c r="E378" t="inlineStr">
        <is>
          <t>ÖVERTORNEÅ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60537-2022</t>
        </is>
      </c>
      <c r="B379" s="1" t="n">
        <v>44904</v>
      </c>
      <c r="C379" s="1" t="n">
        <v>45669</v>
      </c>
      <c r="D379" t="inlineStr">
        <is>
          <t>NORRBOTTENS LÄN</t>
        </is>
      </c>
      <c r="E379" t="inlineStr">
        <is>
          <t>ÖVERTORNEÅ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59551-2022</t>
        </is>
      </c>
      <c r="B380" s="1" t="n">
        <v>44907</v>
      </c>
      <c r="C380" s="1" t="n">
        <v>45669</v>
      </c>
      <c r="D380" t="inlineStr">
        <is>
          <t>NORRBOTTENS LÄN</t>
        </is>
      </c>
      <c r="E380" t="inlineStr">
        <is>
          <t>ÖVERTORNEÅ</t>
        </is>
      </c>
      <c r="G380" t="n">
        <v>9.300000000000001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60385-2022</t>
        </is>
      </c>
      <c r="B381" s="1" t="n">
        <v>44910</v>
      </c>
      <c r="C381" s="1" t="n">
        <v>45669</v>
      </c>
      <c r="D381" t="inlineStr">
        <is>
          <t>NORRBOTTENS LÄN</t>
        </is>
      </c>
      <c r="E381" t="inlineStr">
        <is>
          <t>ÖVERTORNEÅ</t>
        </is>
      </c>
      <c r="G381" t="n">
        <v>17.2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60515-2022</t>
        </is>
      </c>
      <c r="B382" s="1" t="n">
        <v>44911</v>
      </c>
      <c r="C382" s="1" t="n">
        <v>45669</v>
      </c>
      <c r="D382" t="inlineStr">
        <is>
          <t>NORRBOTTENS LÄN</t>
        </is>
      </c>
      <c r="E382" t="inlineStr">
        <is>
          <t>ÖVERTORNEÅ</t>
        </is>
      </c>
      <c r="G382" t="n">
        <v>7.1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61040-2022</t>
        </is>
      </c>
      <c r="B383" s="1" t="n">
        <v>44914</v>
      </c>
      <c r="C383" s="1" t="n">
        <v>45669</v>
      </c>
      <c r="D383" t="inlineStr">
        <is>
          <t>NORRBOTTENS LÄN</t>
        </is>
      </c>
      <c r="E383" t="inlineStr">
        <is>
          <t>ÖVERTORNEÅ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61037-2022</t>
        </is>
      </c>
      <c r="B384" s="1" t="n">
        <v>44914</v>
      </c>
      <c r="C384" s="1" t="n">
        <v>45669</v>
      </c>
      <c r="D384" t="inlineStr">
        <is>
          <t>NORRBOTTENS LÄN</t>
        </is>
      </c>
      <c r="E384" t="inlineStr">
        <is>
          <t>ÖVERTORNEÅ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61039-2022</t>
        </is>
      </c>
      <c r="B385" s="1" t="n">
        <v>44914</v>
      </c>
      <c r="C385" s="1" t="n">
        <v>45669</v>
      </c>
      <c r="D385" t="inlineStr">
        <is>
          <t>NORRBOTTENS LÄN</t>
        </is>
      </c>
      <c r="E385" t="inlineStr">
        <is>
          <t>ÖVERTORNEÅ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62277-2022</t>
        </is>
      </c>
      <c r="B386" s="1" t="n">
        <v>44916</v>
      </c>
      <c r="C386" s="1" t="n">
        <v>45669</v>
      </c>
      <c r="D386" t="inlineStr">
        <is>
          <t>NORRBOTTENS LÄN</t>
        </is>
      </c>
      <c r="E386" t="inlineStr">
        <is>
          <t>ÖVERTORNEÅ</t>
        </is>
      </c>
      <c r="G386" t="n">
        <v>7.8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61782-2022</t>
        </is>
      </c>
      <c r="B387" s="1" t="n">
        <v>44917</v>
      </c>
      <c r="C387" s="1" t="n">
        <v>45669</v>
      </c>
      <c r="D387" t="inlineStr">
        <is>
          <t>NORRBOTTENS LÄN</t>
        </is>
      </c>
      <c r="E387" t="inlineStr">
        <is>
          <t>ÖVERTORNEÅ</t>
        </is>
      </c>
      <c r="G387" t="n">
        <v>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62390-2022</t>
        </is>
      </c>
      <c r="B388" s="1" t="n">
        <v>44923</v>
      </c>
      <c r="C388" s="1" t="n">
        <v>45669</v>
      </c>
      <c r="D388" t="inlineStr">
        <is>
          <t>NORRBOTTENS LÄN</t>
        </is>
      </c>
      <c r="E388" t="inlineStr">
        <is>
          <t>ÖVERTORNEÅ</t>
        </is>
      </c>
      <c r="G388" t="n">
        <v>4.2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62608-2022</t>
        </is>
      </c>
      <c r="B389" s="1" t="n">
        <v>44925</v>
      </c>
      <c r="C389" s="1" t="n">
        <v>45669</v>
      </c>
      <c r="D389" t="inlineStr">
        <is>
          <t>NORRBOTTENS LÄN</t>
        </is>
      </c>
      <c r="E389" t="inlineStr">
        <is>
          <t>ÖVERTORNEÅ</t>
        </is>
      </c>
      <c r="G389" t="n">
        <v>6.9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62668-2022</t>
        </is>
      </c>
      <c r="B390" s="1" t="n">
        <v>44925</v>
      </c>
      <c r="C390" s="1" t="n">
        <v>45669</v>
      </c>
      <c r="D390" t="inlineStr">
        <is>
          <t>NORRBOTTENS LÄN</t>
        </is>
      </c>
      <c r="E390" t="inlineStr">
        <is>
          <t>ÖVERTORNEÅ</t>
        </is>
      </c>
      <c r="G390" t="n">
        <v>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62689-2022</t>
        </is>
      </c>
      <c r="B391" s="1" t="n">
        <v>44925</v>
      </c>
      <c r="C391" s="1" t="n">
        <v>45669</v>
      </c>
      <c r="D391" t="inlineStr">
        <is>
          <t>NORRBOTTENS LÄN</t>
        </is>
      </c>
      <c r="E391" t="inlineStr">
        <is>
          <t>ÖVERTORNEÅ</t>
        </is>
      </c>
      <c r="G391" t="n">
        <v>8.9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62671-2022</t>
        </is>
      </c>
      <c r="B392" s="1" t="n">
        <v>44925</v>
      </c>
      <c r="C392" s="1" t="n">
        <v>45669</v>
      </c>
      <c r="D392" t="inlineStr">
        <is>
          <t>NORRBOTTENS LÄN</t>
        </is>
      </c>
      <c r="E392" t="inlineStr">
        <is>
          <t>ÖVERTORNEÅ</t>
        </is>
      </c>
      <c r="G392" t="n">
        <v>8.1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152-2023</t>
        </is>
      </c>
      <c r="B393" s="1" t="n">
        <v>44928</v>
      </c>
      <c r="C393" s="1" t="n">
        <v>45669</v>
      </c>
      <c r="D393" t="inlineStr">
        <is>
          <t>NORRBOTTENS LÄN</t>
        </is>
      </c>
      <c r="E393" t="inlineStr">
        <is>
          <t>ÖVERTORNEÅ</t>
        </is>
      </c>
      <c r="G393" t="n">
        <v>5.5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276-2023</t>
        </is>
      </c>
      <c r="B394" s="1" t="n">
        <v>44928</v>
      </c>
      <c r="C394" s="1" t="n">
        <v>45669</v>
      </c>
      <c r="D394" t="inlineStr">
        <is>
          <t>NORRBOTTENS LÄN</t>
        </is>
      </c>
      <c r="E394" t="inlineStr">
        <is>
          <t>ÖVERTORNEÅ</t>
        </is>
      </c>
      <c r="G394" t="n">
        <v>7.3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275-2023</t>
        </is>
      </c>
      <c r="B395" s="1" t="n">
        <v>44928</v>
      </c>
      <c r="C395" s="1" t="n">
        <v>45669</v>
      </c>
      <c r="D395" t="inlineStr">
        <is>
          <t>NORRBOTTENS LÄN</t>
        </is>
      </c>
      <c r="E395" t="inlineStr">
        <is>
          <t>ÖVERTORNEÅ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587-2023</t>
        </is>
      </c>
      <c r="B396" s="1" t="n">
        <v>44930</v>
      </c>
      <c r="C396" s="1" t="n">
        <v>45669</v>
      </c>
      <c r="D396" t="inlineStr">
        <is>
          <t>NORRBOTTENS LÄN</t>
        </is>
      </c>
      <c r="E396" t="inlineStr">
        <is>
          <t>ÖVERTORNEÅ</t>
        </is>
      </c>
      <c r="G396" t="n">
        <v>3.6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597-2023</t>
        </is>
      </c>
      <c r="B397" s="1" t="n">
        <v>44930</v>
      </c>
      <c r="C397" s="1" t="n">
        <v>45669</v>
      </c>
      <c r="D397" t="inlineStr">
        <is>
          <t>NORRBOTTENS LÄN</t>
        </is>
      </c>
      <c r="E397" t="inlineStr">
        <is>
          <t>ÖVERTORNEÅ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1476-2023</t>
        </is>
      </c>
      <c r="B398" s="1" t="n">
        <v>44937</v>
      </c>
      <c r="C398" s="1" t="n">
        <v>45669</v>
      </c>
      <c r="D398" t="inlineStr">
        <is>
          <t>NORRBOTTENS LÄN</t>
        </is>
      </c>
      <c r="E398" t="inlineStr">
        <is>
          <t>ÖVERTORNEÅ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2961-2023</t>
        </is>
      </c>
      <c r="B399" s="1" t="n">
        <v>44945</v>
      </c>
      <c r="C399" s="1" t="n">
        <v>45669</v>
      </c>
      <c r="D399" t="inlineStr">
        <is>
          <t>NORRBOTTENS LÄN</t>
        </is>
      </c>
      <c r="E399" t="inlineStr">
        <is>
          <t>ÖVERTORNEÅ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3595-2023</t>
        </is>
      </c>
      <c r="B400" s="1" t="n">
        <v>44950</v>
      </c>
      <c r="C400" s="1" t="n">
        <v>45669</v>
      </c>
      <c r="D400" t="inlineStr">
        <is>
          <t>NORRBOTTENS LÄN</t>
        </is>
      </c>
      <c r="E400" t="inlineStr">
        <is>
          <t>ÖVERTORNEÅ</t>
        </is>
      </c>
      <c r="G400" t="n">
        <v>3.9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5381-2023</t>
        </is>
      </c>
      <c r="B401" s="1" t="n">
        <v>44959</v>
      </c>
      <c r="C401" s="1" t="n">
        <v>45669</v>
      </c>
      <c r="D401" t="inlineStr">
        <is>
          <t>NORRBOTTENS LÄN</t>
        </is>
      </c>
      <c r="E401" t="inlineStr">
        <is>
          <t>ÖVERTORNEÅ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8637-2023</t>
        </is>
      </c>
      <c r="B402" s="1" t="n">
        <v>44977</v>
      </c>
      <c r="C402" s="1" t="n">
        <v>45669</v>
      </c>
      <c r="D402" t="inlineStr">
        <is>
          <t>NORRBOTTENS LÄN</t>
        </is>
      </c>
      <c r="E402" t="inlineStr">
        <is>
          <t>ÖVERTORNEÅ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9389-2023</t>
        </is>
      </c>
      <c r="B403" s="1" t="n">
        <v>44981</v>
      </c>
      <c r="C403" s="1" t="n">
        <v>45669</v>
      </c>
      <c r="D403" t="inlineStr">
        <is>
          <t>NORRBOTTENS LÄN</t>
        </is>
      </c>
      <c r="E403" t="inlineStr">
        <is>
          <t>ÖVERTORNEÅ</t>
        </is>
      </c>
      <c r="F403" t="inlineStr">
        <is>
          <t>Sveaskog</t>
        </is>
      </c>
      <c r="G403" t="n">
        <v>7.9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10529-2023</t>
        </is>
      </c>
      <c r="B404" s="1" t="n">
        <v>44987</v>
      </c>
      <c r="C404" s="1" t="n">
        <v>45669</v>
      </c>
      <c r="D404" t="inlineStr">
        <is>
          <t>NORRBOTTENS LÄN</t>
        </is>
      </c>
      <c r="E404" t="inlineStr">
        <is>
          <t>ÖVERTORNEÅ</t>
        </is>
      </c>
      <c r="G404" t="n">
        <v>12.5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10528-2023</t>
        </is>
      </c>
      <c r="B405" s="1" t="n">
        <v>44987</v>
      </c>
      <c r="C405" s="1" t="n">
        <v>45669</v>
      </c>
      <c r="D405" t="inlineStr">
        <is>
          <t>NORRBOTTENS LÄN</t>
        </is>
      </c>
      <c r="E405" t="inlineStr">
        <is>
          <t>ÖVERTORNEÅ</t>
        </is>
      </c>
      <c r="G405" t="n">
        <v>0.3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14281-2023</t>
        </is>
      </c>
      <c r="B406" s="1" t="n">
        <v>45010</v>
      </c>
      <c r="C406" s="1" t="n">
        <v>45669</v>
      </c>
      <c r="D406" t="inlineStr">
        <is>
          <t>NORRBOTTENS LÄN</t>
        </is>
      </c>
      <c r="E406" t="inlineStr">
        <is>
          <t>ÖVERTORNEÅ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14298-2023</t>
        </is>
      </c>
      <c r="B407" s="1" t="n">
        <v>45011</v>
      </c>
      <c r="C407" s="1" t="n">
        <v>45669</v>
      </c>
      <c r="D407" t="inlineStr">
        <is>
          <t>NORRBOTTENS LÄN</t>
        </is>
      </c>
      <c r="E407" t="inlineStr">
        <is>
          <t>ÖVERTORNEÅ</t>
        </is>
      </c>
      <c r="G407" t="n">
        <v>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15201-2023</t>
        </is>
      </c>
      <c r="B408" s="1" t="n">
        <v>45017</v>
      </c>
      <c r="C408" s="1" t="n">
        <v>45669</v>
      </c>
      <c r="D408" t="inlineStr">
        <is>
          <t>NORRBOTTENS LÄN</t>
        </is>
      </c>
      <c r="E408" t="inlineStr">
        <is>
          <t>ÖVERTORNEÅ</t>
        </is>
      </c>
      <c r="G408" t="n">
        <v>6.9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15912-2023</t>
        </is>
      </c>
      <c r="B409" s="1" t="n">
        <v>45022</v>
      </c>
      <c r="C409" s="1" t="n">
        <v>45669</v>
      </c>
      <c r="D409" t="inlineStr">
        <is>
          <t>NORRBOTTENS LÄN</t>
        </is>
      </c>
      <c r="E409" t="inlineStr">
        <is>
          <t>ÖVERTORNEÅ</t>
        </is>
      </c>
      <c r="G409" t="n">
        <v>5.2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17490-2023</t>
        </is>
      </c>
      <c r="B410" s="1" t="n">
        <v>45036</v>
      </c>
      <c r="C410" s="1" t="n">
        <v>45669</v>
      </c>
      <c r="D410" t="inlineStr">
        <is>
          <t>NORRBOTTENS LÄN</t>
        </is>
      </c>
      <c r="E410" t="inlineStr">
        <is>
          <t>ÖVERTORNEÅ</t>
        </is>
      </c>
      <c r="G410" t="n">
        <v>2.8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17889-2023</t>
        </is>
      </c>
      <c r="B411" s="1" t="n">
        <v>45037</v>
      </c>
      <c r="C411" s="1" t="n">
        <v>45669</v>
      </c>
      <c r="D411" t="inlineStr">
        <is>
          <t>NORRBOTTENS LÄN</t>
        </is>
      </c>
      <c r="E411" t="inlineStr">
        <is>
          <t>ÖVERTORNEÅ</t>
        </is>
      </c>
      <c r="G411" t="n">
        <v>4.7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17896-2023</t>
        </is>
      </c>
      <c r="B412" s="1" t="n">
        <v>45039</v>
      </c>
      <c r="C412" s="1" t="n">
        <v>45669</v>
      </c>
      <c r="D412" t="inlineStr">
        <is>
          <t>NORRBOTTENS LÄN</t>
        </is>
      </c>
      <c r="E412" t="inlineStr">
        <is>
          <t>ÖVERTORNEÅ</t>
        </is>
      </c>
      <c r="G412" t="n">
        <v>0.3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18358-2023</t>
        </is>
      </c>
      <c r="B413" s="1" t="n">
        <v>45042</v>
      </c>
      <c r="C413" s="1" t="n">
        <v>45669</v>
      </c>
      <c r="D413" t="inlineStr">
        <is>
          <t>NORRBOTTENS LÄN</t>
        </is>
      </c>
      <c r="E413" t="inlineStr">
        <is>
          <t>ÖVERTORNEÅ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18359-2023</t>
        </is>
      </c>
      <c r="B414" s="1" t="n">
        <v>45041</v>
      </c>
      <c r="C414" s="1" t="n">
        <v>45669</v>
      </c>
      <c r="D414" t="inlineStr">
        <is>
          <t>NORRBOTTENS LÄN</t>
        </is>
      </c>
      <c r="E414" t="inlineStr">
        <is>
          <t>ÖVERTORNEÅ</t>
        </is>
      </c>
      <c r="G414" t="n">
        <v>3.9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19312-2023</t>
        </is>
      </c>
      <c r="B415" s="1" t="n">
        <v>45048</v>
      </c>
      <c r="C415" s="1" t="n">
        <v>45669</v>
      </c>
      <c r="D415" t="inlineStr">
        <is>
          <t>NORRBOTTENS LÄN</t>
        </is>
      </c>
      <c r="E415" t="inlineStr">
        <is>
          <t>ÖVERTORNEÅ</t>
        </is>
      </c>
      <c r="G415" t="n">
        <v>30.7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19569-2023</t>
        </is>
      </c>
      <c r="B416" s="1" t="n">
        <v>45049</v>
      </c>
      <c r="C416" s="1" t="n">
        <v>45669</v>
      </c>
      <c r="D416" t="inlineStr">
        <is>
          <t>NORRBOTTENS LÄN</t>
        </is>
      </c>
      <c r="E416" t="inlineStr">
        <is>
          <t>ÖVERTORNEÅ</t>
        </is>
      </c>
      <c r="G416" t="n">
        <v>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19836-2023</t>
        </is>
      </c>
      <c r="B417" s="1" t="n">
        <v>45052</v>
      </c>
      <c r="C417" s="1" t="n">
        <v>45669</v>
      </c>
      <c r="D417" t="inlineStr">
        <is>
          <t>NORRBOTTENS LÄN</t>
        </is>
      </c>
      <c r="E417" t="inlineStr">
        <is>
          <t>ÖVERTORNEÅ</t>
        </is>
      </c>
      <c r="F417" t="inlineStr">
        <is>
          <t>Sveaskog</t>
        </is>
      </c>
      <c r="G417" t="n">
        <v>25.4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19873-2023</t>
        </is>
      </c>
      <c r="B418" s="1" t="n">
        <v>45054</v>
      </c>
      <c r="C418" s="1" t="n">
        <v>45669</v>
      </c>
      <c r="D418" t="inlineStr">
        <is>
          <t>NORRBOTTENS LÄN</t>
        </is>
      </c>
      <c r="E418" t="inlineStr">
        <is>
          <t>ÖVERTORNEÅ</t>
        </is>
      </c>
      <c r="F418" t="inlineStr">
        <is>
          <t>Sveaskog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20387-2023</t>
        </is>
      </c>
      <c r="B419" s="1" t="n">
        <v>45054</v>
      </c>
      <c r="C419" s="1" t="n">
        <v>45669</v>
      </c>
      <c r="D419" t="inlineStr">
        <is>
          <t>NORRBOTTENS LÄN</t>
        </is>
      </c>
      <c r="E419" t="inlineStr">
        <is>
          <t>ÖVERTORNEÅ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21938-2023</t>
        </is>
      </c>
      <c r="B420" s="1" t="n">
        <v>45068</v>
      </c>
      <c r="C420" s="1" t="n">
        <v>45669</v>
      </c>
      <c r="D420" t="inlineStr">
        <is>
          <t>NORRBOTTENS LÄN</t>
        </is>
      </c>
      <c r="E420" t="inlineStr">
        <is>
          <t>ÖVERTORNEÅ</t>
        </is>
      </c>
      <c r="F420" t="inlineStr">
        <is>
          <t>Sveaskog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22597-2023</t>
        </is>
      </c>
      <c r="B421" s="1" t="n">
        <v>45071</v>
      </c>
      <c r="C421" s="1" t="n">
        <v>45669</v>
      </c>
      <c r="D421" t="inlineStr">
        <is>
          <t>NORRBOTTENS LÄN</t>
        </is>
      </c>
      <c r="E421" t="inlineStr">
        <is>
          <t>ÖVERTORNEÅ</t>
        </is>
      </c>
      <c r="G421" t="n">
        <v>2.3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22595-2023</t>
        </is>
      </c>
      <c r="B422" s="1" t="n">
        <v>45071</v>
      </c>
      <c r="C422" s="1" t="n">
        <v>45669</v>
      </c>
      <c r="D422" t="inlineStr">
        <is>
          <t>NORRBOTTENS LÄN</t>
        </is>
      </c>
      <c r="E422" t="inlineStr">
        <is>
          <t>ÖVERTORNEÅ</t>
        </is>
      </c>
      <c r="G422" t="n">
        <v>7.1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25298-2023</t>
        </is>
      </c>
      <c r="B423" s="1" t="n">
        <v>45087</v>
      </c>
      <c r="C423" s="1" t="n">
        <v>45669</v>
      </c>
      <c r="D423" t="inlineStr">
        <is>
          <t>NORRBOTTENS LÄN</t>
        </is>
      </c>
      <c r="E423" t="inlineStr">
        <is>
          <t>ÖVERTORNEÅ</t>
        </is>
      </c>
      <c r="G423" t="n">
        <v>3.4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26556-2023</t>
        </is>
      </c>
      <c r="B424" s="1" t="n">
        <v>45092</v>
      </c>
      <c r="C424" s="1" t="n">
        <v>45669</v>
      </c>
      <c r="D424" t="inlineStr">
        <is>
          <t>NORRBOTTENS LÄN</t>
        </is>
      </c>
      <c r="E424" t="inlineStr">
        <is>
          <t>ÖVERTORNEÅ</t>
        </is>
      </c>
      <c r="F424" t="inlineStr">
        <is>
          <t>Sveaskog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28839-2023</t>
        </is>
      </c>
      <c r="B425" s="1" t="n">
        <v>45104</v>
      </c>
      <c r="C425" s="1" t="n">
        <v>45669</v>
      </c>
      <c r="D425" t="inlineStr">
        <is>
          <t>NORRBOTTENS LÄN</t>
        </is>
      </c>
      <c r="E425" t="inlineStr">
        <is>
          <t>ÖVERTORNEÅ</t>
        </is>
      </c>
      <c r="G425" t="n">
        <v>18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30647-2023</t>
        </is>
      </c>
      <c r="B426" s="1" t="n">
        <v>45112</v>
      </c>
      <c r="C426" s="1" t="n">
        <v>45669</v>
      </c>
      <c r="D426" t="inlineStr">
        <is>
          <t>NORRBOTTENS LÄN</t>
        </is>
      </c>
      <c r="E426" t="inlineStr">
        <is>
          <t>ÖVERTORNEÅ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30651-2023</t>
        </is>
      </c>
      <c r="B427" s="1" t="n">
        <v>45112</v>
      </c>
      <c r="C427" s="1" t="n">
        <v>45669</v>
      </c>
      <c r="D427" t="inlineStr">
        <is>
          <t>NORRBOTTENS LÄN</t>
        </is>
      </c>
      <c r="E427" t="inlineStr">
        <is>
          <t>ÖVERTORNEÅ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31699-2023</t>
        </is>
      </c>
      <c r="B428" s="1" t="n">
        <v>45117</v>
      </c>
      <c r="C428" s="1" t="n">
        <v>45669</v>
      </c>
      <c r="D428" t="inlineStr">
        <is>
          <t>NORRBOTTENS LÄN</t>
        </is>
      </c>
      <c r="E428" t="inlineStr">
        <is>
          <t>ÖVERTORNEÅ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33518-2023</t>
        </is>
      </c>
      <c r="B429" s="1" t="n">
        <v>45118</v>
      </c>
      <c r="C429" s="1" t="n">
        <v>45669</v>
      </c>
      <c r="D429" t="inlineStr">
        <is>
          <t>NORRBOTTENS LÄN</t>
        </is>
      </c>
      <c r="E429" t="inlineStr">
        <is>
          <t>ÖVERTORNEÅ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33523-2023</t>
        </is>
      </c>
      <c r="B430" s="1" t="n">
        <v>45118</v>
      </c>
      <c r="C430" s="1" t="n">
        <v>45669</v>
      </c>
      <c r="D430" t="inlineStr">
        <is>
          <t>NORRBOTTENS LÄN</t>
        </is>
      </c>
      <c r="E430" t="inlineStr">
        <is>
          <t>ÖVERTORNEÅ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33323-2023</t>
        </is>
      </c>
      <c r="B431" s="1" t="n">
        <v>45128</v>
      </c>
      <c r="C431" s="1" t="n">
        <v>45669</v>
      </c>
      <c r="D431" t="inlineStr">
        <is>
          <t>NORRBOTTENS LÄN</t>
        </is>
      </c>
      <c r="E431" t="inlineStr">
        <is>
          <t>ÖVERTORNEÅ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33322-2023</t>
        </is>
      </c>
      <c r="B432" s="1" t="n">
        <v>45128</v>
      </c>
      <c r="C432" s="1" t="n">
        <v>45669</v>
      </c>
      <c r="D432" t="inlineStr">
        <is>
          <t>NORRBOTTENS LÄN</t>
        </is>
      </c>
      <c r="E432" t="inlineStr">
        <is>
          <t>ÖVERTORNEÅ</t>
        </is>
      </c>
      <c r="G432" t="n">
        <v>8.5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33325-2023</t>
        </is>
      </c>
      <c r="B433" s="1" t="n">
        <v>45128</v>
      </c>
      <c r="C433" s="1" t="n">
        <v>45669</v>
      </c>
      <c r="D433" t="inlineStr">
        <is>
          <t>NORRBOTTENS LÄN</t>
        </is>
      </c>
      <c r="E433" t="inlineStr">
        <is>
          <t>ÖVERTORNEÅ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34276-2023</t>
        </is>
      </c>
      <c r="B434" s="1" t="n">
        <v>45128</v>
      </c>
      <c r="C434" s="1" t="n">
        <v>45669</v>
      </c>
      <c r="D434" t="inlineStr">
        <is>
          <t>NORRBOTTENS LÄN</t>
        </is>
      </c>
      <c r="E434" t="inlineStr">
        <is>
          <t>ÖVERTORNEÅ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33637-2023</t>
        </is>
      </c>
      <c r="B435" s="1" t="n">
        <v>45132</v>
      </c>
      <c r="C435" s="1" t="n">
        <v>45669</v>
      </c>
      <c r="D435" t="inlineStr">
        <is>
          <t>NORRBOTTENS LÄN</t>
        </is>
      </c>
      <c r="E435" t="inlineStr">
        <is>
          <t>ÖVERTORNEÅ</t>
        </is>
      </c>
      <c r="F435" t="inlineStr">
        <is>
          <t>Sveaskog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34144-2023</t>
        </is>
      </c>
      <c r="B436" s="1" t="n">
        <v>45136</v>
      </c>
      <c r="C436" s="1" t="n">
        <v>45669</v>
      </c>
      <c r="D436" t="inlineStr">
        <is>
          <t>NORRBOTTENS LÄN</t>
        </is>
      </c>
      <c r="E436" t="inlineStr">
        <is>
          <t>ÖVERTORNEÅ</t>
        </is>
      </c>
      <c r="G436" t="n">
        <v>2.9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34142-2023</t>
        </is>
      </c>
      <c r="B437" s="1" t="n">
        <v>45136</v>
      </c>
      <c r="C437" s="1" t="n">
        <v>45669</v>
      </c>
      <c r="D437" t="inlineStr">
        <is>
          <t>NORRBOTTENS LÄN</t>
        </is>
      </c>
      <c r="E437" t="inlineStr">
        <is>
          <t>ÖVERTORNEÅ</t>
        </is>
      </c>
      <c r="G437" t="n">
        <v>22.5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34143-2023</t>
        </is>
      </c>
      <c r="B438" s="1" t="n">
        <v>45136</v>
      </c>
      <c r="C438" s="1" t="n">
        <v>45669</v>
      </c>
      <c r="D438" t="inlineStr">
        <is>
          <t>NORRBOTTENS LÄN</t>
        </is>
      </c>
      <c r="E438" t="inlineStr">
        <is>
          <t>ÖVERTORNEÅ</t>
        </is>
      </c>
      <c r="G438" t="n">
        <v>4.4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34145-2023</t>
        </is>
      </c>
      <c r="B439" s="1" t="n">
        <v>45136</v>
      </c>
      <c r="C439" s="1" t="n">
        <v>45669</v>
      </c>
      <c r="D439" t="inlineStr">
        <is>
          <t>NORRBOTTENS LÄN</t>
        </is>
      </c>
      <c r="E439" t="inlineStr">
        <is>
          <t>ÖVERTORNEÅ</t>
        </is>
      </c>
      <c r="G439" t="n">
        <v>0.2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34154-2023</t>
        </is>
      </c>
      <c r="B440" s="1" t="n">
        <v>45137</v>
      </c>
      <c r="C440" s="1" t="n">
        <v>45669</v>
      </c>
      <c r="D440" t="inlineStr">
        <is>
          <t>NORRBOTTENS LÄN</t>
        </is>
      </c>
      <c r="E440" t="inlineStr">
        <is>
          <t>ÖVERTORNEÅ</t>
        </is>
      </c>
      <c r="G440" t="n">
        <v>37.1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34398-2023</t>
        </is>
      </c>
      <c r="B441" s="1" t="n">
        <v>45139</v>
      </c>
      <c r="C441" s="1" t="n">
        <v>45669</v>
      </c>
      <c r="D441" t="inlineStr">
        <is>
          <t>NORRBOTTENS LÄN</t>
        </is>
      </c>
      <c r="E441" t="inlineStr">
        <is>
          <t>ÖVERTORNEÅ</t>
        </is>
      </c>
      <c r="G441" t="n">
        <v>8.9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34403-2023</t>
        </is>
      </c>
      <c r="B442" s="1" t="n">
        <v>45139</v>
      </c>
      <c r="C442" s="1" t="n">
        <v>45669</v>
      </c>
      <c r="D442" t="inlineStr">
        <is>
          <t>NORRBOTTENS LÄN</t>
        </is>
      </c>
      <c r="E442" t="inlineStr">
        <is>
          <t>ÖVERTORNEÅ</t>
        </is>
      </c>
      <c r="G442" t="n">
        <v>4.6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34402-2023</t>
        </is>
      </c>
      <c r="B443" s="1" t="n">
        <v>45139</v>
      </c>
      <c r="C443" s="1" t="n">
        <v>45669</v>
      </c>
      <c r="D443" t="inlineStr">
        <is>
          <t>NORRBOTTENS LÄN</t>
        </is>
      </c>
      <c r="E443" t="inlineStr">
        <is>
          <t>ÖVERTORNEÅ</t>
        </is>
      </c>
      <c r="G443" t="n">
        <v>7.6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34753-2023</t>
        </is>
      </c>
      <c r="B444" s="1" t="n">
        <v>45139</v>
      </c>
      <c r="C444" s="1" t="n">
        <v>45669</v>
      </c>
      <c r="D444" t="inlineStr">
        <is>
          <t>NORRBOTTENS LÄN</t>
        </is>
      </c>
      <c r="E444" t="inlineStr">
        <is>
          <t>ÖVERTORNEÅ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34843-2023</t>
        </is>
      </c>
      <c r="B445" s="1" t="n">
        <v>45142</v>
      </c>
      <c r="C445" s="1" t="n">
        <v>45669</v>
      </c>
      <c r="D445" t="inlineStr">
        <is>
          <t>NORRBOTTENS LÄN</t>
        </is>
      </c>
      <c r="E445" t="inlineStr">
        <is>
          <t>ÖVERTORNEÅ</t>
        </is>
      </c>
      <c r="G445" t="n">
        <v>7.1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34993-2023</t>
        </is>
      </c>
      <c r="B446" s="1" t="n">
        <v>45143</v>
      </c>
      <c r="C446" s="1" t="n">
        <v>45669</v>
      </c>
      <c r="D446" t="inlineStr">
        <is>
          <t>NORRBOTTENS LÄN</t>
        </is>
      </c>
      <c r="E446" t="inlineStr">
        <is>
          <t>ÖVERTORNEÅ</t>
        </is>
      </c>
      <c r="G446" t="n">
        <v>4.1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34992-2023</t>
        </is>
      </c>
      <c r="B447" s="1" t="n">
        <v>45143</v>
      </c>
      <c r="C447" s="1" t="n">
        <v>45669</v>
      </c>
      <c r="D447" t="inlineStr">
        <is>
          <t>NORRBOTTENS LÄN</t>
        </is>
      </c>
      <c r="E447" t="inlineStr">
        <is>
          <t>ÖVERTORNEÅ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34994-2023</t>
        </is>
      </c>
      <c r="B448" s="1" t="n">
        <v>45143</v>
      </c>
      <c r="C448" s="1" t="n">
        <v>45669</v>
      </c>
      <c r="D448" t="inlineStr">
        <is>
          <t>NORRBOTTENS LÄN</t>
        </is>
      </c>
      <c r="E448" t="inlineStr">
        <is>
          <t>ÖVERTORNEÅ</t>
        </is>
      </c>
      <c r="G448" t="n">
        <v>4.1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35077-2023</t>
        </is>
      </c>
      <c r="B449" s="1" t="n">
        <v>45142</v>
      </c>
      <c r="C449" s="1" t="n">
        <v>45669</v>
      </c>
      <c r="D449" t="inlineStr">
        <is>
          <t>NORRBOTTENS LÄN</t>
        </is>
      </c>
      <c r="E449" t="inlineStr">
        <is>
          <t>ÖVERTORNEÅ</t>
        </is>
      </c>
      <c r="G449" t="n">
        <v>5.3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35866-2023</t>
        </is>
      </c>
      <c r="B450" s="1" t="n">
        <v>45148</v>
      </c>
      <c r="C450" s="1" t="n">
        <v>45669</v>
      </c>
      <c r="D450" t="inlineStr">
        <is>
          <t>NORRBOTTENS LÄN</t>
        </is>
      </c>
      <c r="E450" t="inlineStr">
        <is>
          <t>ÖVERTORNEÅ</t>
        </is>
      </c>
      <c r="G450" t="n">
        <v>2.6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35995-2023</t>
        </is>
      </c>
      <c r="B451" s="1" t="n">
        <v>45149</v>
      </c>
      <c r="C451" s="1" t="n">
        <v>45669</v>
      </c>
      <c r="D451" t="inlineStr">
        <is>
          <t>NORRBOTTENS LÄN</t>
        </is>
      </c>
      <c r="E451" t="inlineStr">
        <is>
          <t>ÖVERTORNEÅ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36057-2023</t>
        </is>
      </c>
      <c r="B452" s="1" t="n">
        <v>45149</v>
      </c>
      <c r="C452" s="1" t="n">
        <v>45669</v>
      </c>
      <c r="D452" t="inlineStr">
        <is>
          <t>NORRBOTTENS LÄN</t>
        </is>
      </c>
      <c r="E452" t="inlineStr">
        <is>
          <t>ÖVERTORNEÅ</t>
        </is>
      </c>
      <c r="G452" t="n">
        <v>3.7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36737-2023</t>
        </is>
      </c>
      <c r="B453" s="1" t="n">
        <v>45153</v>
      </c>
      <c r="C453" s="1" t="n">
        <v>45669</v>
      </c>
      <c r="D453" t="inlineStr">
        <is>
          <t>NORRBOTTENS LÄN</t>
        </is>
      </c>
      <c r="E453" t="inlineStr">
        <is>
          <t>ÖVERTORNEÅ</t>
        </is>
      </c>
      <c r="G453" t="n">
        <v>3.7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37971-2023</t>
        </is>
      </c>
      <c r="B454" s="1" t="n">
        <v>45160</v>
      </c>
      <c r="C454" s="1" t="n">
        <v>45669</v>
      </c>
      <c r="D454" t="inlineStr">
        <is>
          <t>NORRBOTTENS LÄN</t>
        </is>
      </c>
      <c r="E454" t="inlineStr">
        <is>
          <t>ÖVERTORNEÅ</t>
        </is>
      </c>
      <c r="G454" t="n">
        <v>5.4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38005-2023</t>
        </is>
      </c>
      <c r="B455" s="1" t="n">
        <v>45160</v>
      </c>
      <c r="C455" s="1" t="n">
        <v>45669</v>
      </c>
      <c r="D455" t="inlineStr">
        <is>
          <t>NORRBOTTENS LÄN</t>
        </is>
      </c>
      <c r="E455" t="inlineStr">
        <is>
          <t>ÖVERTORNEÅ</t>
        </is>
      </c>
      <c r="F455" t="inlineStr">
        <is>
          <t>Sveaskog</t>
        </is>
      </c>
      <c r="G455" t="n">
        <v>33.9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38137-2023</t>
        </is>
      </c>
      <c r="B456" s="1" t="n">
        <v>45161</v>
      </c>
      <c r="C456" s="1" t="n">
        <v>45669</v>
      </c>
      <c r="D456" t="inlineStr">
        <is>
          <t>NORRBOTTENS LÄN</t>
        </is>
      </c>
      <c r="E456" t="inlineStr">
        <is>
          <t>ÖVERTORNEÅ</t>
        </is>
      </c>
      <c r="F456" t="inlineStr">
        <is>
          <t>Sveaskog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38204-2023</t>
        </is>
      </c>
      <c r="B457" s="1" t="n">
        <v>45161</v>
      </c>
      <c r="C457" s="1" t="n">
        <v>45669</v>
      </c>
      <c r="D457" t="inlineStr">
        <is>
          <t>NORRBOTTENS LÄN</t>
        </is>
      </c>
      <c r="E457" t="inlineStr">
        <is>
          <t>ÖVERTORNEÅ</t>
        </is>
      </c>
      <c r="G457" t="n">
        <v>15.6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39775-2023</t>
        </is>
      </c>
      <c r="B458" s="1" t="n">
        <v>45167</v>
      </c>
      <c r="C458" s="1" t="n">
        <v>45669</v>
      </c>
      <c r="D458" t="inlineStr">
        <is>
          <t>NORRBOTTENS LÄN</t>
        </is>
      </c>
      <c r="E458" t="inlineStr">
        <is>
          <t>ÖVERTORNEÅ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44096-2023</t>
        </is>
      </c>
      <c r="B459" s="1" t="n">
        <v>45188</v>
      </c>
      <c r="C459" s="1" t="n">
        <v>45669</v>
      </c>
      <c r="D459" t="inlineStr">
        <is>
          <t>NORRBOTTENS LÄN</t>
        </is>
      </c>
      <c r="E459" t="inlineStr">
        <is>
          <t>ÖVERTORNEÅ</t>
        </is>
      </c>
      <c r="G459" t="n">
        <v>16.2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44079-2023</t>
        </is>
      </c>
      <c r="B460" s="1" t="n">
        <v>45188</v>
      </c>
      <c r="C460" s="1" t="n">
        <v>45669</v>
      </c>
      <c r="D460" t="inlineStr">
        <is>
          <t>NORRBOTTENS LÄN</t>
        </is>
      </c>
      <c r="E460" t="inlineStr">
        <is>
          <t>ÖVERTORNEÅ</t>
        </is>
      </c>
      <c r="G460" t="n">
        <v>5.2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46128-2023</t>
        </is>
      </c>
      <c r="B461" s="1" t="n">
        <v>45190</v>
      </c>
      <c r="C461" s="1" t="n">
        <v>45669</v>
      </c>
      <c r="D461" t="inlineStr">
        <is>
          <t>NORRBOTTENS LÄN</t>
        </is>
      </c>
      <c r="E461" t="inlineStr">
        <is>
          <t>ÖVERTORNEÅ</t>
        </is>
      </c>
      <c r="G461" t="n">
        <v>55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46651-2023</t>
        </is>
      </c>
      <c r="B462" s="1" t="n">
        <v>45194</v>
      </c>
      <c r="C462" s="1" t="n">
        <v>45669</v>
      </c>
      <c r="D462" t="inlineStr">
        <is>
          <t>NORRBOTTENS LÄN</t>
        </is>
      </c>
      <c r="E462" t="inlineStr">
        <is>
          <t>ÖVERTORNEÅ</t>
        </is>
      </c>
      <c r="G462" t="n">
        <v>10.1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46666-2023</t>
        </is>
      </c>
      <c r="B463" s="1" t="n">
        <v>45194</v>
      </c>
      <c r="C463" s="1" t="n">
        <v>45669</v>
      </c>
      <c r="D463" t="inlineStr">
        <is>
          <t>NORRBOTTENS LÄN</t>
        </is>
      </c>
      <c r="E463" t="inlineStr">
        <is>
          <t>ÖVERTORNEÅ</t>
        </is>
      </c>
      <c r="G463" t="n">
        <v>10.9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46644-2023</t>
        </is>
      </c>
      <c r="B464" s="1" t="n">
        <v>45194</v>
      </c>
      <c r="C464" s="1" t="n">
        <v>45669</v>
      </c>
      <c r="D464" t="inlineStr">
        <is>
          <t>NORRBOTTENS LÄN</t>
        </is>
      </c>
      <c r="E464" t="inlineStr">
        <is>
          <t>ÖVERTORNEÅ</t>
        </is>
      </c>
      <c r="G464" t="n">
        <v>5.3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46671-2023</t>
        </is>
      </c>
      <c r="B465" s="1" t="n">
        <v>45194</v>
      </c>
      <c r="C465" s="1" t="n">
        <v>45669</v>
      </c>
      <c r="D465" t="inlineStr">
        <is>
          <t>NORRBOTTENS LÄN</t>
        </is>
      </c>
      <c r="E465" t="inlineStr">
        <is>
          <t>ÖVERTORNEÅ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47082-2023</t>
        </is>
      </c>
      <c r="B466" s="1" t="n">
        <v>45201</v>
      </c>
      <c r="C466" s="1" t="n">
        <v>45669</v>
      </c>
      <c r="D466" t="inlineStr">
        <is>
          <t>NORRBOTTENS LÄN</t>
        </is>
      </c>
      <c r="E466" t="inlineStr">
        <is>
          <t>ÖVERTORNEÅ</t>
        </is>
      </c>
      <c r="G466" t="n">
        <v>9.800000000000001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47476-2023</t>
        </is>
      </c>
      <c r="B467" s="1" t="n">
        <v>45203</v>
      </c>
      <c r="C467" s="1" t="n">
        <v>45669</v>
      </c>
      <c r="D467" t="inlineStr">
        <is>
          <t>NORRBOTTENS LÄN</t>
        </is>
      </c>
      <c r="E467" t="inlineStr">
        <is>
          <t>ÖVERTORNEÅ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47475-2023</t>
        </is>
      </c>
      <c r="B468" s="1" t="n">
        <v>45202</v>
      </c>
      <c r="C468" s="1" t="n">
        <v>45669</v>
      </c>
      <c r="D468" t="inlineStr">
        <is>
          <t>NORRBOTTENS LÄN</t>
        </is>
      </c>
      <c r="E468" t="inlineStr">
        <is>
          <t>ÖVERTORNEÅ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49482-2023</t>
        </is>
      </c>
      <c r="B469" s="1" t="n">
        <v>45205</v>
      </c>
      <c r="C469" s="1" t="n">
        <v>45669</v>
      </c>
      <c r="D469" t="inlineStr">
        <is>
          <t>NORRBOTTENS LÄN</t>
        </is>
      </c>
      <c r="E469" t="inlineStr">
        <is>
          <t>ÖVERTORNEÅ</t>
        </is>
      </c>
      <c r="G469" t="n">
        <v>3.9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48758-2023</t>
        </is>
      </c>
      <c r="B470" s="1" t="n">
        <v>45209</v>
      </c>
      <c r="C470" s="1" t="n">
        <v>45669</v>
      </c>
      <c r="D470" t="inlineStr">
        <is>
          <t>NORRBOTTENS LÄN</t>
        </is>
      </c>
      <c r="E470" t="inlineStr">
        <is>
          <t>ÖVERTORNEÅ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48756-2023</t>
        </is>
      </c>
      <c r="B471" s="1" t="n">
        <v>45209</v>
      </c>
      <c r="C471" s="1" t="n">
        <v>45669</v>
      </c>
      <c r="D471" t="inlineStr">
        <is>
          <t>NORRBOTTENS LÄN</t>
        </is>
      </c>
      <c r="E471" t="inlineStr">
        <is>
          <t>ÖVERTORNEÅ</t>
        </is>
      </c>
      <c r="G471" t="n">
        <v>10.3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49223-2023</t>
        </is>
      </c>
      <c r="B472" s="1" t="n">
        <v>45210</v>
      </c>
      <c r="C472" s="1" t="n">
        <v>45669</v>
      </c>
      <c r="D472" t="inlineStr">
        <is>
          <t>NORRBOTTENS LÄN</t>
        </is>
      </c>
      <c r="E472" t="inlineStr">
        <is>
          <t>ÖVERTORNEÅ</t>
        </is>
      </c>
      <c r="F472" t="inlineStr">
        <is>
          <t>Sveaskog</t>
        </is>
      </c>
      <c r="G472" t="n">
        <v>33.7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50679-2023</t>
        </is>
      </c>
      <c r="B473" s="1" t="n">
        <v>45217</v>
      </c>
      <c r="C473" s="1" t="n">
        <v>45669</v>
      </c>
      <c r="D473" t="inlineStr">
        <is>
          <t>NORRBOTTENS LÄN</t>
        </is>
      </c>
      <c r="E473" t="inlineStr">
        <is>
          <t>ÖVERTORNEÅ</t>
        </is>
      </c>
      <c r="G473" t="n">
        <v>12.3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50673-2023</t>
        </is>
      </c>
      <c r="B474" s="1" t="n">
        <v>45217</v>
      </c>
      <c r="C474" s="1" t="n">
        <v>45669</v>
      </c>
      <c r="D474" t="inlineStr">
        <is>
          <t>NORRBOTTENS LÄN</t>
        </is>
      </c>
      <c r="E474" t="inlineStr">
        <is>
          <t>ÖVERTORNEÅ</t>
        </is>
      </c>
      <c r="G474" t="n">
        <v>7.3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50807-2023</t>
        </is>
      </c>
      <c r="B475" s="1" t="n">
        <v>45217</v>
      </c>
      <c r="C475" s="1" t="n">
        <v>45669</v>
      </c>
      <c r="D475" t="inlineStr">
        <is>
          <t>NORRBOTTENS LÄN</t>
        </is>
      </c>
      <c r="E475" t="inlineStr">
        <is>
          <t>ÖVERTORNEÅ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52274-2023</t>
        </is>
      </c>
      <c r="B476" s="1" t="n">
        <v>45217</v>
      </c>
      <c r="C476" s="1" t="n">
        <v>45669</v>
      </c>
      <c r="D476" t="inlineStr">
        <is>
          <t>NORRBOTTENS LÄN</t>
        </is>
      </c>
      <c r="E476" t="inlineStr">
        <is>
          <t>ÖVERTORNEÅ</t>
        </is>
      </c>
      <c r="G476" t="n">
        <v>6.7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51682-2023</t>
        </is>
      </c>
      <c r="B477" s="1" t="n">
        <v>45222</v>
      </c>
      <c r="C477" s="1" t="n">
        <v>45669</v>
      </c>
      <c r="D477" t="inlineStr">
        <is>
          <t>NORRBOTTENS LÄN</t>
        </is>
      </c>
      <c r="E477" t="inlineStr">
        <is>
          <t>ÖVERTORNEÅ</t>
        </is>
      </c>
      <c r="G477" t="n">
        <v>3.1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53075-2023</t>
        </is>
      </c>
      <c r="B478" s="1" t="n">
        <v>45227</v>
      </c>
      <c r="C478" s="1" t="n">
        <v>45669</v>
      </c>
      <c r="D478" t="inlineStr">
        <is>
          <t>NORRBOTTENS LÄN</t>
        </is>
      </c>
      <c r="E478" t="inlineStr">
        <is>
          <t>ÖVERTORNEÅ</t>
        </is>
      </c>
      <c r="G478" t="n">
        <v>2.3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53077-2023</t>
        </is>
      </c>
      <c r="B479" s="1" t="n">
        <v>45227</v>
      </c>
      <c r="C479" s="1" t="n">
        <v>45669</v>
      </c>
      <c r="D479" t="inlineStr">
        <is>
          <t>NORRBOTTENS LÄN</t>
        </is>
      </c>
      <c r="E479" t="inlineStr">
        <is>
          <t>ÖVERTORNEÅ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55064-2023</t>
        </is>
      </c>
      <c r="B480" s="1" t="n">
        <v>45230</v>
      </c>
      <c r="C480" s="1" t="n">
        <v>45669</v>
      </c>
      <c r="D480" t="inlineStr">
        <is>
          <t>NORRBOTTENS LÄN</t>
        </is>
      </c>
      <c r="E480" t="inlineStr">
        <is>
          <t>ÖVERTORNEÅ</t>
        </is>
      </c>
      <c r="G480" t="n">
        <v>11.4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54029-2023</t>
        </is>
      </c>
      <c r="B481" s="1" t="n">
        <v>45231</v>
      </c>
      <c r="C481" s="1" t="n">
        <v>45669</v>
      </c>
      <c r="D481" t="inlineStr">
        <is>
          <t>NORRBOTTENS LÄN</t>
        </is>
      </c>
      <c r="E481" t="inlineStr">
        <is>
          <t>ÖVERTORNEÅ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54597-2023</t>
        </is>
      </c>
      <c r="B482" s="1" t="n">
        <v>45233</v>
      </c>
      <c r="C482" s="1" t="n">
        <v>45669</v>
      </c>
      <c r="D482" t="inlineStr">
        <is>
          <t>NORRBOTTENS LÄN</t>
        </is>
      </c>
      <c r="E482" t="inlineStr">
        <is>
          <t>ÖVERTORNEÅ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56845-2023</t>
        </is>
      </c>
      <c r="B483" s="1" t="n">
        <v>45244</v>
      </c>
      <c r="C483" s="1" t="n">
        <v>45669</v>
      </c>
      <c r="D483" t="inlineStr">
        <is>
          <t>NORRBOTTENS LÄN</t>
        </is>
      </c>
      <c r="E483" t="inlineStr">
        <is>
          <t>ÖVERTORNEÅ</t>
        </is>
      </c>
      <c r="G483" t="n">
        <v>6.2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62291-2023</t>
        </is>
      </c>
      <c r="B484" s="1" t="n">
        <v>45266</v>
      </c>
      <c r="C484" s="1" t="n">
        <v>45669</v>
      </c>
      <c r="D484" t="inlineStr">
        <is>
          <t>NORRBOTTENS LÄN</t>
        </is>
      </c>
      <c r="E484" t="inlineStr">
        <is>
          <t>ÖVERTORNEÅ</t>
        </is>
      </c>
      <c r="G484" t="n">
        <v>3.4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62826-2023</t>
        </is>
      </c>
      <c r="B485" s="1" t="n">
        <v>45271</v>
      </c>
      <c r="C485" s="1" t="n">
        <v>45669</v>
      </c>
      <c r="D485" t="inlineStr">
        <is>
          <t>NORRBOTTENS LÄN</t>
        </is>
      </c>
      <c r="E485" t="inlineStr">
        <is>
          <t>ÖVERTORNEÅ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63056-2023</t>
        </is>
      </c>
      <c r="B486" s="1" t="n">
        <v>45272</v>
      </c>
      <c r="C486" s="1" t="n">
        <v>45669</v>
      </c>
      <c r="D486" t="inlineStr">
        <is>
          <t>NORRBOTTENS LÄN</t>
        </is>
      </c>
      <c r="E486" t="inlineStr">
        <is>
          <t>ÖVERTORNEÅ</t>
        </is>
      </c>
      <c r="G486" t="n">
        <v>11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63285-2023</t>
        </is>
      </c>
      <c r="B487" s="1" t="n">
        <v>45273</v>
      </c>
      <c r="C487" s="1" t="n">
        <v>45669</v>
      </c>
      <c r="D487" t="inlineStr">
        <is>
          <t>NORRBOTTENS LÄN</t>
        </is>
      </c>
      <c r="E487" t="inlineStr">
        <is>
          <t>ÖVERTORNEÅ</t>
        </is>
      </c>
      <c r="G487" t="n">
        <v>0.3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63475-2023</t>
        </is>
      </c>
      <c r="B488" s="1" t="n">
        <v>45274</v>
      </c>
      <c r="C488" s="1" t="n">
        <v>45669</v>
      </c>
      <c r="D488" t="inlineStr">
        <is>
          <t>NORRBOTTENS LÄN</t>
        </is>
      </c>
      <c r="E488" t="inlineStr">
        <is>
          <t>ÖVERTORNEÅ</t>
        </is>
      </c>
      <c r="G488" t="n">
        <v>4.3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63527-2023</t>
        </is>
      </c>
      <c r="B489" s="1" t="n">
        <v>45274</v>
      </c>
      <c r="C489" s="1" t="n">
        <v>45669</v>
      </c>
      <c r="D489" t="inlineStr">
        <is>
          <t>NORRBOTTENS LÄN</t>
        </is>
      </c>
      <c r="E489" t="inlineStr">
        <is>
          <t>ÖVERTORNEÅ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63526-2023</t>
        </is>
      </c>
      <c r="B490" s="1" t="n">
        <v>45274</v>
      </c>
      <c r="C490" s="1" t="n">
        <v>45669</v>
      </c>
      <c r="D490" t="inlineStr">
        <is>
          <t>NORRBOTTENS LÄN</t>
        </is>
      </c>
      <c r="E490" t="inlineStr">
        <is>
          <t>ÖVERTORNEÅ</t>
        </is>
      </c>
      <c r="G490" t="n">
        <v>2.5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64021-2023</t>
        </is>
      </c>
      <c r="B491" s="1" t="n">
        <v>45278</v>
      </c>
      <c r="C491" s="1" t="n">
        <v>45669</v>
      </c>
      <c r="D491" t="inlineStr">
        <is>
          <t>NORRBOTTENS LÄN</t>
        </is>
      </c>
      <c r="E491" t="inlineStr">
        <is>
          <t>ÖVERTORNEÅ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64241-2023</t>
        </is>
      </c>
      <c r="B492" s="1" t="n">
        <v>45279</v>
      </c>
      <c r="C492" s="1" t="n">
        <v>45669</v>
      </c>
      <c r="D492" t="inlineStr">
        <is>
          <t>NORRBOTTENS LÄN</t>
        </is>
      </c>
      <c r="E492" t="inlineStr">
        <is>
          <t>ÖVERTORNEÅ</t>
        </is>
      </c>
      <c r="G492" t="n">
        <v>8.1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64253-2023</t>
        </is>
      </c>
      <c r="B493" s="1" t="n">
        <v>45279</v>
      </c>
      <c r="C493" s="1" t="n">
        <v>45669</v>
      </c>
      <c r="D493" t="inlineStr">
        <is>
          <t>NORRBOTTENS LÄN</t>
        </is>
      </c>
      <c r="E493" t="inlineStr">
        <is>
          <t>ÖVERTORNEÅ</t>
        </is>
      </c>
      <c r="G493" t="n">
        <v>3.7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64243-2023</t>
        </is>
      </c>
      <c r="B494" s="1" t="n">
        <v>45279</v>
      </c>
      <c r="C494" s="1" t="n">
        <v>45669</v>
      </c>
      <c r="D494" t="inlineStr">
        <is>
          <t>NORRBOTTENS LÄN</t>
        </is>
      </c>
      <c r="E494" t="inlineStr">
        <is>
          <t>ÖVERTORNEÅ</t>
        </is>
      </c>
      <c r="G494" t="n">
        <v>3.7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64252-2023</t>
        </is>
      </c>
      <c r="B495" s="1" t="n">
        <v>45279</v>
      </c>
      <c r="C495" s="1" t="n">
        <v>45669</v>
      </c>
      <c r="D495" t="inlineStr">
        <is>
          <t>NORRBOTTENS LÄN</t>
        </is>
      </c>
      <c r="E495" t="inlineStr">
        <is>
          <t>ÖVERTORNEÅ</t>
        </is>
      </c>
      <c r="G495" t="n">
        <v>8.1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64554-2023</t>
        </is>
      </c>
      <c r="B496" s="1" t="n">
        <v>45281</v>
      </c>
      <c r="C496" s="1" t="n">
        <v>45669</v>
      </c>
      <c r="D496" t="inlineStr">
        <is>
          <t>NORRBOTTENS LÄN</t>
        </is>
      </c>
      <c r="E496" t="inlineStr">
        <is>
          <t>ÖVERTORNEÅ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65182-2023</t>
        </is>
      </c>
      <c r="B497" s="1" t="n">
        <v>45288</v>
      </c>
      <c r="C497" s="1" t="n">
        <v>45669</v>
      </c>
      <c r="D497" t="inlineStr">
        <is>
          <t>NORRBOTTENS LÄN</t>
        </is>
      </c>
      <c r="E497" t="inlineStr">
        <is>
          <t>ÖVERTORNEÅ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138-2024</t>
        </is>
      </c>
      <c r="B498" s="1" t="n">
        <v>45293</v>
      </c>
      <c r="C498" s="1" t="n">
        <v>45669</v>
      </c>
      <c r="D498" t="inlineStr">
        <is>
          <t>NORRBOTTENS LÄN</t>
        </is>
      </c>
      <c r="E498" t="inlineStr">
        <is>
          <t>ÖVERTORNEÅ</t>
        </is>
      </c>
      <c r="G498" t="n">
        <v>5.7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148-2024</t>
        </is>
      </c>
      <c r="B499" s="1" t="n">
        <v>45293</v>
      </c>
      <c r="C499" s="1" t="n">
        <v>45669</v>
      </c>
      <c r="D499" t="inlineStr">
        <is>
          <t>NORRBOTTENS LÄN</t>
        </is>
      </c>
      <c r="E499" t="inlineStr">
        <is>
          <t>ÖVERTORNEÅ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855-2024</t>
        </is>
      </c>
      <c r="B500" s="1" t="n">
        <v>45300</v>
      </c>
      <c r="C500" s="1" t="n">
        <v>45669</v>
      </c>
      <c r="D500" t="inlineStr">
        <is>
          <t>NORRBOTTENS LÄN</t>
        </is>
      </c>
      <c r="E500" t="inlineStr">
        <is>
          <t>ÖVERTORNEÅ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1623-2024</t>
        </is>
      </c>
      <c r="B501" s="1" t="n">
        <v>45306</v>
      </c>
      <c r="C501" s="1" t="n">
        <v>45669</v>
      </c>
      <c r="D501" t="inlineStr">
        <is>
          <t>NORRBOTTENS LÄN</t>
        </is>
      </c>
      <c r="E501" t="inlineStr">
        <is>
          <t>ÖVERTORNEÅ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1640-2024</t>
        </is>
      </c>
      <c r="B502" s="1" t="n">
        <v>45306</v>
      </c>
      <c r="C502" s="1" t="n">
        <v>45669</v>
      </c>
      <c r="D502" t="inlineStr">
        <is>
          <t>NORRBOTTENS LÄN</t>
        </is>
      </c>
      <c r="E502" t="inlineStr">
        <is>
          <t>ÖVERTORNEÅ</t>
        </is>
      </c>
      <c r="G502" t="n">
        <v>7.4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5030-2024</t>
        </is>
      </c>
      <c r="B503" s="1" t="n">
        <v>45329</v>
      </c>
      <c r="C503" s="1" t="n">
        <v>45669</v>
      </c>
      <c r="D503" t="inlineStr">
        <is>
          <t>NORRBOTTENS LÄN</t>
        </is>
      </c>
      <c r="E503" t="inlineStr">
        <is>
          <t>ÖVERTORNEÅ</t>
        </is>
      </c>
      <c r="G503" t="n">
        <v>0.3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8509-2024</t>
        </is>
      </c>
      <c r="B504" s="1" t="n">
        <v>45351</v>
      </c>
      <c r="C504" s="1" t="n">
        <v>45669</v>
      </c>
      <c r="D504" t="inlineStr">
        <is>
          <t>NORRBOTTENS LÄN</t>
        </is>
      </c>
      <c r="E504" t="inlineStr">
        <is>
          <t>ÖVERTORNEÅ</t>
        </is>
      </c>
      <c r="G504" t="n">
        <v>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8514-2024</t>
        </is>
      </c>
      <c r="B505" s="1" t="n">
        <v>45351</v>
      </c>
      <c r="C505" s="1" t="n">
        <v>45669</v>
      </c>
      <c r="D505" t="inlineStr">
        <is>
          <t>NORRBOTTENS LÄN</t>
        </is>
      </c>
      <c r="E505" t="inlineStr">
        <is>
          <t>ÖVERTORNEÅ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8476-2024</t>
        </is>
      </c>
      <c r="B506" s="1" t="n">
        <v>45351</v>
      </c>
      <c r="C506" s="1" t="n">
        <v>45669</v>
      </c>
      <c r="D506" t="inlineStr">
        <is>
          <t>NORRBOTTENS LÄN</t>
        </is>
      </c>
      <c r="E506" t="inlineStr">
        <is>
          <t>ÖVERTORNEÅ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10192-2024</t>
        </is>
      </c>
      <c r="B507" s="1" t="n">
        <v>45364</v>
      </c>
      <c r="C507" s="1" t="n">
        <v>45669</v>
      </c>
      <c r="D507" t="inlineStr">
        <is>
          <t>NORRBOTTENS LÄN</t>
        </is>
      </c>
      <c r="E507" t="inlineStr">
        <is>
          <t>ÖVERTORNEÅ</t>
        </is>
      </c>
      <c r="G507" t="n">
        <v>2.4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10193-2024</t>
        </is>
      </c>
      <c r="B508" s="1" t="n">
        <v>45364</v>
      </c>
      <c r="C508" s="1" t="n">
        <v>45669</v>
      </c>
      <c r="D508" t="inlineStr">
        <is>
          <t>NORRBOTTENS LÄN</t>
        </is>
      </c>
      <c r="E508" t="inlineStr">
        <is>
          <t>ÖVERTORNEÅ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10753-2024</t>
        </is>
      </c>
      <c r="B509" s="1" t="n">
        <v>45369</v>
      </c>
      <c r="C509" s="1" t="n">
        <v>45669</v>
      </c>
      <c r="D509" t="inlineStr">
        <is>
          <t>NORRBOTTENS LÄN</t>
        </is>
      </c>
      <c r="E509" t="inlineStr">
        <is>
          <t>ÖVERTORNEÅ</t>
        </is>
      </c>
      <c r="G509" t="n">
        <v>3.8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11969-2024</t>
        </is>
      </c>
      <c r="B510" s="1" t="n">
        <v>45376</v>
      </c>
      <c r="C510" s="1" t="n">
        <v>45669</v>
      </c>
      <c r="D510" t="inlineStr">
        <is>
          <t>NORRBOTTENS LÄN</t>
        </is>
      </c>
      <c r="E510" t="inlineStr">
        <is>
          <t>ÖVERTORNEÅ</t>
        </is>
      </c>
      <c r="G510" t="n">
        <v>7.6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11967-2024</t>
        </is>
      </c>
      <c r="B511" s="1" t="n">
        <v>45376</v>
      </c>
      <c r="C511" s="1" t="n">
        <v>45669</v>
      </c>
      <c r="D511" t="inlineStr">
        <is>
          <t>NORRBOTTENS LÄN</t>
        </is>
      </c>
      <c r="E511" t="inlineStr">
        <is>
          <t>ÖVERTORNEÅ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11968-2024</t>
        </is>
      </c>
      <c r="B512" s="1" t="n">
        <v>45376</v>
      </c>
      <c r="C512" s="1" t="n">
        <v>45669</v>
      </c>
      <c r="D512" t="inlineStr">
        <is>
          <t>NORRBOTTENS LÄN</t>
        </is>
      </c>
      <c r="E512" t="inlineStr">
        <is>
          <t>ÖVERTORNEÅ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11972-2024</t>
        </is>
      </c>
      <c r="B513" s="1" t="n">
        <v>45376</v>
      </c>
      <c r="C513" s="1" t="n">
        <v>45669</v>
      </c>
      <c r="D513" t="inlineStr">
        <is>
          <t>NORRBOTTENS LÄN</t>
        </is>
      </c>
      <c r="E513" t="inlineStr">
        <is>
          <t>ÖVERTORNEÅ</t>
        </is>
      </c>
      <c r="G513" t="n">
        <v>18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12164-2024</t>
        </is>
      </c>
      <c r="B514" s="1" t="n">
        <v>45377</v>
      </c>
      <c r="C514" s="1" t="n">
        <v>45669</v>
      </c>
      <c r="D514" t="inlineStr">
        <is>
          <t>NORRBOTTENS LÄN</t>
        </is>
      </c>
      <c r="E514" t="inlineStr">
        <is>
          <t>ÖVERTORNEÅ</t>
        </is>
      </c>
      <c r="G514" t="n">
        <v>3.5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12163-2024</t>
        </is>
      </c>
      <c r="B515" s="1" t="n">
        <v>45377</v>
      </c>
      <c r="C515" s="1" t="n">
        <v>45669</v>
      </c>
      <c r="D515" t="inlineStr">
        <is>
          <t>NORRBOTTENS LÄN</t>
        </is>
      </c>
      <c r="E515" t="inlineStr">
        <is>
          <t>ÖVERTORNEÅ</t>
        </is>
      </c>
      <c r="G515" t="n">
        <v>2.8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12532-2024</t>
        </is>
      </c>
      <c r="B516" s="1" t="n">
        <v>45379</v>
      </c>
      <c r="C516" s="1" t="n">
        <v>45669</v>
      </c>
      <c r="D516" t="inlineStr">
        <is>
          <t>NORRBOTTENS LÄN</t>
        </is>
      </c>
      <c r="E516" t="inlineStr">
        <is>
          <t>ÖVERTORNEÅ</t>
        </is>
      </c>
      <c r="G516" t="n">
        <v>10.3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12674-2024</t>
        </is>
      </c>
      <c r="B517" s="1" t="n">
        <v>45384</v>
      </c>
      <c r="C517" s="1" t="n">
        <v>45669</v>
      </c>
      <c r="D517" t="inlineStr">
        <is>
          <t>NORRBOTTENS LÄN</t>
        </is>
      </c>
      <c r="E517" t="inlineStr">
        <is>
          <t>ÖVERTORNEÅ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12677-2024</t>
        </is>
      </c>
      <c r="B518" s="1" t="n">
        <v>45384</v>
      </c>
      <c r="C518" s="1" t="n">
        <v>45669</v>
      </c>
      <c r="D518" t="inlineStr">
        <is>
          <t>NORRBOTTENS LÄN</t>
        </is>
      </c>
      <c r="E518" t="inlineStr">
        <is>
          <t>ÖVERTORNEÅ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13755-2024</t>
        </is>
      </c>
      <c r="B519" s="1" t="n">
        <v>45390</v>
      </c>
      <c r="C519" s="1" t="n">
        <v>45669</v>
      </c>
      <c r="D519" t="inlineStr">
        <is>
          <t>NORRBOTTENS LÄN</t>
        </is>
      </c>
      <c r="E519" t="inlineStr">
        <is>
          <t>ÖVERTORNEÅ</t>
        </is>
      </c>
      <c r="G519" t="n">
        <v>2.6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13756-2024</t>
        </is>
      </c>
      <c r="B520" s="1" t="n">
        <v>45390</v>
      </c>
      <c r="C520" s="1" t="n">
        <v>45669</v>
      </c>
      <c r="D520" t="inlineStr">
        <is>
          <t>NORRBOTTENS LÄN</t>
        </is>
      </c>
      <c r="E520" t="inlineStr">
        <is>
          <t>ÖVERTORNEÅ</t>
        </is>
      </c>
      <c r="G520" t="n">
        <v>10.8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13842-2024</t>
        </is>
      </c>
      <c r="B521" s="1" t="n">
        <v>45390</v>
      </c>
      <c r="C521" s="1" t="n">
        <v>45669</v>
      </c>
      <c r="D521" t="inlineStr">
        <is>
          <t>NORRBOTTENS LÄN</t>
        </is>
      </c>
      <c r="E521" t="inlineStr">
        <is>
          <t>ÖVERTORNEÅ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13754-2024</t>
        </is>
      </c>
      <c r="B522" s="1" t="n">
        <v>45390</v>
      </c>
      <c r="C522" s="1" t="n">
        <v>45669</v>
      </c>
      <c r="D522" t="inlineStr">
        <is>
          <t>NORRBOTTENS LÄN</t>
        </is>
      </c>
      <c r="E522" t="inlineStr">
        <is>
          <t>ÖVERTORNEÅ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14264-2024</t>
        </is>
      </c>
      <c r="B523" s="1" t="n">
        <v>45393</v>
      </c>
      <c r="C523" s="1" t="n">
        <v>45669</v>
      </c>
      <c r="D523" t="inlineStr">
        <is>
          <t>NORRBOTTENS LÄN</t>
        </is>
      </c>
      <c r="E523" t="inlineStr">
        <is>
          <t>ÖVERTORNEÅ</t>
        </is>
      </c>
      <c r="G523" t="n">
        <v>2.3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14271-2024</t>
        </is>
      </c>
      <c r="B524" s="1" t="n">
        <v>45393</v>
      </c>
      <c r="C524" s="1" t="n">
        <v>45669</v>
      </c>
      <c r="D524" t="inlineStr">
        <is>
          <t>NORRBOTTENS LÄN</t>
        </is>
      </c>
      <c r="E524" t="inlineStr">
        <is>
          <t>ÖVERTORNEÅ</t>
        </is>
      </c>
      <c r="G524" t="n">
        <v>7.8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14392-2024</t>
        </is>
      </c>
      <c r="B525" s="1" t="n">
        <v>45394</v>
      </c>
      <c r="C525" s="1" t="n">
        <v>45669</v>
      </c>
      <c r="D525" t="inlineStr">
        <is>
          <t>NORRBOTTENS LÄN</t>
        </is>
      </c>
      <c r="E525" t="inlineStr">
        <is>
          <t>ÖVERTORNEÅ</t>
        </is>
      </c>
      <c r="G525" t="n">
        <v>5.7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14591-2024</t>
        </is>
      </c>
      <c r="B526" s="1" t="n">
        <v>45395</v>
      </c>
      <c r="C526" s="1" t="n">
        <v>45669</v>
      </c>
      <c r="D526" t="inlineStr">
        <is>
          <t>NORRBOTTENS LÄN</t>
        </is>
      </c>
      <c r="E526" t="inlineStr">
        <is>
          <t>ÖVERTORNEÅ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14636-2024</t>
        </is>
      </c>
      <c r="B527" s="1" t="n">
        <v>45397</v>
      </c>
      <c r="C527" s="1" t="n">
        <v>45669</v>
      </c>
      <c r="D527" t="inlineStr">
        <is>
          <t>NORRBOTTENS LÄN</t>
        </is>
      </c>
      <c r="E527" t="inlineStr">
        <is>
          <t>ÖVERTORNEÅ</t>
        </is>
      </c>
      <c r="F527" t="inlineStr">
        <is>
          <t>Sveaskog</t>
        </is>
      </c>
      <c r="G527" t="n">
        <v>23.3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14826-2024</t>
        </is>
      </c>
      <c r="B528" s="1" t="n">
        <v>45398</v>
      </c>
      <c r="C528" s="1" t="n">
        <v>45669</v>
      </c>
      <c r="D528" t="inlineStr">
        <is>
          <t>NORRBOTTENS LÄN</t>
        </is>
      </c>
      <c r="E528" t="inlineStr">
        <is>
          <t>ÖVERTORNEÅ</t>
        </is>
      </c>
      <c r="F528" t="inlineStr">
        <is>
          <t>Sveaskog</t>
        </is>
      </c>
      <c r="G528" t="n">
        <v>32.7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15764-2024</t>
        </is>
      </c>
      <c r="B529" s="1" t="n">
        <v>45404</v>
      </c>
      <c r="C529" s="1" t="n">
        <v>45669</v>
      </c>
      <c r="D529" t="inlineStr">
        <is>
          <t>NORRBOTTENS LÄN</t>
        </is>
      </c>
      <c r="E529" t="inlineStr">
        <is>
          <t>ÖVERTORNEÅ</t>
        </is>
      </c>
      <c r="G529" t="n">
        <v>2.4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16000-2024</t>
        </is>
      </c>
      <c r="B530" s="1" t="n">
        <v>45405</v>
      </c>
      <c r="C530" s="1" t="n">
        <v>45669</v>
      </c>
      <c r="D530" t="inlineStr">
        <is>
          <t>NORRBOTTENS LÄN</t>
        </is>
      </c>
      <c r="E530" t="inlineStr">
        <is>
          <t>ÖVERTORNEÅ</t>
        </is>
      </c>
      <c r="G530" t="n">
        <v>3.8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16028-2024</t>
        </is>
      </c>
      <c r="B531" s="1" t="n">
        <v>45405</v>
      </c>
      <c r="C531" s="1" t="n">
        <v>45669</v>
      </c>
      <c r="D531" t="inlineStr">
        <is>
          <t>NORRBOTTENS LÄN</t>
        </is>
      </c>
      <c r="E531" t="inlineStr">
        <is>
          <t>ÖVERTORNEÅ</t>
        </is>
      </c>
      <c r="G531" t="n">
        <v>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16006-2024</t>
        </is>
      </c>
      <c r="B532" s="1" t="n">
        <v>45405</v>
      </c>
      <c r="C532" s="1" t="n">
        <v>45669</v>
      </c>
      <c r="D532" t="inlineStr">
        <is>
          <t>NORRBOTTENS LÄN</t>
        </is>
      </c>
      <c r="E532" t="inlineStr">
        <is>
          <t>ÖVERTORNEÅ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16452-2024</t>
        </is>
      </c>
      <c r="B533" s="1" t="n">
        <v>45408</v>
      </c>
      <c r="C533" s="1" t="n">
        <v>45669</v>
      </c>
      <c r="D533" t="inlineStr">
        <is>
          <t>NORRBOTTENS LÄN</t>
        </is>
      </c>
      <c r="E533" t="inlineStr">
        <is>
          <t>ÖVERTORNEÅ</t>
        </is>
      </c>
      <c r="G533" t="n">
        <v>3.7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17068-2024</t>
        </is>
      </c>
      <c r="B534" s="1" t="n">
        <v>45412</v>
      </c>
      <c r="C534" s="1" t="n">
        <v>45669</v>
      </c>
      <c r="D534" t="inlineStr">
        <is>
          <t>NORRBOTTENS LÄN</t>
        </is>
      </c>
      <c r="E534" t="inlineStr">
        <is>
          <t>ÖVERTORNEÅ</t>
        </is>
      </c>
      <c r="F534" t="inlineStr">
        <is>
          <t>Naturvårdsverket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17808-2024</t>
        </is>
      </c>
      <c r="B535" s="1" t="n">
        <v>45419</v>
      </c>
      <c r="C535" s="1" t="n">
        <v>45669</v>
      </c>
      <c r="D535" t="inlineStr">
        <is>
          <t>NORRBOTTENS LÄN</t>
        </is>
      </c>
      <c r="E535" t="inlineStr">
        <is>
          <t>ÖVERTORNEÅ</t>
        </is>
      </c>
      <c r="G535" t="n">
        <v>2.6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17807-2024</t>
        </is>
      </c>
      <c r="B536" s="1" t="n">
        <v>45419</v>
      </c>
      <c r="C536" s="1" t="n">
        <v>45669</v>
      </c>
      <c r="D536" t="inlineStr">
        <is>
          <t>NORRBOTTENS LÄN</t>
        </is>
      </c>
      <c r="E536" t="inlineStr">
        <is>
          <t>ÖVERTORNEÅ</t>
        </is>
      </c>
      <c r="G536" t="n">
        <v>2.4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18489-2024</t>
        </is>
      </c>
      <c r="B537" s="1" t="n">
        <v>45425</v>
      </c>
      <c r="C537" s="1" t="n">
        <v>45669</v>
      </c>
      <c r="D537" t="inlineStr">
        <is>
          <t>NORRBOTTENS LÄN</t>
        </is>
      </c>
      <c r="E537" t="inlineStr">
        <is>
          <t>ÖVERTORNEÅ</t>
        </is>
      </c>
      <c r="G537" t="n">
        <v>5.4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19051-2024</t>
        </is>
      </c>
      <c r="B538" s="1" t="n">
        <v>45427</v>
      </c>
      <c r="C538" s="1" t="n">
        <v>45669</v>
      </c>
      <c r="D538" t="inlineStr">
        <is>
          <t>NORRBOTTENS LÄN</t>
        </is>
      </c>
      <c r="E538" t="inlineStr">
        <is>
          <t>ÖVERTORNEÅ</t>
        </is>
      </c>
      <c r="G538" t="n">
        <v>8.199999999999999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19373-2024</t>
        </is>
      </c>
      <c r="B539" s="1" t="n">
        <v>45429</v>
      </c>
      <c r="C539" s="1" t="n">
        <v>45669</v>
      </c>
      <c r="D539" t="inlineStr">
        <is>
          <t>NORRBOTTENS LÄN</t>
        </is>
      </c>
      <c r="E539" t="inlineStr">
        <is>
          <t>ÖVERTORNEÅ</t>
        </is>
      </c>
      <c r="F539" t="inlineStr">
        <is>
          <t>Sveaskog</t>
        </is>
      </c>
      <c r="G539" t="n">
        <v>30.3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20405-2024</t>
        </is>
      </c>
      <c r="B540" s="1" t="n">
        <v>45435</v>
      </c>
      <c r="C540" s="1" t="n">
        <v>45669</v>
      </c>
      <c r="D540" t="inlineStr">
        <is>
          <t>NORRBOTTENS LÄN</t>
        </is>
      </c>
      <c r="E540" t="inlineStr">
        <is>
          <t>ÖVERTORNEÅ</t>
        </is>
      </c>
      <c r="F540" t="inlineStr">
        <is>
          <t>Sveaskog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20557-2024</t>
        </is>
      </c>
      <c r="B541" s="1" t="n">
        <v>45436</v>
      </c>
      <c r="C541" s="1" t="n">
        <v>45669</v>
      </c>
      <c r="D541" t="inlineStr">
        <is>
          <t>NORRBOTTENS LÄN</t>
        </is>
      </c>
      <c r="E541" t="inlineStr">
        <is>
          <t>ÖVERTORNEÅ</t>
        </is>
      </c>
      <c r="G541" t="n">
        <v>5.9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20547-2024</t>
        </is>
      </c>
      <c r="B542" s="1" t="n">
        <v>45436</v>
      </c>
      <c r="C542" s="1" t="n">
        <v>45669</v>
      </c>
      <c r="D542" t="inlineStr">
        <is>
          <t>NORRBOTTENS LÄN</t>
        </is>
      </c>
      <c r="E542" t="inlineStr">
        <is>
          <t>ÖVERTORNEÅ</t>
        </is>
      </c>
      <c r="G542" t="n">
        <v>2.2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20556-2024</t>
        </is>
      </c>
      <c r="B543" s="1" t="n">
        <v>45436</v>
      </c>
      <c r="C543" s="1" t="n">
        <v>45669</v>
      </c>
      <c r="D543" t="inlineStr">
        <is>
          <t>NORRBOTTENS LÄN</t>
        </is>
      </c>
      <c r="E543" t="inlineStr">
        <is>
          <t>ÖVERTORNEÅ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21281-2024</t>
        </is>
      </c>
      <c r="B544" s="1" t="n">
        <v>45440</v>
      </c>
      <c r="C544" s="1" t="n">
        <v>45669</v>
      </c>
      <c r="D544" t="inlineStr">
        <is>
          <t>NORRBOTTENS LÄN</t>
        </is>
      </c>
      <c r="E544" t="inlineStr">
        <is>
          <t>ÖVERTORNEÅ</t>
        </is>
      </c>
      <c r="F544" t="inlineStr">
        <is>
          <t>Sveaskog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21278-2024</t>
        </is>
      </c>
      <c r="B545" s="1" t="n">
        <v>45440</v>
      </c>
      <c r="C545" s="1" t="n">
        <v>45669</v>
      </c>
      <c r="D545" t="inlineStr">
        <is>
          <t>NORRBOTTENS LÄN</t>
        </is>
      </c>
      <c r="E545" t="inlineStr">
        <is>
          <t>ÖVERTORNEÅ</t>
        </is>
      </c>
      <c r="F545" t="inlineStr">
        <is>
          <t>Sveaskog</t>
        </is>
      </c>
      <c r="G545" t="n">
        <v>4.5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21511-2024</t>
        </is>
      </c>
      <c r="B546" s="1" t="n">
        <v>45441</v>
      </c>
      <c r="C546" s="1" t="n">
        <v>45669</v>
      </c>
      <c r="D546" t="inlineStr">
        <is>
          <t>NORRBOTTENS LÄN</t>
        </is>
      </c>
      <c r="E546" t="inlineStr">
        <is>
          <t>ÖVERTORNEÅ</t>
        </is>
      </c>
      <c r="F546" t="inlineStr">
        <is>
          <t>Sveaskog</t>
        </is>
      </c>
      <c r="G546" t="n">
        <v>23.2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21516-2024</t>
        </is>
      </c>
      <c r="B547" s="1" t="n">
        <v>45441</v>
      </c>
      <c r="C547" s="1" t="n">
        <v>45669</v>
      </c>
      <c r="D547" t="inlineStr">
        <is>
          <t>NORRBOTTENS LÄN</t>
        </is>
      </c>
      <c r="E547" t="inlineStr">
        <is>
          <t>ÖVERTORNEÅ</t>
        </is>
      </c>
      <c r="G547" t="n">
        <v>4.6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21544-2024</t>
        </is>
      </c>
      <c r="B548" s="1" t="n">
        <v>45441</v>
      </c>
      <c r="C548" s="1" t="n">
        <v>45669</v>
      </c>
      <c r="D548" t="inlineStr">
        <is>
          <t>NORRBOTTENS LÄN</t>
        </is>
      </c>
      <c r="E548" t="inlineStr">
        <is>
          <t>ÖVERTORNEÅ</t>
        </is>
      </c>
      <c r="G548" t="n">
        <v>7.2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21559-2024</t>
        </is>
      </c>
      <c r="B549" s="1" t="n">
        <v>45441</v>
      </c>
      <c r="C549" s="1" t="n">
        <v>45669</v>
      </c>
      <c r="D549" t="inlineStr">
        <is>
          <t>NORRBOTTENS LÄN</t>
        </is>
      </c>
      <c r="E549" t="inlineStr">
        <is>
          <t>ÖVERTORNEÅ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21969-2024</t>
        </is>
      </c>
      <c r="B550" s="1" t="n">
        <v>45443</v>
      </c>
      <c r="C550" s="1" t="n">
        <v>45669</v>
      </c>
      <c r="D550" t="inlineStr">
        <is>
          <t>NORRBOTTENS LÄN</t>
        </is>
      </c>
      <c r="E550" t="inlineStr">
        <is>
          <t>ÖVERTORNEÅ</t>
        </is>
      </c>
      <c r="F550" t="inlineStr">
        <is>
          <t>Sveaskog</t>
        </is>
      </c>
      <c r="G550" t="n">
        <v>9.9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22381-2024</t>
        </is>
      </c>
      <c r="B551" s="1" t="n">
        <v>45446</v>
      </c>
      <c r="C551" s="1" t="n">
        <v>45669</v>
      </c>
      <c r="D551" t="inlineStr">
        <is>
          <t>NORRBOTTENS LÄN</t>
        </is>
      </c>
      <c r="E551" t="inlineStr">
        <is>
          <t>ÖVERTORNEÅ</t>
        </is>
      </c>
      <c r="G551" t="n">
        <v>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22418-2024</t>
        </is>
      </c>
      <c r="B552" s="1" t="n">
        <v>45446</v>
      </c>
      <c r="C552" s="1" t="n">
        <v>45669</v>
      </c>
      <c r="D552" t="inlineStr">
        <is>
          <t>NORRBOTTENS LÄN</t>
        </is>
      </c>
      <c r="E552" t="inlineStr">
        <is>
          <t>ÖVERTORNEÅ</t>
        </is>
      </c>
      <c r="G552" t="n">
        <v>3.3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22419-2024</t>
        </is>
      </c>
      <c r="B553" s="1" t="n">
        <v>45446</v>
      </c>
      <c r="C553" s="1" t="n">
        <v>45669</v>
      </c>
      <c r="D553" t="inlineStr">
        <is>
          <t>NORRBOTTENS LÄN</t>
        </is>
      </c>
      <c r="E553" t="inlineStr">
        <is>
          <t>ÖVERTORNEÅ</t>
        </is>
      </c>
      <c r="G553" t="n">
        <v>2.8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22911-2024</t>
        </is>
      </c>
      <c r="B554" s="1" t="n">
        <v>45448</v>
      </c>
      <c r="C554" s="1" t="n">
        <v>45669</v>
      </c>
      <c r="D554" t="inlineStr">
        <is>
          <t>NORRBOTTENS LÄN</t>
        </is>
      </c>
      <c r="E554" t="inlineStr">
        <is>
          <t>ÖVERTORNEÅ</t>
        </is>
      </c>
      <c r="G554" t="n">
        <v>3.6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23014-2024</t>
        </is>
      </c>
      <c r="B555" s="1" t="n">
        <v>45449</v>
      </c>
      <c r="C555" s="1" t="n">
        <v>45669</v>
      </c>
      <c r="D555" t="inlineStr">
        <is>
          <t>NORRBOTTENS LÄN</t>
        </is>
      </c>
      <c r="E555" t="inlineStr">
        <is>
          <t>ÖVERTORNEÅ</t>
        </is>
      </c>
      <c r="G555" t="n">
        <v>13.8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23050-2024</t>
        </is>
      </c>
      <c r="B556" s="1" t="n">
        <v>45449</v>
      </c>
      <c r="C556" s="1" t="n">
        <v>45669</v>
      </c>
      <c r="D556" t="inlineStr">
        <is>
          <t>NORRBOTTENS LÄN</t>
        </is>
      </c>
      <c r="E556" t="inlineStr">
        <is>
          <t>ÖVERTORNEÅ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23076-2024</t>
        </is>
      </c>
      <c r="B557" s="1" t="n">
        <v>45449</v>
      </c>
      <c r="C557" s="1" t="n">
        <v>45669</v>
      </c>
      <c r="D557" t="inlineStr">
        <is>
          <t>NORRBOTTENS LÄN</t>
        </is>
      </c>
      <c r="E557" t="inlineStr">
        <is>
          <t>ÖVERTORNEÅ</t>
        </is>
      </c>
      <c r="G557" t="n">
        <v>5.2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23055-2024</t>
        </is>
      </c>
      <c r="B558" s="1" t="n">
        <v>45449</v>
      </c>
      <c r="C558" s="1" t="n">
        <v>45669</v>
      </c>
      <c r="D558" t="inlineStr">
        <is>
          <t>NORRBOTTENS LÄN</t>
        </is>
      </c>
      <c r="E558" t="inlineStr">
        <is>
          <t>ÖVERTORNEÅ</t>
        </is>
      </c>
      <c r="G558" t="n">
        <v>4.2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23067-2024</t>
        </is>
      </c>
      <c r="B559" s="1" t="n">
        <v>45449</v>
      </c>
      <c r="C559" s="1" t="n">
        <v>45669</v>
      </c>
      <c r="D559" t="inlineStr">
        <is>
          <t>NORRBOTTENS LÄN</t>
        </is>
      </c>
      <c r="E559" t="inlineStr">
        <is>
          <t>ÖVERTORNEÅ</t>
        </is>
      </c>
      <c r="G559" t="n">
        <v>2.9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23019-2024</t>
        </is>
      </c>
      <c r="B560" s="1" t="n">
        <v>45449</v>
      </c>
      <c r="C560" s="1" t="n">
        <v>45669</v>
      </c>
      <c r="D560" t="inlineStr">
        <is>
          <t>NORRBOTTENS LÄN</t>
        </is>
      </c>
      <c r="E560" t="inlineStr">
        <is>
          <t>ÖVERTORNEÅ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23052-2024</t>
        </is>
      </c>
      <c r="B561" s="1" t="n">
        <v>45449</v>
      </c>
      <c r="C561" s="1" t="n">
        <v>45669</v>
      </c>
      <c r="D561" t="inlineStr">
        <is>
          <t>NORRBOTTENS LÄN</t>
        </is>
      </c>
      <c r="E561" t="inlineStr">
        <is>
          <t>ÖVERTORNEÅ</t>
        </is>
      </c>
      <c r="G561" t="n">
        <v>3.3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23077-2024</t>
        </is>
      </c>
      <c r="B562" s="1" t="n">
        <v>45449</v>
      </c>
      <c r="C562" s="1" t="n">
        <v>45669</v>
      </c>
      <c r="D562" t="inlineStr">
        <is>
          <t>NORRBOTTENS LÄN</t>
        </is>
      </c>
      <c r="E562" t="inlineStr">
        <is>
          <t>ÖVERTORNEÅ</t>
        </is>
      </c>
      <c r="G562" t="n">
        <v>4.3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23053-2024</t>
        </is>
      </c>
      <c r="B563" s="1" t="n">
        <v>45449</v>
      </c>
      <c r="C563" s="1" t="n">
        <v>45669</v>
      </c>
      <c r="D563" t="inlineStr">
        <is>
          <t>NORRBOTTENS LÄN</t>
        </is>
      </c>
      <c r="E563" t="inlineStr">
        <is>
          <t>ÖVERTORNEÅ</t>
        </is>
      </c>
      <c r="G563" t="n">
        <v>9.800000000000001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23039-2024</t>
        </is>
      </c>
      <c r="B564" s="1" t="n">
        <v>45449</v>
      </c>
      <c r="C564" s="1" t="n">
        <v>45669</v>
      </c>
      <c r="D564" t="inlineStr">
        <is>
          <t>NORRBOTTENS LÄN</t>
        </is>
      </c>
      <c r="E564" t="inlineStr">
        <is>
          <t>ÖVERTORNEÅ</t>
        </is>
      </c>
      <c r="G564" t="n">
        <v>4.2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23196-2024</t>
        </is>
      </c>
      <c r="B565" s="1" t="n">
        <v>45451</v>
      </c>
      <c r="C565" s="1" t="n">
        <v>45669</v>
      </c>
      <c r="D565" t="inlineStr">
        <is>
          <t>NORRBOTTENS LÄN</t>
        </is>
      </c>
      <c r="E565" t="inlineStr">
        <is>
          <t>ÖVERTORNEÅ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23259-2024</t>
        </is>
      </c>
      <c r="B566" s="1" t="n">
        <v>45453</v>
      </c>
      <c r="C566" s="1" t="n">
        <v>45669</v>
      </c>
      <c r="D566" t="inlineStr">
        <is>
          <t>NORRBOTTENS LÄN</t>
        </is>
      </c>
      <c r="E566" t="inlineStr">
        <is>
          <t>ÖVERTORNEÅ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23655-2024</t>
        </is>
      </c>
      <c r="B567" s="1" t="n">
        <v>45454</v>
      </c>
      <c r="C567" s="1" t="n">
        <v>45669</v>
      </c>
      <c r="D567" t="inlineStr">
        <is>
          <t>NORRBOTTENS LÄN</t>
        </is>
      </c>
      <c r="E567" t="inlineStr">
        <is>
          <t>ÖVERTORNEÅ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23654-2024</t>
        </is>
      </c>
      <c r="B568" s="1" t="n">
        <v>45454</v>
      </c>
      <c r="C568" s="1" t="n">
        <v>45669</v>
      </c>
      <c r="D568" t="inlineStr">
        <is>
          <t>NORRBOTTENS LÄN</t>
        </is>
      </c>
      <c r="E568" t="inlineStr">
        <is>
          <t>ÖVERTORNEÅ</t>
        </is>
      </c>
      <c r="G568" t="n">
        <v>5.3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24785-2024</t>
        </is>
      </c>
      <c r="B569" s="1" t="n">
        <v>45460</v>
      </c>
      <c r="C569" s="1" t="n">
        <v>45669</v>
      </c>
      <c r="D569" t="inlineStr">
        <is>
          <t>NORRBOTTENS LÄN</t>
        </is>
      </c>
      <c r="E569" t="inlineStr">
        <is>
          <t>ÖVERTORNEÅ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24656-2024</t>
        </is>
      </c>
      <c r="B570" s="1" t="n">
        <v>45460</v>
      </c>
      <c r="C570" s="1" t="n">
        <v>45669</v>
      </c>
      <c r="D570" t="inlineStr">
        <is>
          <t>NORRBOTTENS LÄN</t>
        </is>
      </c>
      <c r="E570" t="inlineStr">
        <is>
          <t>ÖVERTORNEÅ</t>
        </is>
      </c>
      <c r="F570" t="inlineStr">
        <is>
          <t>Sveaskog</t>
        </is>
      </c>
      <c r="G570" t="n">
        <v>16.9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24644-2024</t>
        </is>
      </c>
      <c r="B571" s="1" t="n">
        <v>45460</v>
      </c>
      <c r="C571" s="1" t="n">
        <v>45669</v>
      </c>
      <c r="D571" t="inlineStr">
        <is>
          <t>NORRBOTTENS LÄN</t>
        </is>
      </c>
      <c r="E571" t="inlineStr">
        <is>
          <t>ÖVERTORNEÅ</t>
        </is>
      </c>
      <c r="F571" t="inlineStr">
        <is>
          <t>Sveaskog</t>
        </is>
      </c>
      <c r="G571" t="n">
        <v>5.4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24557-2024</t>
        </is>
      </c>
      <c r="B572" s="1" t="n">
        <v>45460</v>
      </c>
      <c r="C572" s="1" t="n">
        <v>45669</v>
      </c>
      <c r="D572" t="inlineStr">
        <is>
          <t>NORRBOTTENS LÄN</t>
        </is>
      </c>
      <c r="E572" t="inlineStr">
        <is>
          <t>ÖVERTORNEÅ</t>
        </is>
      </c>
      <c r="G572" t="n">
        <v>17.2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24647-2024</t>
        </is>
      </c>
      <c r="B573" s="1" t="n">
        <v>45460</v>
      </c>
      <c r="C573" s="1" t="n">
        <v>45669</v>
      </c>
      <c r="D573" t="inlineStr">
        <is>
          <t>NORRBOTTENS LÄN</t>
        </is>
      </c>
      <c r="E573" t="inlineStr">
        <is>
          <t>ÖVERTORNEÅ</t>
        </is>
      </c>
      <c r="F573" t="inlineStr">
        <is>
          <t>Sveaskog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24653-2024</t>
        </is>
      </c>
      <c r="B574" s="1" t="n">
        <v>45460</v>
      </c>
      <c r="C574" s="1" t="n">
        <v>45669</v>
      </c>
      <c r="D574" t="inlineStr">
        <is>
          <t>NORRBOTTENS LÄN</t>
        </is>
      </c>
      <c r="E574" t="inlineStr">
        <is>
          <t>ÖVERTORNEÅ</t>
        </is>
      </c>
      <c r="F574" t="inlineStr">
        <is>
          <t>Sveaskog</t>
        </is>
      </c>
      <c r="G574" t="n">
        <v>9.699999999999999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24658-2024</t>
        </is>
      </c>
      <c r="B575" s="1" t="n">
        <v>45460</v>
      </c>
      <c r="C575" s="1" t="n">
        <v>45669</v>
      </c>
      <c r="D575" t="inlineStr">
        <is>
          <t>NORRBOTTENS LÄN</t>
        </is>
      </c>
      <c r="E575" t="inlineStr">
        <is>
          <t>ÖVERTORNEÅ</t>
        </is>
      </c>
      <c r="F575" t="inlineStr">
        <is>
          <t>Sveaskog</t>
        </is>
      </c>
      <c r="G575" t="n">
        <v>2.3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24666-2024</t>
        </is>
      </c>
      <c r="B576" s="1" t="n">
        <v>45460</v>
      </c>
      <c r="C576" s="1" t="n">
        <v>45669</v>
      </c>
      <c r="D576" t="inlineStr">
        <is>
          <t>NORRBOTTENS LÄN</t>
        </is>
      </c>
      <c r="E576" t="inlineStr">
        <is>
          <t>ÖVERTORNEÅ</t>
        </is>
      </c>
      <c r="F576" t="inlineStr">
        <is>
          <t>Sveaskog</t>
        </is>
      </c>
      <c r="G576" t="n">
        <v>6.2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25309-2024</t>
        </is>
      </c>
      <c r="B577" s="1" t="n">
        <v>45462</v>
      </c>
      <c r="C577" s="1" t="n">
        <v>45669</v>
      </c>
      <c r="D577" t="inlineStr">
        <is>
          <t>NORRBOTTENS LÄN</t>
        </is>
      </c>
      <c r="E577" t="inlineStr">
        <is>
          <t>ÖVERTORNEÅ</t>
        </is>
      </c>
      <c r="G577" t="n">
        <v>2.7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25498-2024</t>
        </is>
      </c>
      <c r="B578" s="1" t="n">
        <v>45463</v>
      </c>
      <c r="C578" s="1" t="n">
        <v>45669</v>
      </c>
      <c r="D578" t="inlineStr">
        <is>
          <t>NORRBOTTENS LÄN</t>
        </is>
      </c>
      <c r="E578" t="inlineStr">
        <is>
          <t>ÖVERTORNEÅ</t>
        </is>
      </c>
      <c r="F578" t="inlineStr">
        <is>
          <t>Sveaskog</t>
        </is>
      </c>
      <c r="G578" t="n">
        <v>17.2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26142-2024</t>
        </is>
      </c>
      <c r="B579" s="1" t="n">
        <v>45467</v>
      </c>
      <c r="C579" s="1" t="n">
        <v>45669</v>
      </c>
      <c r="D579" t="inlineStr">
        <is>
          <t>NORRBOTTENS LÄN</t>
        </is>
      </c>
      <c r="E579" t="inlineStr">
        <is>
          <t>ÖVERTORNEÅ</t>
        </is>
      </c>
      <c r="G579" t="n">
        <v>4.5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26167-2024</t>
        </is>
      </c>
      <c r="B580" s="1" t="n">
        <v>45467</v>
      </c>
      <c r="C580" s="1" t="n">
        <v>45669</v>
      </c>
      <c r="D580" t="inlineStr">
        <is>
          <t>NORRBOTTENS LÄN</t>
        </is>
      </c>
      <c r="E580" t="inlineStr">
        <is>
          <t>ÖVERTORNEÅ</t>
        </is>
      </c>
      <c r="G580" t="n">
        <v>12.2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26209-2024</t>
        </is>
      </c>
      <c r="B581" s="1" t="n">
        <v>45467</v>
      </c>
      <c r="C581" s="1" t="n">
        <v>45669</v>
      </c>
      <c r="D581" t="inlineStr">
        <is>
          <t>NORRBOTTENS LÄN</t>
        </is>
      </c>
      <c r="E581" t="inlineStr">
        <is>
          <t>ÖVERTORNEÅ</t>
        </is>
      </c>
      <c r="G581" t="n">
        <v>2.6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26118-2024</t>
        </is>
      </c>
      <c r="B582" s="1" t="n">
        <v>45467</v>
      </c>
      <c r="C582" s="1" t="n">
        <v>45669</v>
      </c>
      <c r="D582" t="inlineStr">
        <is>
          <t>NORRBOTTENS LÄN</t>
        </is>
      </c>
      <c r="E582" t="inlineStr">
        <is>
          <t>ÖVERTORNEÅ</t>
        </is>
      </c>
      <c r="G582" t="n">
        <v>12.4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26162-2024</t>
        </is>
      </c>
      <c r="B583" s="1" t="n">
        <v>45467</v>
      </c>
      <c r="C583" s="1" t="n">
        <v>45669</v>
      </c>
      <c r="D583" t="inlineStr">
        <is>
          <t>NORRBOTTENS LÄN</t>
        </is>
      </c>
      <c r="E583" t="inlineStr">
        <is>
          <t>ÖVERTORNEÅ</t>
        </is>
      </c>
      <c r="G583" t="n">
        <v>5.5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26198-2024</t>
        </is>
      </c>
      <c r="B584" s="1" t="n">
        <v>45467</v>
      </c>
      <c r="C584" s="1" t="n">
        <v>45669</v>
      </c>
      <c r="D584" t="inlineStr">
        <is>
          <t>NORRBOTTENS LÄN</t>
        </is>
      </c>
      <c r="E584" t="inlineStr">
        <is>
          <t>ÖVERTORNEÅ</t>
        </is>
      </c>
      <c r="G584" t="n">
        <v>8.699999999999999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26181-2024</t>
        </is>
      </c>
      <c r="B585" s="1" t="n">
        <v>45467</v>
      </c>
      <c r="C585" s="1" t="n">
        <v>45669</v>
      </c>
      <c r="D585" t="inlineStr">
        <is>
          <t>NORRBOTTENS LÄN</t>
        </is>
      </c>
      <c r="E585" t="inlineStr">
        <is>
          <t>ÖVERTORNEÅ</t>
        </is>
      </c>
      <c r="G585" t="n">
        <v>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26299-2024</t>
        </is>
      </c>
      <c r="B586" s="1" t="n">
        <v>45469</v>
      </c>
      <c r="C586" s="1" t="n">
        <v>45669</v>
      </c>
      <c r="D586" t="inlineStr">
        <is>
          <t>NORRBOTTENS LÄN</t>
        </is>
      </c>
      <c r="E586" t="inlineStr">
        <is>
          <t>ÖVERTORNEÅ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26921-2024</t>
        </is>
      </c>
      <c r="B587" s="1" t="n">
        <v>45471</v>
      </c>
      <c r="C587" s="1" t="n">
        <v>45669</v>
      </c>
      <c r="D587" t="inlineStr">
        <is>
          <t>NORRBOTTENS LÄN</t>
        </is>
      </c>
      <c r="E587" t="inlineStr">
        <is>
          <t>ÖVERTORNEÅ</t>
        </is>
      </c>
      <c r="F587" t="inlineStr">
        <is>
          <t>Kommuner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28953-2024</t>
        </is>
      </c>
      <c r="B588" s="1" t="n">
        <v>45481</v>
      </c>
      <c r="C588" s="1" t="n">
        <v>45669</v>
      </c>
      <c r="D588" t="inlineStr">
        <is>
          <t>NORRBOTTENS LÄN</t>
        </is>
      </c>
      <c r="E588" t="inlineStr">
        <is>
          <t>ÖVERTORNEÅ</t>
        </is>
      </c>
      <c r="G588" t="n">
        <v>1.8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28927-2024</t>
        </is>
      </c>
      <c r="B589" s="1" t="n">
        <v>45481</v>
      </c>
      <c r="C589" s="1" t="n">
        <v>45669</v>
      </c>
      <c r="D589" t="inlineStr">
        <is>
          <t>NORRBOTTENS LÄN</t>
        </is>
      </c>
      <c r="E589" t="inlineStr">
        <is>
          <t>ÖVERTORNEÅ</t>
        </is>
      </c>
      <c r="F589" t="inlineStr">
        <is>
          <t>Sveaskog</t>
        </is>
      </c>
      <c r="G589" t="n">
        <v>7.8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28928-2024</t>
        </is>
      </c>
      <c r="B590" s="1" t="n">
        <v>45481</v>
      </c>
      <c r="C590" s="1" t="n">
        <v>45669</v>
      </c>
      <c r="D590" t="inlineStr">
        <is>
          <t>NORRBOTTENS LÄN</t>
        </is>
      </c>
      <c r="E590" t="inlineStr">
        <is>
          <t>ÖVERTORNEÅ</t>
        </is>
      </c>
      <c r="F590" t="inlineStr">
        <is>
          <t>Sveaskog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29885-2024</t>
        </is>
      </c>
      <c r="B591" s="1" t="n">
        <v>45487</v>
      </c>
      <c r="C591" s="1" t="n">
        <v>45669</v>
      </c>
      <c r="D591" t="inlineStr">
        <is>
          <t>NORRBOTTENS LÄN</t>
        </is>
      </c>
      <c r="E591" t="inlineStr">
        <is>
          <t>ÖVERTORNEÅ</t>
        </is>
      </c>
      <c r="G591" t="n">
        <v>2.2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29886-2024</t>
        </is>
      </c>
      <c r="B592" s="1" t="n">
        <v>45486</v>
      </c>
      <c r="C592" s="1" t="n">
        <v>45669</v>
      </c>
      <c r="D592" t="inlineStr">
        <is>
          <t>NORRBOTTENS LÄN</t>
        </is>
      </c>
      <c r="E592" t="inlineStr">
        <is>
          <t>ÖVERTORNEÅ</t>
        </is>
      </c>
      <c r="G592" t="n">
        <v>2.5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31329-2024</t>
        </is>
      </c>
      <c r="B593" s="1" t="n">
        <v>45504</v>
      </c>
      <c r="C593" s="1" t="n">
        <v>45669</v>
      </c>
      <c r="D593" t="inlineStr">
        <is>
          <t>NORRBOTTENS LÄN</t>
        </is>
      </c>
      <c r="E593" t="inlineStr">
        <is>
          <t>ÖVERTORNEÅ</t>
        </is>
      </c>
      <c r="F593" t="inlineStr">
        <is>
          <t>Sveaskog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31827-2024</t>
        </is>
      </c>
      <c r="B594" s="1" t="n">
        <v>45509</v>
      </c>
      <c r="C594" s="1" t="n">
        <v>45669</v>
      </c>
      <c r="D594" t="inlineStr">
        <is>
          <t>NORRBOTTENS LÄN</t>
        </is>
      </c>
      <c r="E594" t="inlineStr">
        <is>
          <t>ÖVERTORNEÅ</t>
        </is>
      </c>
      <c r="G594" t="n">
        <v>1.9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31976-2024</t>
        </is>
      </c>
      <c r="B595" s="1" t="n">
        <v>45510</v>
      </c>
      <c r="C595" s="1" t="n">
        <v>45669</v>
      </c>
      <c r="D595" t="inlineStr">
        <is>
          <t>NORRBOTTENS LÄN</t>
        </is>
      </c>
      <c r="E595" t="inlineStr">
        <is>
          <t>ÖVERTORNEÅ</t>
        </is>
      </c>
      <c r="G595" t="n">
        <v>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32003-2024</t>
        </is>
      </c>
      <c r="B596" s="1" t="n">
        <v>45510</v>
      </c>
      <c r="C596" s="1" t="n">
        <v>45669</v>
      </c>
      <c r="D596" t="inlineStr">
        <is>
          <t>NORRBOTTENS LÄN</t>
        </is>
      </c>
      <c r="E596" t="inlineStr">
        <is>
          <t>ÖVERTORNEÅ</t>
        </is>
      </c>
      <c r="G596" t="n">
        <v>2.9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31987-2024</t>
        </is>
      </c>
      <c r="B597" s="1" t="n">
        <v>45510</v>
      </c>
      <c r="C597" s="1" t="n">
        <v>45669</v>
      </c>
      <c r="D597" t="inlineStr">
        <is>
          <t>NORRBOTTENS LÄN</t>
        </is>
      </c>
      <c r="E597" t="inlineStr">
        <is>
          <t>ÖVERTORNEÅ</t>
        </is>
      </c>
      <c r="G597" t="n">
        <v>3.1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31983-2024</t>
        </is>
      </c>
      <c r="B598" s="1" t="n">
        <v>45510</v>
      </c>
      <c r="C598" s="1" t="n">
        <v>45669</v>
      </c>
      <c r="D598" t="inlineStr">
        <is>
          <t>NORRBOTTENS LÄN</t>
        </is>
      </c>
      <c r="E598" t="inlineStr">
        <is>
          <t>ÖVERTORNEÅ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32576-2024</t>
        </is>
      </c>
      <c r="B599" s="1" t="n">
        <v>45513</v>
      </c>
      <c r="C599" s="1" t="n">
        <v>45669</v>
      </c>
      <c r="D599" t="inlineStr">
        <is>
          <t>NORRBOTTENS LÄN</t>
        </is>
      </c>
      <c r="E599" t="inlineStr">
        <is>
          <t>ÖVERTORNEÅ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32581-2024</t>
        </is>
      </c>
      <c r="B600" s="1" t="n">
        <v>45513</v>
      </c>
      <c r="C600" s="1" t="n">
        <v>45669</v>
      </c>
      <c r="D600" t="inlineStr">
        <is>
          <t>NORRBOTTENS LÄN</t>
        </is>
      </c>
      <c r="E600" t="inlineStr">
        <is>
          <t>ÖVERTORNEÅ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32597-2024</t>
        </is>
      </c>
      <c r="B601" s="1" t="n">
        <v>45513</v>
      </c>
      <c r="C601" s="1" t="n">
        <v>45669</v>
      </c>
      <c r="D601" t="inlineStr">
        <is>
          <t>NORRBOTTENS LÄN</t>
        </is>
      </c>
      <c r="E601" t="inlineStr">
        <is>
          <t>ÖVERTORNEÅ</t>
        </is>
      </c>
      <c r="G601" t="n">
        <v>7.3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32681-2024</t>
        </is>
      </c>
      <c r="B602" s="1" t="n">
        <v>45515</v>
      </c>
      <c r="C602" s="1" t="n">
        <v>45669</v>
      </c>
      <c r="D602" t="inlineStr">
        <is>
          <t>NORRBOTTENS LÄN</t>
        </is>
      </c>
      <c r="E602" t="inlineStr">
        <is>
          <t>ÖVERTORNEÅ</t>
        </is>
      </c>
      <c r="G602" t="n">
        <v>8.4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32741-2024</t>
        </is>
      </c>
      <c r="B603" s="1" t="n">
        <v>45516</v>
      </c>
      <c r="C603" s="1" t="n">
        <v>45669</v>
      </c>
      <c r="D603" t="inlineStr">
        <is>
          <t>NORRBOTTENS LÄN</t>
        </is>
      </c>
      <c r="E603" t="inlineStr">
        <is>
          <t>ÖVERTORNEÅ</t>
        </is>
      </c>
      <c r="G603" t="n">
        <v>2.5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32738-2024</t>
        </is>
      </c>
      <c r="B604" s="1" t="n">
        <v>45516</v>
      </c>
      <c r="C604" s="1" t="n">
        <v>45669</v>
      </c>
      <c r="D604" t="inlineStr">
        <is>
          <t>NORRBOTTENS LÄN</t>
        </is>
      </c>
      <c r="E604" t="inlineStr">
        <is>
          <t>ÖVERTORNEÅ</t>
        </is>
      </c>
      <c r="G604" t="n">
        <v>5.1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33572-2024</t>
        </is>
      </c>
      <c r="B605" s="1" t="n">
        <v>45520</v>
      </c>
      <c r="C605" s="1" t="n">
        <v>45669</v>
      </c>
      <c r="D605" t="inlineStr">
        <is>
          <t>NORRBOTTENS LÄN</t>
        </is>
      </c>
      <c r="E605" t="inlineStr">
        <is>
          <t>ÖVERTORNEÅ</t>
        </is>
      </c>
      <c r="G605" t="n">
        <v>5.9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33600-2024</t>
        </is>
      </c>
      <c r="B606" s="1" t="n">
        <v>45520</v>
      </c>
      <c r="C606" s="1" t="n">
        <v>45669</v>
      </c>
      <c r="D606" t="inlineStr">
        <is>
          <t>NORRBOTTENS LÄN</t>
        </is>
      </c>
      <c r="E606" t="inlineStr">
        <is>
          <t>ÖVERTORNEÅ</t>
        </is>
      </c>
      <c r="G606" t="n">
        <v>4.3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34007-2024</t>
        </is>
      </c>
      <c r="B607" s="1" t="n">
        <v>45523</v>
      </c>
      <c r="C607" s="1" t="n">
        <v>45669</v>
      </c>
      <c r="D607" t="inlineStr">
        <is>
          <t>NORRBOTTENS LÄN</t>
        </is>
      </c>
      <c r="E607" t="inlineStr">
        <is>
          <t>ÖVERTORNEÅ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34701-2024</t>
        </is>
      </c>
      <c r="B608" s="1" t="n">
        <v>45526</v>
      </c>
      <c r="C608" s="1" t="n">
        <v>45669</v>
      </c>
      <c r="D608" t="inlineStr">
        <is>
          <t>NORRBOTTENS LÄN</t>
        </is>
      </c>
      <c r="E608" t="inlineStr">
        <is>
          <t>ÖVERTORNEÅ</t>
        </is>
      </c>
      <c r="G608" t="n">
        <v>2.5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34579-2024</t>
        </is>
      </c>
      <c r="B609" s="1" t="n">
        <v>45526</v>
      </c>
      <c r="C609" s="1" t="n">
        <v>45669</v>
      </c>
      <c r="D609" t="inlineStr">
        <is>
          <t>NORRBOTTENS LÄN</t>
        </is>
      </c>
      <c r="E609" t="inlineStr">
        <is>
          <t>ÖVERTORNEÅ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34702-2024</t>
        </is>
      </c>
      <c r="B610" s="1" t="n">
        <v>45526</v>
      </c>
      <c r="C610" s="1" t="n">
        <v>45669</v>
      </c>
      <c r="D610" t="inlineStr">
        <is>
          <t>NORRBOTTENS LÄN</t>
        </is>
      </c>
      <c r="E610" t="inlineStr">
        <is>
          <t>ÖVERTORNEÅ</t>
        </is>
      </c>
      <c r="G610" t="n">
        <v>5.6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36109-2024</t>
        </is>
      </c>
      <c r="B611" s="1" t="n">
        <v>45534</v>
      </c>
      <c r="C611" s="1" t="n">
        <v>45669</v>
      </c>
      <c r="D611" t="inlineStr">
        <is>
          <t>NORRBOTTENS LÄN</t>
        </is>
      </c>
      <c r="E611" t="inlineStr">
        <is>
          <t>ÖVERTORNEÅ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36286-2024</t>
        </is>
      </c>
      <c r="B612" s="1" t="n">
        <v>45534</v>
      </c>
      <c r="C612" s="1" t="n">
        <v>45669</v>
      </c>
      <c r="D612" t="inlineStr">
        <is>
          <t>NORRBOTTENS LÄN</t>
        </is>
      </c>
      <c r="E612" t="inlineStr">
        <is>
          <t>ÖVERTORNEÅ</t>
        </is>
      </c>
      <c r="G612" t="n">
        <v>2.3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36586-2024</t>
        </is>
      </c>
      <c r="B613" s="1" t="n">
        <v>45537</v>
      </c>
      <c r="C613" s="1" t="n">
        <v>45669</v>
      </c>
      <c r="D613" t="inlineStr">
        <is>
          <t>NORRBOTTENS LÄN</t>
        </is>
      </c>
      <c r="E613" t="inlineStr">
        <is>
          <t>ÖVERTORNEÅ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36872-2024</t>
        </is>
      </c>
      <c r="B614" s="1" t="n">
        <v>45538</v>
      </c>
      <c r="C614" s="1" t="n">
        <v>45669</v>
      </c>
      <c r="D614" t="inlineStr">
        <is>
          <t>NORRBOTTENS LÄN</t>
        </is>
      </c>
      <c r="E614" t="inlineStr">
        <is>
          <t>ÖVERTORNEÅ</t>
        </is>
      </c>
      <c r="G614" t="n">
        <v>12.6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37411-2024</t>
        </is>
      </c>
      <c r="B615" s="1" t="n">
        <v>45540</v>
      </c>
      <c r="C615" s="1" t="n">
        <v>45669</v>
      </c>
      <c r="D615" t="inlineStr">
        <is>
          <t>NORRBOTTENS LÄN</t>
        </is>
      </c>
      <c r="E615" t="inlineStr">
        <is>
          <t>ÖVERTORNEÅ</t>
        </is>
      </c>
      <c r="F615" t="inlineStr">
        <is>
          <t>Sveaskog</t>
        </is>
      </c>
      <c r="G615" t="n">
        <v>8.4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37409-2024</t>
        </is>
      </c>
      <c r="B616" s="1" t="n">
        <v>45540</v>
      </c>
      <c r="C616" s="1" t="n">
        <v>45669</v>
      </c>
      <c r="D616" t="inlineStr">
        <is>
          <t>NORRBOTTENS LÄN</t>
        </is>
      </c>
      <c r="E616" t="inlineStr">
        <is>
          <t>ÖVERTORNEÅ</t>
        </is>
      </c>
      <c r="F616" t="inlineStr">
        <is>
          <t>Sveaskog</t>
        </is>
      </c>
      <c r="G616" t="n">
        <v>14.7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37789-2024</t>
        </is>
      </c>
      <c r="B617" s="1" t="n">
        <v>45543</v>
      </c>
      <c r="C617" s="1" t="n">
        <v>45669</v>
      </c>
      <c r="D617" t="inlineStr">
        <is>
          <t>NORRBOTTENS LÄN</t>
        </is>
      </c>
      <c r="E617" t="inlineStr">
        <is>
          <t>ÖVERTORNEÅ</t>
        </is>
      </c>
      <c r="G617" t="n">
        <v>3.4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38127-2024</t>
        </is>
      </c>
      <c r="B618" s="1" t="n">
        <v>45545</v>
      </c>
      <c r="C618" s="1" t="n">
        <v>45669</v>
      </c>
      <c r="D618" t="inlineStr">
        <is>
          <t>NORRBOTTENS LÄN</t>
        </is>
      </c>
      <c r="E618" t="inlineStr">
        <is>
          <t>ÖVERTORNEÅ</t>
        </is>
      </c>
      <c r="F618" t="inlineStr">
        <is>
          <t>Sveaskog</t>
        </is>
      </c>
      <c r="G618" t="n">
        <v>6.7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38677-2024</t>
        </is>
      </c>
      <c r="B619" s="1" t="n">
        <v>45547</v>
      </c>
      <c r="C619" s="1" t="n">
        <v>45669</v>
      </c>
      <c r="D619" t="inlineStr">
        <is>
          <t>NORRBOTTENS LÄN</t>
        </is>
      </c>
      <c r="E619" t="inlineStr">
        <is>
          <t>ÖVERTORNEÅ</t>
        </is>
      </c>
      <c r="G619" t="n">
        <v>13.2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39141-2024</t>
        </is>
      </c>
      <c r="B620" s="1" t="n">
        <v>45548</v>
      </c>
      <c r="C620" s="1" t="n">
        <v>45669</v>
      </c>
      <c r="D620" t="inlineStr">
        <is>
          <t>NORRBOTTENS LÄN</t>
        </is>
      </c>
      <c r="E620" t="inlineStr">
        <is>
          <t>ÖVERTORNEÅ</t>
        </is>
      </c>
      <c r="F620" t="inlineStr">
        <is>
          <t>Sveaskog</t>
        </is>
      </c>
      <c r="G620" t="n">
        <v>2.1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39653-2024</t>
        </is>
      </c>
      <c r="B621" s="1" t="n">
        <v>45552</v>
      </c>
      <c r="C621" s="1" t="n">
        <v>45669</v>
      </c>
      <c r="D621" t="inlineStr">
        <is>
          <t>NORRBOTTENS LÄN</t>
        </is>
      </c>
      <c r="E621" t="inlineStr">
        <is>
          <t>ÖVERTORNEÅ</t>
        </is>
      </c>
      <c r="G621" t="n">
        <v>5.2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39695-2024</t>
        </is>
      </c>
      <c r="B622" s="1" t="n">
        <v>45552</v>
      </c>
      <c r="C622" s="1" t="n">
        <v>45669</v>
      </c>
      <c r="D622" t="inlineStr">
        <is>
          <t>NORRBOTTENS LÄN</t>
        </is>
      </c>
      <c r="E622" t="inlineStr">
        <is>
          <t>ÖVERTORNEÅ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39803-2024</t>
        </is>
      </c>
      <c r="B623" s="1" t="n">
        <v>45553</v>
      </c>
      <c r="C623" s="1" t="n">
        <v>45669</v>
      </c>
      <c r="D623" t="inlineStr">
        <is>
          <t>NORRBOTTENS LÄN</t>
        </is>
      </c>
      <c r="E623" t="inlineStr">
        <is>
          <t>ÖVERTORNEÅ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40274-2024</t>
        </is>
      </c>
      <c r="B624" s="1" t="n">
        <v>45554</v>
      </c>
      <c r="C624" s="1" t="n">
        <v>45669</v>
      </c>
      <c r="D624" t="inlineStr">
        <is>
          <t>NORRBOTTENS LÄN</t>
        </is>
      </c>
      <c r="E624" t="inlineStr">
        <is>
          <t>ÖVERTORNEÅ</t>
        </is>
      </c>
      <c r="G624" t="n">
        <v>5.4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40589-2024</t>
        </is>
      </c>
      <c r="B625" s="1" t="n">
        <v>45555</v>
      </c>
      <c r="C625" s="1" t="n">
        <v>45669</v>
      </c>
      <c r="D625" t="inlineStr">
        <is>
          <t>NORRBOTTENS LÄN</t>
        </is>
      </c>
      <c r="E625" t="inlineStr">
        <is>
          <t>ÖVERTORNEÅ</t>
        </is>
      </c>
      <c r="G625" t="n">
        <v>4.9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41030-2024</t>
        </is>
      </c>
      <c r="B626" s="1" t="n">
        <v>45559</v>
      </c>
      <c r="C626" s="1" t="n">
        <v>45669</v>
      </c>
      <c r="D626" t="inlineStr">
        <is>
          <t>NORRBOTTENS LÄN</t>
        </is>
      </c>
      <c r="E626" t="inlineStr">
        <is>
          <t>ÖVERTORNEÅ</t>
        </is>
      </c>
      <c r="G626" t="n">
        <v>0.1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41214-2024</t>
        </is>
      </c>
      <c r="B627" s="1" t="n">
        <v>45559</v>
      </c>
      <c r="C627" s="1" t="n">
        <v>45669</v>
      </c>
      <c r="D627" t="inlineStr">
        <is>
          <t>NORRBOTTENS LÄN</t>
        </is>
      </c>
      <c r="E627" t="inlineStr">
        <is>
          <t>ÖVERTORNEÅ</t>
        </is>
      </c>
      <c r="F627" t="inlineStr">
        <is>
          <t>Sveaskog</t>
        </is>
      </c>
      <c r="G627" t="n">
        <v>42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41293-2024</t>
        </is>
      </c>
      <c r="B628" s="1" t="n">
        <v>45559</v>
      </c>
      <c r="C628" s="1" t="n">
        <v>45669</v>
      </c>
      <c r="D628" t="inlineStr">
        <is>
          <t>NORRBOTTENS LÄN</t>
        </is>
      </c>
      <c r="E628" t="inlineStr">
        <is>
          <t>ÖVERTORNEÅ</t>
        </is>
      </c>
      <c r="F628" t="inlineStr">
        <is>
          <t>Sveaskog</t>
        </is>
      </c>
      <c r="G628" t="n">
        <v>14.3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41106-2024</t>
        </is>
      </c>
      <c r="B629" s="1" t="n">
        <v>45559</v>
      </c>
      <c r="C629" s="1" t="n">
        <v>45669</v>
      </c>
      <c r="D629" t="inlineStr">
        <is>
          <t>NORRBOTTENS LÄN</t>
        </is>
      </c>
      <c r="E629" t="inlineStr">
        <is>
          <t>ÖVERTORNEÅ</t>
        </is>
      </c>
      <c r="F629" t="inlineStr">
        <is>
          <t>Sveaskog</t>
        </is>
      </c>
      <c r="G629" t="n">
        <v>24.6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41698-2024</t>
        </is>
      </c>
      <c r="B630" s="1" t="n">
        <v>45560</v>
      </c>
      <c r="C630" s="1" t="n">
        <v>45669</v>
      </c>
      <c r="D630" t="inlineStr">
        <is>
          <t>NORRBOTTENS LÄN</t>
        </is>
      </c>
      <c r="E630" t="inlineStr">
        <is>
          <t>ÖVERTORNEÅ</t>
        </is>
      </c>
      <c r="F630" t="inlineStr">
        <is>
          <t>Sveaskog</t>
        </is>
      </c>
      <c r="G630" t="n">
        <v>16.4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41918-2024</t>
        </is>
      </c>
      <c r="B631" s="1" t="n">
        <v>45561</v>
      </c>
      <c r="C631" s="1" t="n">
        <v>45669</v>
      </c>
      <c r="D631" t="inlineStr">
        <is>
          <t>NORRBOTTENS LÄN</t>
        </is>
      </c>
      <c r="E631" t="inlineStr">
        <is>
          <t>ÖVERTORNEÅ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44238-2024</t>
        </is>
      </c>
      <c r="B632" s="1" t="n">
        <v>45573</v>
      </c>
      <c r="C632" s="1" t="n">
        <v>45669</v>
      </c>
      <c r="D632" t="inlineStr">
        <is>
          <t>NORRBOTTENS LÄN</t>
        </is>
      </c>
      <c r="E632" t="inlineStr">
        <is>
          <t>ÖVERTORNEÅ</t>
        </is>
      </c>
      <c r="G632" t="n">
        <v>6.3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44431-2024</t>
        </is>
      </c>
      <c r="B633" s="1" t="n">
        <v>45574</v>
      </c>
      <c r="C633" s="1" t="n">
        <v>45669</v>
      </c>
      <c r="D633" t="inlineStr">
        <is>
          <t>NORRBOTTENS LÄN</t>
        </is>
      </c>
      <c r="E633" t="inlineStr">
        <is>
          <t>ÖVERTORNEÅ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44540-2024</t>
        </is>
      </c>
      <c r="B634" s="1" t="n">
        <v>45574</v>
      </c>
      <c r="C634" s="1" t="n">
        <v>45669</v>
      </c>
      <c r="D634" t="inlineStr">
        <is>
          <t>NORRBOTTENS LÄN</t>
        </is>
      </c>
      <c r="E634" t="inlineStr">
        <is>
          <t>ÖVERTORNEÅ</t>
        </is>
      </c>
      <c r="G634" t="n">
        <v>4.3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44878-2024</t>
        </is>
      </c>
      <c r="B635" s="1" t="n">
        <v>45575</v>
      </c>
      <c r="C635" s="1" t="n">
        <v>45669</v>
      </c>
      <c r="D635" t="inlineStr">
        <is>
          <t>NORRBOTTENS LÄN</t>
        </is>
      </c>
      <c r="E635" t="inlineStr">
        <is>
          <t>ÖVERTORNEÅ</t>
        </is>
      </c>
      <c r="G635" t="n">
        <v>9.5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45055-2024</t>
        </is>
      </c>
      <c r="B636" s="1" t="n">
        <v>45575</v>
      </c>
      <c r="C636" s="1" t="n">
        <v>45669</v>
      </c>
      <c r="D636" t="inlineStr">
        <is>
          <t>NORRBOTTENS LÄN</t>
        </is>
      </c>
      <c r="E636" t="inlineStr">
        <is>
          <t>ÖVERTORNEÅ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44979-2024</t>
        </is>
      </c>
      <c r="B637" s="1" t="n">
        <v>45575</v>
      </c>
      <c r="C637" s="1" t="n">
        <v>45669</v>
      </c>
      <c r="D637" t="inlineStr">
        <is>
          <t>NORRBOTTENS LÄN</t>
        </is>
      </c>
      <c r="E637" t="inlineStr">
        <is>
          <t>ÖVERTORNEÅ</t>
        </is>
      </c>
      <c r="G637" t="n">
        <v>13.2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44869-2024</t>
        </is>
      </c>
      <c r="B638" s="1" t="n">
        <v>45575</v>
      </c>
      <c r="C638" s="1" t="n">
        <v>45669</v>
      </c>
      <c r="D638" t="inlineStr">
        <is>
          <t>NORRBOTTENS LÄN</t>
        </is>
      </c>
      <c r="E638" t="inlineStr">
        <is>
          <t>ÖVERTORNEÅ</t>
        </is>
      </c>
      <c r="G638" t="n">
        <v>2.7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45049-2024</t>
        </is>
      </c>
      <c r="B639" s="1" t="n">
        <v>45575</v>
      </c>
      <c r="C639" s="1" t="n">
        <v>45669</v>
      </c>
      <c r="D639" t="inlineStr">
        <is>
          <t>NORRBOTTENS LÄN</t>
        </is>
      </c>
      <c r="E639" t="inlineStr">
        <is>
          <t>ÖVERTORNEÅ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45431-2024</t>
        </is>
      </c>
      <c r="B640" s="1" t="n">
        <v>45576</v>
      </c>
      <c r="C640" s="1" t="n">
        <v>45669</v>
      </c>
      <c r="D640" t="inlineStr">
        <is>
          <t>NORRBOTTENS LÄN</t>
        </is>
      </c>
      <c r="E640" t="inlineStr">
        <is>
          <t>ÖVERTORNEÅ</t>
        </is>
      </c>
      <c r="F640" t="inlineStr">
        <is>
          <t>Sveaskog</t>
        </is>
      </c>
      <c r="G640" t="n">
        <v>21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45561-2024</t>
        </is>
      </c>
      <c r="B641" s="1" t="n">
        <v>45579</v>
      </c>
      <c r="C641" s="1" t="n">
        <v>45669</v>
      </c>
      <c r="D641" t="inlineStr">
        <is>
          <t>NORRBOTTENS LÄN</t>
        </is>
      </c>
      <c r="E641" t="inlineStr">
        <is>
          <t>ÖVERTORNEÅ</t>
        </is>
      </c>
      <c r="F641" t="inlineStr">
        <is>
          <t>Sveaskog</t>
        </is>
      </c>
      <c r="G641" t="n">
        <v>22.8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45698-2024</t>
        </is>
      </c>
      <c r="B642" s="1" t="n">
        <v>45579</v>
      </c>
      <c r="C642" s="1" t="n">
        <v>45669</v>
      </c>
      <c r="D642" t="inlineStr">
        <is>
          <t>NORRBOTTENS LÄN</t>
        </is>
      </c>
      <c r="E642" t="inlineStr">
        <is>
          <t>ÖVERTORNEÅ</t>
        </is>
      </c>
      <c r="G642" t="n">
        <v>3.4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46024-2024</t>
        </is>
      </c>
      <c r="B643" s="1" t="n">
        <v>45580</v>
      </c>
      <c r="C643" s="1" t="n">
        <v>45669</v>
      </c>
      <c r="D643" t="inlineStr">
        <is>
          <t>NORRBOTTENS LÄN</t>
        </is>
      </c>
      <c r="E643" t="inlineStr">
        <is>
          <t>ÖVERTORNEÅ</t>
        </is>
      </c>
      <c r="G643" t="n">
        <v>2.6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46357-2024</t>
        </is>
      </c>
      <c r="B644" s="1" t="n">
        <v>45582</v>
      </c>
      <c r="C644" s="1" t="n">
        <v>45669</v>
      </c>
      <c r="D644" t="inlineStr">
        <is>
          <t>NORRBOTTENS LÄN</t>
        </is>
      </c>
      <c r="E644" t="inlineStr">
        <is>
          <t>ÖVERTORNEÅ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47019-2024</t>
        </is>
      </c>
      <c r="B645" s="1" t="n">
        <v>45586</v>
      </c>
      <c r="C645" s="1" t="n">
        <v>45669</v>
      </c>
      <c r="D645" t="inlineStr">
        <is>
          <t>NORRBOTTENS LÄN</t>
        </is>
      </c>
      <c r="E645" t="inlineStr">
        <is>
          <t>ÖVERTORNEÅ</t>
        </is>
      </c>
      <c r="G645" t="n">
        <v>2.4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48037-2024</t>
        </is>
      </c>
      <c r="B646" s="1" t="n">
        <v>45589</v>
      </c>
      <c r="C646" s="1" t="n">
        <v>45669</v>
      </c>
      <c r="D646" t="inlineStr">
        <is>
          <t>NORRBOTTENS LÄN</t>
        </is>
      </c>
      <c r="E646" t="inlineStr">
        <is>
          <t>ÖVERTORNEÅ</t>
        </is>
      </c>
      <c r="F646" t="inlineStr">
        <is>
          <t>Kommuner</t>
        </is>
      </c>
      <c r="G646" t="n">
        <v>0.4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48036-2024</t>
        </is>
      </c>
      <c r="B647" s="1" t="n">
        <v>45589</v>
      </c>
      <c r="C647" s="1" t="n">
        <v>45669</v>
      </c>
      <c r="D647" t="inlineStr">
        <is>
          <t>NORRBOTTENS LÄN</t>
        </is>
      </c>
      <c r="E647" t="inlineStr">
        <is>
          <t>ÖVERTORNEÅ</t>
        </is>
      </c>
      <c r="F647" t="inlineStr">
        <is>
          <t>Kommuner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49299-2024</t>
        </is>
      </c>
      <c r="B648" s="1" t="n">
        <v>45595</v>
      </c>
      <c r="C648" s="1" t="n">
        <v>45669</v>
      </c>
      <c r="D648" t="inlineStr">
        <is>
          <t>NORRBOTTENS LÄN</t>
        </is>
      </c>
      <c r="E648" t="inlineStr">
        <is>
          <t>ÖVERTORNEÅ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50447-2024</t>
        </is>
      </c>
      <c r="B649" s="1" t="n">
        <v>45601</v>
      </c>
      <c r="C649" s="1" t="n">
        <v>45669</v>
      </c>
      <c r="D649" t="inlineStr">
        <is>
          <t>NORRBOTTENS LÄN</t>
        </is>
      </c>
      <c r="E649" t="inlineStr">
        <is>
          <t>ÖVERTORNEÅ</t>
        </is>
      </c>
      <c r="G649" t="n">
        <v>10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51273-2024</t>
        </is>
      </c>
      <c r="B650" s="1" t="n">
        <v>45602</v>
      </c>
      <c r="C650" s="1" t="n">
        <v>45669</v>
      </c>
      <c r="D650" t="inlineStr">
        <is>
          <t>NORRBOTTENS LÄN</t>
        </is>
      </c>
      <c r="E650" t="inlineStr">
        <is>
          <t>ÖVERTORNEÅ</t>
        </is>
      </c>
      <c r="G650" t="n">
        <v>13.6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51272-2024</t>
        </is>
      </c>
      <c r="B651" s="1" t="n">
        <v>45602</v>
      </c>
      <c r="C651" s="1" t="n">
        <v>45669</v>
      </c>
      <c r="D651" t="inlineStr">
        <is>
          <t>NORRBOTTENS LÄN</t>
        </is>
      </c>
      <c r="E651" t="inlineStr">
        <is>
          <t>ÖVERTORNEÅ</t>
        </is>
      </c>
      <c r="G651" t="n">
        <v>3.2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51275-2024</t>
        </is>
      </c>
      <c r="B652" s="1" t="n">
        <v>45602</v>
      </c>
      <c r="C652" s="1" t="n">
        <v>45669</v>
      </c>
      <c r="D652" t="inlineStr">
        <is>
          <t>NORRBOTTENS LÄN</t>
        </is>
      </c>
      <c r="E652" t="inlineStr">
        <is>
          <t>ÖVERTORNEÅ</t>
        </is>
      </c>
      <c r="G652" t="n">
        <v>10.4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50925-2024</t>
        </is>
      </c>
      <c r="B653" s="1" t="n">
        <v>45602</v>
      </c>
      <c r="C653" s="1" t="n">
        <v>45669</v>
      </c>
      <c r="D653" t="inlineStr">
        <is>
          <t>NORRBOTTENS LÄN</t>
        </is>
      </c>
      <c r="E653" t="inlineStr">
        <is>
          <t>ÖVERTORNEÅ</t>
        </is>
      </c>
      <c r="F653" t="inlineStr">
        <is>
          <t>Sveaskog</t>
        </is>
      </c>
      <c r="G653" t="n">
        <v>3.5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51274-2024</t>
        </is>
      </c>
      <c r="B654" s="1" t="n">
        <v>45602</v>
      </c>
      <c r="C654" s="1" t="n">
        <v>45669</v>
      </c>
      <c r="D654" t="inlineStr">
        <is>
          <t>NORRBOTTENS LÄN</t>
        </is>
      </c>
      <c r="E654" t="inlineStr">
        <is>
          <t>ÖVERTORNEÅ</t>
        </is>
      </c>
      <c r="G654" t="n">
        <v>15.2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51069-2024</t>
        </is>
      </c>
      <c r="B655" s="1" t="n">
        <v>45603</v>
      </c>
      <c r="C655" s="1" t="n">
        <v>45669</v>
      </c>
      <c r="D655" t="inlineStr">
        <is>
          <t>NORRBOTTENS LÄN</t>
        </is>
      </c>
      <c r="E655" t="inlineStr">
        <is>
          <t>ÖVERTORNEÅ</t>
        </is>
      </c>
      <c r="G655" t="n">
        <v>11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51851-2024</t>
        </is>
      </c>
      <c r="B656" s="1" t="n">
        <v>45607</v>
      </c>
      <c r="C656" s="1" t="n">
        <v>45669</v>
      </c>
      <c r="D656" t="inlineStr">
        <is>
          <t>NORRBOTTENS LÄN</t>
        </is>
      </c>
      <c r="E656" t="inlineStr">
        <is>
          <t>ÖVERTORNEÅ</t>
        </is>
      </c>
      <c r="G656" t="n">
        <v>11.4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51674-2024</t>
        </is>
      </c>
      <c r="B657" s="1" t="n">
        <v>45607</v>
      </c>
      <c r="C657" s="1" t="n">
        <v>45669</v>
      </c>
      <c r="D657" t="inlineStr">
        <is>
          <t>NORRBOTTENS LÄN</t>
        </is>
      </c>
      <c r="E657" t="inlineStr">
        <is>
          <t>ÖVERTORNEÅ</t>
        </is>
      </c>
      <c r="G657" t="n">
        <v>5.5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52323-2024</t>
        </is>
      </c>
      <c r="B658" s="1" t="n">
        <v>45608</v>
      </c>
      <c r="C658" s="1" t="n">
        <v>45669</v>
      </c>
      <c r="D658" t="inlineStr">
        <is>
          <t>NORRBOTTENS LÄN</t>
        </is>
      </c>
      <c r="E658" t="inlineStr">
        <is>
          <t>ÖVERTORNEÅ</t>
        </is>
      </c>
      <c r="G658" t="n">
        <v>18.1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52815-2024</t>
        </is>
      </c>
      <c r="B659" s="1" t="n">
        <v>45610</v>
      </c>
      <c r="C659" s="1" t="n">
        <v>45669</v>
      </c>
      <c r="D659" t="inlineStr">
        <is>
          <t>NORRBOTTENS LÄN</t>
        </is>
      </c>
      <c r="E659" t="inlineStr">
        <is>
          <t>ÖVERTORNEÅ</t>
        </is>
      </c>
      <c r="G659" t="n">
        <v>6.2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55196-2024</t>
        </is>
      </c>
      <c r="B660" s="1" t="n">
        <v>45621</v>
      </c>
      <c r="C660" s="1" t="n">
        <v>45669</v>
      </c>
      <c r="D660" t="inlineStr">
        <is>
          <t>NORRBOTTENS LÄN</t>
        </is>
      </c>
      <c r="E660" t="inlineStr">
        <is>
          <t>ÖVERTORNEÅ</t>
        </is>
      </c>
      <c r="G660" t="n">
        <v>3.3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55245-2024</t>
        </is>
      </c>
      <c r="B661" s="1" t="n">
        <v>45621</v>
      </c>
      <c r="C661" s="1" t="n">
        <v>45669</v>
      </c>
      <c r="D661" t="inlineStr">
        <is>
          <t>NORRBOTTENS LÄN</t>
        </is>
      </c>
      <c r="E661" t="inlineStr">
        <is>
          <t>ÖVERTORNEÅ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55455-2024</t>
        </is>
      </c>
      <c r="B662" s="1" t="n">
        <v>45622</v>
      </c>
      <c r="C662" s="1" t="n">
        <v>45669</v>
      </c>
      <c r="D662" t="inlineStr">
        <is>
          <t>NORRBOTTENS LÄN</t>
        </is>
      </c>
      <c r="E662" t="inlineStr">
        <is>
          <t>ÖVERTORNEÅ</t>
        </is>
      </c>
      <c r="G662" t="n">
        <v>2.9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55559-2024</t>
        </is>
      </c>
      <c r="B663" s="1" t="n">
        <v>45622</v>
      </c>
      <c r="C663" s="1" t="n">
        <v>45669</v>
      </c>
      <c r="D663" t="inlineStr">
        <is>
          <t>NORRBOTTENS LÄN</t>
        </is>
      </c>
      <c r="E663" t="inlineStr">
        <is>
          <t>ÖVERTORNEÅ</t>
        </is>
      </c>
      <c r="G663" t="n">
        <v>2.7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55556-2024</t>
        </is>
      </c>
      <c r="B664" s="1" t="n">
        <v>45622</v>
      </c>
      <c r="C664" s="1" t="n">
        <v>45669</v>
      </c>
      <c r="D664" t="inlineStr">
        <is>
          <t>NORRBOTTENS LÄN</t>
        </is>
      </c>
      <c r="E664" t="inlineStr">
        <is>
          <t>ÖVERTORNEÅ</t>
        </is>
      </c>
      <c r="G664" t="n">
        <v>3.9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55545-2024</t>
        </is>
      </c>
      <c r="B665" s="1" t="n">
        <v>45622</v>
      </c>
      <c r="C665" s="1" t="n">
        <v>45669</v>
      </c>
      <c r="D665" t="inlineStr">
        <is>
          <t>NORRBOTTENS LÄN</t>
        </is>
      </c>
      <c r="E665" t="inlineStr">
        <is>
          <t>ÖVERTORNEÅ</t>
        </is>
      </c>
      <c r="G665" t="n">
        <v>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56538-2024</t>
        </is>
      </c>
      <c r="B666" s="1" t="n">
        <v>45625</v>
      </c>
      <c r="C666" s="1" t="n">
        <v>45669</v>
      </c>
      <c r="D666" t="inlineStr">
        <is>
          <t>NORRBOTTENS LÄN</t>
        </is>
      </c>
      <c r="E666" t="inlineStr">
        <is>
          <t>ÖVERTORNEÅ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56545-2024</t>
        </is>
      </c>
      <c r="B667" s="1" t="n">
        <v>45625</v>
      </c>
      <c r="C667" s="1" t="n">
        <v>45669</v>
      </c>
      <c r="D667" t="inlineStr">
        <is>
          <t>NORRBOTTENS LÄN</t>
        </is>
      </c>
      <c r="E667" t="inlineStr">
        <is>
          <t>ÖVERTORNEÅ</t>
        </is>
      </c>
      <c r="G667" t="n">
        <v>4.8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56544-2024</t>
        </is>
      </c>
      <c r="B668" s="1" t="n">
        <v>45625</v>
      </c>
      <c r="C668" s="1" t="n">
        <v>45669</v>
      </c>
      <c r="D668" t="inlineStr">
        <is>
          <t>NORRBOTTENS LÄN</t>
        </is>
      </c>
      <c r="E668" t="inlineStr">
        <is>
          <t>ÖVERTORNEÅ</t>
        </is>
      </c>
      <c r="G668" t="n">
        <v>2.1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56527-2024</t>
        </is>
      </c>
      <c r="B669" s="1" t="n">
        <v>45625</v>
      </c>
      <c r="C669" s="1" t="n">
        <v>45669</v>
      </c>
      <c r="D669" t="inlineStr">
        <is>
          <t>NORRBOTTENS LÄN</t>
        </is>
      </c>
      <c r="E669" t="inlineStr">
        <is>
          <t>ÖVERTORNEÅ</t>
        </is>
      </c>
      <c r="G669" t="n">
        <v>2.4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56734-2024</t>
        </is>
      </c>
      <c r="B670" s="1" t="n">
        <v>45628</v>
      </c>
      <c r="C670" s="1" t="n">
        <v>45669</v>
      </c>
      <c r="D670" t="inlineStr">
        <is>
          <t>NORRBOTTENS LÄN</t>
        </is>
      </c>
      <c r="E670" t="inlineStr">
        <is>
          <t>ÖVERTORNEÅ</t>
        </is>
      </c>
      <c r="G670" t="n">
        <v>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57111-2024</t>
        </is>
      </c>
      <c r="B671" s="1" t="n">
        <v>45629</v>
      </c>
      <c r="C671" s="1" t="n">
        <v>45669</v>
      </c>
      <c r="D671" t="inlineStr">
        <is>
          <t>NORRBOTTENS LÄN</t>
        </is>
      </c>
      <c r="E671" t="inlineStr">
        <is>
          <t>ÖVERTORNEÅ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58101-2024</t>
        </is>
      </c>
      <c r="B672" s="1" t="n">
        <v>45632</v>
      </c>
      <c r="C672" s="1" t="n">
        <v>45669</v>
      </c>
      <c r="D672" t="inlineStr">
        <is>
          <t>NORRBOTTENS LÄN</t>
        </is>
      </c>
      <c r="E672" t="inlineStr">
        <is>
          <t>ÖVERTORNEÅ</t>
        </is>
      </c>
      <c r="G672" t="n">
        <v>2.3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58178-2024</t>
        </is>
      </c>
      <c r="B673" s="1" t="n">
        <v>45632</v>
      </c>
      <c r="C673" s="1" t="n">
        <v>45669</v>
      </c>
      <c r="D673" t="inlineStr">
        <is>
          <t>NORRBOTTENS LÄN</t>
        </is>
      </c>
      <c r="E673" t="inlineStr">
        <is>
          <t>ÖVERTORNEÅ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58083-2024</t>
        </is>
      </c>
      <c r="B674" s="1" t="n">
        <v>45632</v>
      </c>
      <c r="C674" s="1" t="n">
        <v>45669</v>
      </c>
      <c r="D674" t="inlineStr">
        <is>
          <t>NORRBOTTENS LÄN</t>
        </is>
      </c>
      <c r="E674" t="inlineStr">
        <is>
          <t>ÖVERTORNEÅ</t>
        </is>
      </c>
      <c r="G674" t="n">
        <v>13.2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58096-2024</t>
        </is>
      </c>
      <c r="B675" s="1" t="n">
        <v>45632</v>
      </c>
      <c r="C675" s="1" t="n">
        <v>45669</v>
      </c>
      <c r="D675" t="inlineStr">
        <is>
          <t>NORRBOTTENS LÄN</t>
        </is>
      </c>
      <c r="E675" t="inlineStr">
        <is>
          <t>ÖVERTORNEÅ</t>
        </is>
      </c>
      <c r="G675" t="n">
        <v>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58218-2024</t>
        </is>
      </c>
      <c r="B676" s="1" t="n">
        <v>45632</v>
      </c>
      <c r="C676" s="1" t="n">
        <v>45669</v>
      </c>
      <c r="D676" t="inlineStr">
        <is>
          <t>NORRBOTTENS LÄN</t>
        </is>
      </c>
      <c r="E676" t="inlineStr">
        <is>
          <t>ÖVERTORNEÅ</t>
        </is>
      </c>
      <c r="G676" t="n">
        <v>4.5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58215-2024</t>
        </is>
      </c>
      <c r="B677" s="1" t="n">
        <v>45632</v>
      </c>
      <c r="C677" s="1" t="n">
        <v>45669</v>
      </c>
      <c r="D677" t="inlineStr">
        <is>
          <t>NORRBOTTENS LÄN</t>
        </is>
      </c>
      <c r="E677" t="inlineStr">
        <is>
          <t>ÖVERTORNEÅ</t>
        </is>
      </c>
      <c r="G677" t="n">
        <v>4.1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58201-2024</t>
        </is>
      </c>
      <c r="B678" s="1" t="n">
        <v>45632</v>
      </c>
      <c r="C678" s="1" t="n">
        <v>45669</v>
      </c>
      <c r="D678" t="inlineStr">
        <is>
          <t>NORRBOTTENS LÄN</t>
        </is>
      </c>
      <c r="E678" t="inlineStr">
        <is>
          <t>ÖVERTORNEÅ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58306-2024</t>
        </is>
      </c>
      <c r="B679" s="1" t="n">
        <v>45632</v>
      </c>
      <c r="C679" s="1" t="n">
        <v>45669</v>
      </c>
      <c r="D679" t="inlineStr">
        <is>
          <t>NORRBOTTENS LÄN</t>
        </is>
      </c>
      <c r="E679" t="inlineStr">
        <is>
          <t>ÖVERTORNEÅ</t>
        </is>
      </c>
      <c r="G679" t="n">
        <v>3.9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58172-2024</t>
        </is>
      </c>
      <c r="B680" s="1" t="n">
        <v>45632</v>
      </c>
      <c r="C680" s="1" t="n">
        <v>45669</v>
      </c>
      <c r="D680" t="inlineStr">
        <is>
          <t>NORRBOTTENS LÄN</t>
        </is>
      </c>
      <c r="E680" t="inlineStr">
        <is>
          <t>ÖVERTORNEÅ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58212-2024</t>
        </is>
      </c>
      <c r="B681" s="1" t="n">
        <v>45632</v>
      </c>
      <c r="C681" s="1" t="n">
        <v>45669</v>
      </c>
      <c r="D681" t="inlineStr">
        <is>
          <t>NORRBOTTENS LÄN</t>
        </is>
      </c>
      <c r="E681" t="inlineStr">
        <is>
          <t>ÖVERTORNEÅ</t>
        </is>
      </c>
      <c r="G681" t="n">
        <v>2.4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58386-2024</t>
        </is>
      </c>
      <c r="B682" s="1" t="n">
        <v>45633</v>
      </c>
      <c r="C682" s="1" t="n">
        <v>45669</v>
      </c>
      <c r="D682" t="inlineStr">
        <is>
          <t>NORRBOTTENS LÄN</t>
        </is>
      </c>
      <c r="E682" t="inlineStr">
        <is>
          <t>ÖVERTORNEÅ</t>
        </is>
      </c>
      <c r="G682" t="n">
        <v>2.4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58394-2024</t>
        </is>
      </c>
      <c r="B683" s="1" t="n">
        <v>45634</v>
      </c>
      <c r="C683" s="1" t="n">
        <v>45669</v>
      </c>
      <c r="D683" t="inlineStr">
        <is>
          <t>NORRBOTTENS LÄN</t>
        </is>
      </c>
      <c r="E683" t="inlineStr">
        <is>
          <t>ÖVERTORNEÅ</t>
        </is>
      </c>
      <c r="G683" t="n">
        <v>4.5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58545-2024</t>
        </is>
      </c>
      <c r="B684" s="1" t="n">
        <v>45635</v>
      </c>
      <c r="C684" s="1" t="n">
        <v>45669</v>
      </c>
      <c r="D684" t="inlineStr">
        <is>
          <t>NORRBOTTENS LÄN</t>
        </is>
      </c>
      <c r="E684" t="inlineStr">
        <is>
          <t>ÖVERTORNEÅ</t>
        </is>
      </c>
      <c r="G684" t="n">
        <v>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58536-2024</t>
        </is>
      </c>
      <c r="B685" s="1" t="n">
        <v>45635</v>
      </c>
      <c r="C685" s="1" t="n">
        <v>45669</v>
      </c>
      <c r="D685" t="inlineStr">
        <is>
          <t>NORRBOTTENS LÄN</t>
        </is>
      </c>
      <c r="E685" t="inlineStr">
        <is>
          <t>ÖVERTORNEÅ</t>
        </is>
      </c>
      <c r="G685" t="n">
        <v>14.9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58992-2024</t>
        </is>
      </c>
      <c r="B686" s="1" t="n">
        <v>45636</v>
      </c>
      <c r="C686" s="1" t="n">
        <v>45669</v>
      </c>
      <c r="D686" t="inlineStr">
        <is>
          <t>NORRBOTTENS LÄN</t>
        </is>
      </c>
      <c r="E686" t="inlineStr">
        <is>
          <t>ÖVERTORNEÅ</t>
        </is>
      </c>
      <c r="G686" t="n">
        <v>44.5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59662-2024</t>
        </is>
      </c>
      <c r="B687" s="1" t="n">
        <v>45639</v>
      </c>
      <c r="C687" s="1" t="n">
        <v>45669</v>
      </c>
      <c r="D687" t="inlineStr">
        <is>
          <t>NORRBOTTENS LÄN</t>
        </is>
      </c>
      <c r="E687" t="inlineStr">
        <is>
          <t>ÖVERTORNEÅ</t>
        </is>
      </c>
      <c r="G687" t="n">
        <v>1.6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60462-2024</t>
        </is>
      </c>
      <c r="B688" s="1" t="n">
        <v>45643</v>
      </c>
      <c r="C688" s="1" t="n">
        <v>45669</v>
      </c>
      <c r="D688" t="inlineStr">
        <is>
          <t>NORRBOTTENS LÄN</t>
        </is>
      </c>
      <c r="E688" t="inlineStr">
        <is>
          <t>ÖVERTORNEÅ</t>
        </is>
      </c>
      <c r="G688" t="n">
        <v>1.9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60484-2024</t>
        </is>
      </c>
      <c r="B689" s="1" t="n">
        <v>45643</v>
      </c>
      <c r="C689" s="1" t="n">
        <v>45669</v>
      </c>
      <c r="D689" t="inlineStr">
        <is>
          <t>NORRBOTTENS LÄN</t>
        </is>
      </c>
      <c r="E689" t="inlineStr">
        <is>
          <t>ÖVERTORNEÅ</t>
        </is>
      </c>
      <c r="G689" t="n">
        <v>12.7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60652-2024</t>
        </is>
      </c>
      <c r="B690" s="1" t="n">
        <v>45644</v>
      </c>
      <c r="C690" s="1" t="n">
        <v>45669</v>
      </c>
      <c r="D690" t="inlineStr">
        <is>
          <t>NORRBOTTENS LÄN</t>
        </is>
      </c>
      <c r="E690" t="inlineStr">
        <is>
          <t>ÖVERTORNEÅ</t>
        </is>
      </c>
      <c r="G690" t="n">
        <v>8.699999999999999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60657-2024</t>
        </is>
      </c>
      <c r="B691" s="1" t="n">
        <v>45644</v>
      </c>
      <c r="C691" s="1" t="n">
        <v>45669</v>
      </c>
      <c r="D691" t="inlineStr">
        <is>
          <t>NORRBOTTENS LÄN</t>
        </is>
      </c>
      <c r="E691" t="inlineStr">
        <is>
          <t>ÖVERTORNEÅ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62076-2024</t>
        </is>
      </c>
      <c r="B692" s="1" t="n">
        <v>45656</v>
      </c>
      <c r="C692" s="1" t="n">
        <v>45669</v>
      </c>
      <c r="D692" t="inlineStr">
        <is>
          <t>NORRBOTTENS LÄN</t>
        </is>
      </c>
      <c r="E692" t="inlineStr">
        <is>
          <t>ÖVERTORNEÅ</t>
        </is>
      </c>
      <c r="G692" t="n">
        <v>0.4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666-2025</t>
        </is>
      </c>
      <c r="B693" s="1" t="n">
        <v>45664</v>
      </c>
      <c r="C693" s="1" t="n">
        <v>45669</v>
      </c>
      <c r="D693" t="inlineStr">
        <is>
          <t>NORRBOTTENS LÄN</t>
        </is>
      </c>
      <c r="E693" t="inlineStr">
        <is>
          <t>ÖVERTORNEÅ</t>
        </is>
      </c>
      <c r="G693" t="n">
        <v>1.4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1319-2025</t>
        </is>
      </c>
      <c r="B694" s="1" t="n">
        <v>45667</v>
      </c>
      <c r="C694" s="1" t="n">
        <v>45669</v>
      </c>
      <c r="D694" t="inlineStr">
        <is>
          <t>NORRBOTTENS LÄN</t>
        </is>
      </c>
      <c r="E694" t="inlineStr">
        <is>
          <t>ÖVERTORNEÅ</t>
        </is>
      </c>
      <c r="G694" t="n">
        <v>5.5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1301-2025</t>
        </is>
      </c>
      <c r="B695" s="1" t="n">
        <v>45667</v>
      </c>
      <c r="C695" s="1" t="n">
        <v>45669</v>
      </c>
      <c r="D695" t="inlineStr">
        <is>
          <t>NORRBOTTENS LÄN</t>
        </is>
      </c>
      <c r="E695" t="inlineStr">
        <is>
          <t>ÖVERTORNEÅ</t>
        </is>
      </c>
      <c r="G695" t="n">
        <v>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>
      <c r="A696" t="inlineStr">
        <is>
          <t>A 1305-2025</t>
        </is>
      </c>
      <c r="B696" s="1" t="n">
        <v>45667</v>
      </c>
      <c r="C696" s="1" t="n">
        <v>45669</v>
      </c>
      <c r="D696" t="inlineStr">
        <is>
          <t>NORRBOTTENS LÄN</t>
        </is>
      </c>
      <c r="E696" t="inlineStr">
        <is>
          <t>ÖVERTORNEÅ</t>
        </is>
      </c>
      <c r="G696" t="n">
        <v>1.4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2025-01-12T15:25:09Z</dcterms:created>
  <dcterms:modified xmlns:dcterms="http://purl.org/dc/terms/" xmlns:xsi="http://www.w3.org/2001/XMLSchema-instance" xsi:type="dcterms:W3CDTF">2025-01-12T15:25:10Z</dcterms:modified>
</cp:coreProperties>
</file>
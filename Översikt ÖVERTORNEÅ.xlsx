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46040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46040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46040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46040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46040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46040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46040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46040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41916-2024</t>
        </is>
      </c>
      <c r="B10" s="1" t="n">
        <v>45561</v>
      </c>
      <c r="C10" s="1" t="n">
        <v>46040</v>
      </c>
      <c r="D10" t="inlineStr">
        <is>
          <t>NORRBOTTENS LÄN</t>
        </is>
      </c>
      <c r="E10" t="inlineStr">
        <is>
          <t>ÖVERTORNEÅ</t>
        </is>
      </c>
      <c r="G10" t="n">
        <v>4.7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11</v>
      </c>
      <c r="R10" s="2" t="inlineStr">
        <is>
          <t>Ulltickeporing
Garnlav
Granticka
Kolflarnlav
Nordtagging
Rosenticka
Spillkråka
Tretåig hackspett
Ullticka
Skinnlav
Vedticka</t>
        </is>
      </c>
      <c r="S10">
        <f>HYPERLINK("https://klasma.github.io/Logging_2518/artfynd/A 41916-2024 artfynd.xlsx", "A 41916-2024")</f>
        <v/>
      </c>
      <c r="T10">
        <f>HYPERLINK("https://klasma.github.io/Logging_2518/kartor/A 41916-2024 karta.png", "A 41916-2024")</f>
        <v/>
      </c>
      <c r="V10">
        <f>HYPERLINK("https://klasma.github.io/Logging_2518/klagomål/A 41916-2024 FSC-klagomål.docx", "A 41916-2024")</f>
        <v/>
      </c>
      <c r="W10">
        <f>HYPERLINK("https://klasma.github.io/Logging_2518/klagomålsmail/A 41916-2024 FSC-klagomål mail.docx", "A 41916-2024")</f>
        <v/>
      </c>
      <c r="X10">
        <f>HYPERLINK("https://klasma.github.io/Logging_2518/tillsyn/A 41916-2024 tillsynsbegäran.docx", "A 41916-2024")</f>
        <v/>
      </c>
      <c r="Y10">
        <f>HYPERLINK("https://klasma.github.io/Logging_2518/tillsynsmail/A 41916-2024 tillsynsbegäran mail.docx", "A 41916-2024")</f>
        <v/>
      </c>
      <c r="Z10">
        <f>HYPERLINK("https://klasma.github.io/Logging_2518/fåglar/A 41916-2024 prioriterade fågelarter.docx", "A 41916-2024")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46040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46040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46040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46040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46040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46040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46040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46040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46040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46040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46040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46040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46040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54504-2022</t>
        </is>
      </c>
      <c r="B24" s="1" t="n">
        <v>44880</v>
      </c>
      <c r="C24" s="1" t="n">
        <v>46040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2.6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Spillkråka
Barkticka
Norrlandslav
Revlummer</t>
        </is>
      </c>
      <c r="S24">
        <f>HYPERLINK("https://klasma.github.io/Logging_2518/artfynd/A 54504-2022 artfynd.xlsx", "A 54504-2022")</f>
        <v/>
      </c>
      <c r="T24">
        <f>HYPERLINK("https://klasma.github.io/Logging_2518/kartor/A 54504-2022 karta.png", "A 54504-2022")</f>
        <v/>
      </c>
      <c r="V24">
        <f>HYPERLINK("https://klasma.github.io/Logging_2518/klagomål/A 54504-2022 FSC-klagomål.docx", "A 54504-2022")</f>
        <v/>
      </c>
      <c r="W24">
        <f>HYPERLINK("https://klasma.github.io/Logging_2518/klagomålsmail/A 54504-2022 FSC-klagomål mail.docx", "A 54504-2022")</f>
        <v/>
      </c>
      <c r="X24">
        <f>HYPERLINK("https://klasma.github.io/Logging_2518/tillsyn/A 54504-2022 tillsynsbegäran.docx", "A 54504-2022")</f>
        <v/>
      </c>
      <c r="Y24">
        <f>HYPERLINK("https://klasma.github.io/Logging_2518/tillsynsmail/A 54504-2022 tillsynsbegäran mail.docx", "A 54504-2022")</f>
        <v/>
      </c>
      <c r="Z24">
        <f>HYPERLINK("https://klasma.github.io/Logging_2518/fåglar/A 54504-2022 prioriterade fågelarter.docx", "A 54504-2022")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46040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15202-2023</t>
        </is>
      </c>
      <c r="B26" s="1" t="n">
        <v>45017</v>
      </c>
      <c r="C26" s="1" t="n">
        <v>46040</v>
      </c>
      <c r="D26" t="inlineStr">
        <is>
          <t>NORRBOTTENS LÄN</t>
        </is>
      </c>
      <c r="E26" t="inlineStr">
        <is>
          <t>ÖVERTORNEÅ</t>
        </is>
      </c>
      <c r="G26" t="n">
        <v>3.2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Tallticka</t>
        </is>
      </c>
      <c r="S26">
        <f>HYPERLINK("https://klasma.github.io/Logging_2518/artfynd/A 15202-2023 artfynd.xlsx", "A 15202-2023")</f>
        <v/>
      </c>
      <c r="T26">
        <f>HYPERLINK("https://klasma.github.io/Logging_2518/kartor/A 15202-2023 karta.png", "A 15202-2023")</f>
        <v/>
      </c>
      <c r="V26">
        <f>HYPERLINK("https://klasma.github.io/Logging_2518/klagomål/A 15202-2023 FSC-klagomål.docx", "A 15202-2023")</f>
        <v/>
      </c>
      <c r="W26">
        <f>HYPERLINK("https://klasma.github.io/Logging_2518/klagomålsmail/A 15202-2023 FSC-klagomål mail.docx", "A 15202-2023")</f>
        <v/>
      </c>
      <c r="X26">
        <f>HYPERLINK("https://klasma.github.io/Logging_2518/tillsyn/A 15202-2023 tillsynsbegäran.docx", "A 15202-2023")</f>
        <v/>
      </c>
      <c r="Y26">
        <f>HYPERLINK("https://klasma.github.io/Logging_2518/tillsynsmail/A 15202-2023 tillsynsbegäran mail.docx", "A 15202-2023")</f>
        <v/>
      </c>
      <c r="Z26">
        <f>HYPERLINK("https://klasma.github.io/Logging_2518/fåglar/A 15202-2023 prioriterade fågelarter.docx", "A 15202-2023")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46040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46040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46040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46040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46040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46040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19133-2023</t>
        </is>
      </c>
      <c r="B33" s="1" t="n">
        <v>45044</v>
      </c>
      <c r="C33" s="1" t="n">
        <v>46040</v>
      </c>
      <c r="D33" t="inlineStr">
        <is>
          <t>NORRBOTTENS LÄN</t>
        </is>
      </c>
      <c r="E33" t="inlineStr">
        <is>
          <t>ÖVERTORNEÅ</t>
        </is>
      </c>
      <c r="G33" t="n">
        <v>11.4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Järpe
Spillkråka</t>
        </is>
      </c>
      <c r="S33">
        <f>HYPERLINK("https://klasma.github.io/Logging_2518/artfynd/A 19133-2023 artfynd.xlsx", "A 19133-2023")</f>
        <v/>
      </c>
      <c r="T33">
        <f>HYPERLINK("https://klasma.github.io/Logging_2518/kartor/A 19133-2023 karta.png", "A 19133-2023")</f>
        <v/>
      </c>
      <c r="V33">
        <f>HYPERLINK("https://klasma.github.io/Logging_2518/klagomål/A 19133-2023 FSC-klagomål.docx", "A 19133-2023")</f>
        <v/>
      </c>
      <c r="W33">
        <f>HYPERLINK("https://klasma.github.io/Logging_2518/klagomålsmail/A 19133-2023 FSC-klagomål mail.docx", "A 19133-2023")</f>
        <v/>
      </c>
      <c r="X33">
        <f>HYPERLINK("https://klasma.github.io/Logging_2518/tillsyn/A 19133-2023 tillsynsbegäran.docx", "A 19133-2023")</f>
        <v/>
      </c>
      <c r="Y33">
        <f>HYPERLINK("https://klasma.github.io/Logging_2518/tillsynsmail/A 19133-2023 tillsynsbegäran mail.docx", "A 19133-2023")</f>
        <v/>
      </c>
      <c r="Z33">
        <f>HYPERLINK("https://klasma.github.io/Logging_2518/fåglar/A 19133-2023 prioriterade fågelarter.docx", "A 19133-2023")</f>
        <v/>
      </c>
    </row>
    <row r="34" ht="15" customHeight="1">
      <c r="A34" t="inlineStr">
        <is>
          <t>A 7505-2025</t>
        </is>
      </c>
      <c r="B34" s="1" t="n">
        <v>45705</v>
      </c>
      <c r="C34" s="1" t="n">
        <v>46040</v>
      </c>
      <c r="D34" t="inlineStr">
        <is>
          <t>NORRBOTTENS LÄN</t>
        </is>
      </c>
      <c r="E34" t="inlineStr">
        <is>
          <t>ÖVERTORNEÅ</t>
        </is>
      </c>
      <c r="G34" t="n">
        <v>8.6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Finnmyrten
Älvstarr
Ögonpyrola</t>
        </is>
      </c>
      <c r="S34">
        <f>HYPERLINK("https://klasma.github.io/Logging_2518/artfynd/A 7505-2025 artfynd.xlsx", "A 7505-2025")</f>
        <v/>
      </c>
      <c r="T34">
        <f>HYPERLINK("https://klasma.github.io/Logging_2518/kartor/A 7505-2025 karta.png", "A 7505-2025")</f>
        <v/>
      </c>
      <c r="V34">
        <f>HYPERLINK("https://klasma.github.io/Logging_2518/klagomål/A 7505-2025 FSC-klagomål.docx", "A 7505-2025")</f>
        <v/>
      </c>
      <c r="W34">
        <f>HYPERLINK("https://klasma.github.io/Logging_2518/klagomålsmail/A 7505-2025 FSC-klagomål mail.docx", "A 7505-2025")</f>
        <v/>
      </c>
      <c r="X34">
        <f>HYPERLINK("https://klasma.github.io/Logging_2518/tillsyn/A 7505-2025 tillsynsbegäran.docx", "A 7505-2025")</f>
        <v/>
      </c>
      <c r="Y34">
        <f>HYPERLINK("https://klasma.github.io/Logging_2518/tillsynsmail/A 7505-2025 tillsynsbegäran mail.docx", "A 7505-2025")</f>
        <v/>
      </c>
    </row>
    <row r="35" ht="15" customHeight="1">
      <c r="A35" t="inlineStr">
        <is>
          <t>A 31280-2025</t>
        </is>
      </c>
      <c r="B35" s="1" t="n">
        <v>45833.34586805556</v>
      </c>
      <c r="C35" s="1" t="n">
        <v>46040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24.6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Lunglav
Fläcknycklar</t>
        </is>
      </c>
      <c r="S35">
        <f>HYPERLINK("https://klasma.github.io/Logging_2518/artfynd/A 31280-2025 artfynd.xlsx", "A 31280-2025")</f>
        <v/>
      </c>
      <c r="T35">
        <f>HYPERLINK("https://klasma.github.io/Logging_2518/kartor/A 31280-2025 karta.png", "A 31280-2025")</f>
        <v/>
      </c>
      <c r="V35">
        <f>HYPERLINK("https://klasma.github.io/Logging_2518/klagomål/A 31280-2025 FSC-klagomål.docx", "A 31280-2025")</f>
        <v/>
      </c>
      <c r="W35">
        <f>HYPERLINK("https://klasma.github.io/Logging_2518/klagomålsmail/A 31280-2025 FSC-klagomål mail.docx", "A 31280-2025")</f>
        <v/>
      </c>
      <c r="X35">
        <f>HYPERLINK("https://klasma.github.io/Logging_2518/tillsyn/A 31280-2025 tillsynsbegäran.docx", "A 31280-2025")</f>
        <v/>
      </c>
      <c r="Y35">
        <f>HYPERLINK("https://klasma.github.io/Logging_2518/tillsynsmail/A 31280-2025 tillsynsbegäran mail.docx", "A 31280-2025")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46040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46040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46040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46040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46040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46040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34186-2022</t>
        </is>
      </c>
      <c r="B42" s="1" t="n">
        <v>44791.61888888889</v>
      </c>
      <c r="C42" s="1" t="n">
        <v>46040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HYPERLINK("https://klasma.github.io/Logging_2518/artfynd/A 34186-2022 artfynd.xlsx", "A 34186-2022")</f>
        <v/>
      </c>
      <c r="T42">
        <f>HYPERLINK("https://klasma.github.io/Logging_2518/kartor/A 34186-2022 karta.png", "A 34186-2022")</f>
        <v/>
      </c>
      <c r="V42">
        <f>HYPERLINK("https://klasma.github.io/Logging_2518/klagomål/A 34186-2022 FSC-klagomål.docx", "A 34186-2022")</f>
        <v/>
      </c>
      <c r="W42">
        <f>HYPERLINK("https://klasma.github.io/Logging_2518/klagomålsmail/A 34186-2022 FSC-klagomål mail.docx", "A 34186-2022")</f>
        <v/>
      </c>
      <c r="X42">
        <f>HYPERLINK("https://klasma.github.io/Logging_2518/tillsyn/A 34186-2022 tillsynsbegäran.docx", "A 34186-2022")</f>
        <v/>
      </c>
      <c r="Y42">
        <f>HYPERLINK("https://klasma.github.io/Logging_2518/tillsynsmail/A 34186-2022 tillsynsbegäran mail.docx", "A 34186-2022")</f>
        <v/>
      </c>
    </row>
    <row r="43" ht="15" customHeight="1">
      <c r="A43" t="inlineStr">
        <is>
          <t>A 46378-2023</t>
        </is>
      </c>
      <c r="B43" s="1" t="n">
        <v>45197</v>
      </c>
      <c r="C43" s="1" t="n">
        <v>46040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43.9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HYPERLINK("https://klasma.github.io/Logging_2518/artfynd/A 46378-2023 artfynd.xlsx", "A 46378-2023")</f>
        <v/>
      </c>
      <c r="T43">
        <f>HYPERLINK("https://klasma.github.io/Logging_2518/kartor/A 46378-2023 karta.png", "A 46378-2023")</f>
        <v/>
      </c>
      <c r="V43">
        <f>HYPERLINK("https://klasma.github.io/Logging_2518/klagomål/A 46378-2023 FSC-klagomål.docx", "A 46378-2023")</f>
        <v/>
      </c>
      <c r="W43">
        <f>HYPERLINK("https://klasma.github.io/Logging_2518/klagomålsmail/A 46378-2023 FSC-klagomål mail.docx", "A 46378-2023")</f>
        <v/>
      </c>
      <c r="X43">
        <f>HYPERLINK("https://klasma.github.io/Logging_2518/tillsyn/A 46378-2023 tillsynsbegäran.docx", "A 46378-2023")</f>
        <v/>
      </c>
      <c r="Y43">
        <f>HYPERLINK("https://klasma.github.io/Logging_2518/tillsynsmail/A 46378-2023 tillsynsbegäran mail.docx", "A 46378-2023")</f>
        <v/>
      </c>
      <c r="Z43">
        <f>HYPERLINK("https://klasma.github.io/Logging_2518/fåglar/A 46378-2023 prioriterade fågelarter.docx", "A 46378-2023")</f>
        <v/>
      </c>
    </row>
    <row r="44" ht="15" customHeight="1">
      <c r="A44" t="inlineStr">
        <is>
          <t>A 18671-2024</t>
        </is>
      </c>
      <c r="B44" s="1" t="n">
        <v>45426</v>
      </c>
      <c r="C44" s="1" t="n">
        <v>46040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 trolldruva</t>
        </is>
      </c>
      <c r="S44">
        <f>HYPERLINK("https://klasma.github.io/Logging_2518/artfynd/A 18671-2024 artfynd.xlsx", "A 18671-2024")</f>
        <v/>
      </c>
      <c r="T44">
        <f>HYPERLINK("https://klasma.github.io/Logging_2518/kartor/A 18671-2024 karta.png", "A 18671-2024")</f>
        <v/>
      </c>
      <c r="V44">
        <f>HYPERLINK("https://klasma.github.io/Logging_2518/klagomål/A 18671-2024 FSC-klagomål.docx", "A 18671-2024")</f>
        <v/>
      </c>
      <c r="W44">
        <f>HYPERLINK("https://klasma.github.io/Logging_2518/klagomålsmail/A 18671-2024 FSC-klagomål mail.docx", "A 18671-2024")</f>
        <v/>
      </c>
      <c r="X44">
        <f>HYPERLINK("https://klasma.github.io/Logging_2518/tillsyn/A 18671-2024 tillsynsbegäran.docx", "A 18671-2024")</f>
        <v/>
      </c>
      <c r="Y44">
        <f>HYPERLINK("https://klasma.github.io/Logging_2518/tillsynsmail/A 18671-2024 tillsynsbegäran mail.docx", "A 18671-2024")</f>
        <v/>
      </c>
    </row>
    <row r="45" ht="15" customHeight="1">
      <c r="A45" t="inlineStr">
        <is>
          <t>A 26760-2025</t>
        </is>
      </c>
      <c r="B45" s="1" t="n">
        <v>45810.56263888889</v>
      </c>
      <c r="C45" s="1" t="n">
        <v>46040</v>
      </c>
      <c r="D45" t="inlineStr">
        <is>
          <t>NORRBOTTENS LÄN</t>
        </is>
      </c>
      <c r="E45" t="inlineStr">
        <is>
          <t>ÖVERTORNEÅ</t>
        </is>
      </c>
      <c r="G45" t="n">
        <v>6.3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HYPERLINK("https://klasma.github.io/Logging_2518/artfynd/A 26760-2025 artfynd.xlsx", "A 26760-2025")</f>
        <v/>
      </c>
      <c r="T45">
        <f>HYPERLINK("https://klasma.github.io/Logging_2518/kartor/A 26760-2025 karta.png", "A 26760-2025")</f>
        <v/>
      </c>
      <c r="V45">
        <f>HYPERLINK("https://klasma.github.io/Logging_2518/klagomål/A 26760-2025 FSC-klagomål.docx", "A 26760-2025")</f>
        <v/>
      </c>
      <c r="W45">
        <f>HYPERLINK("https://klasma.github.io/Logging_2518/klagomålsmail/A 26760-2025 FSC-klagomål mail.docx", "A 26760-2025")</f>
        <v/>
      </c>
      <c r="X45">
        <f>HYPERLINK("https://klasma.github.io/Logging_2518/tillsyn/A 26760-2025 tillsynsbegäran.docx", "A 26760-2025")</f>
        <v/>
      </c>
      <c r="Y45">
        <f>HYPERLINK("https://klasma.github.io/Logging_2518/tillsynsmail/A 26760-2025 tillsynsbegäran mail.docx", "A 26760-2025")</f>
        <v/>
      </c>
    </row>
    <row r="46" ht="15" customHeight="1">
      <c r="A46" t="inlineStr">
        <is>
          <t>A 30784-2025</t>
        </is>
      </c>
      <c r="B46" s="1" t="n">
        <v>45831.62631944445</v>
      </c>
      <c r="C46" s="1" t="n">
        <v>46040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12.4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30784-2025 artfynd.xlsx", "A 30784-2025")</f>
        <v/>
      </c>
      <c r="T46">
        <f>HYPERLINK("https://klasma.github.io/Logging_2518/kartor/A 30784-2025 karta.png", "A 30784-2025")</f>
        <v/>
      </c>
      <c r="V46">
        <f>HYPERLINK("https://klasma.github.io/Logging_2518/klagomål/A 30784-2025 FSC-klagomål.docx", "A 30784-2025")</f>
        <v/>
      </c>
      <c r="W46">
        <f>HYPERLINK("https://klasma.github.io/Logging_2518/klagomålsmail/A 30784-2025 FSC-klagomål mail.docx", "A 30784-2025")</f>
        <v/>
      </c>
      <c r="X46">
        <f>HYPERLINK("https://klasma.github.io/Logging_2518/tillsyn/A 30784-2025 tillsynsbegäran.docx", "A 30784-2025")</f>
        <v/>
      </c>
      <c r="Y46">
        <f>HYPERLINK("https://klasma.github.io/Logging_2518/tillsynsmail/A 30784-2025 tillsynsbegäran mail.docx", "A 30784-2025")</f>
        <v/>
      </c>
    </row>
    <row r="47" ht="15" customHeight="1">
      <c r="A47" t="inlineStr">
        <is>
          <t>A 34325-2025</t>
        </is>
      </c>
      <c r="B47" s="1" t="n">
        <v>45846.4328587963</v>
      </c>
      <c r="C47" s="1" t="n">
        <v>46040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34325-2025 artfynd.xlsx", "A 34325-2025")</f>
        <v/>
      </c>
      <c r="T47">
        <f>HYPERLINK("https://klasma.github.io/Logging_2518/kartor/A 34325-2025 karta.png", "A 34325-2025")</f>
        <v/>
      </c>
      <c r="V47">
        <f>HYPERLINK("https://klasma.github.io/Logging_2518/klagomål/A 34325-2025 FSC-klagomål.docx", "A 34325-2025")</f>
        <v/>
      </c>
      <c r="W47">
        <f>HYPERLINK("https://klasma.github.io/Logging_2518/klagomålsmail/A 34325-2025 FSC-klagomål mail.docx", "A 34325-2025")</f>
        <v/>
      </c>
      <c r="X47">
        <f>HYPERLINK("https://klasma.github.io/Logging_2518/tillsyn/A 34325-2025 tillsynsbegäran.docx", "A 34325-2025")</f>
        <v/>
      </c>
      <c r="Y47">
        <f>HYPERLINK("https://klasma.github.io/Logging_2518/tillsynsmail/A 34325-2025 tillsynsbegäran mail.docx", "A 34325-2025")</f>
        <v/>
      </c>
    </row>
    <row r="48" ht="15" customHeight="1">
      <c r="A48" t="inlineStr">
        <is>
          <t>A 8495-2021</t>
        </is>
      </c>
      <c r="B48" s="1" t="n">
        <v>44244</v>
      </c>
      <c r="C48" s="1" t="n">
        <v>46040</v>
      </c>
      <c r="D48" t="inlineStr">
        <is>
          <t>NORRBOTTENS LÄN</t>
        </is>
      </c>
      <c r="E48" t="inlineStr">
        <is>
          <t>ÖVERTORNEÅ</t>
        </is>
      </c>
      <c r="G48" t="n">
        <v>18.5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13861-2021</t>
        </is>
      </c>
      <c r="B49" s="1" t="n">
        <v>44277</v>
      </c>
      <c r="C49" s="1" t="n">
        <v>46040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3389-2022</t>
        </is>
      </c>
      <c r="B50" s="1" t="n">
        <v>44585</v>
      </c>
      <c r="C50" s="1" t="n">
        <v>46040</v>
      </c>
      <c r="D50" t="inlineStr">
        <is>
          <t>NORRBOTTENS LÄN</t>
        </is>
      </c>
      <c r="E50" t="inlineStr">
        <is>
          <t>ÖVERTORNEÅ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2743-2021</t>
        </is>
      </c>
      <c r="B51" s="1" t="n">
        <v>44214</v>
      </c>
      <c r="C51" s="1" t="n">
        <v>46040</v>
      </c>
      <c r="D51" t="inlineStr">
        <is>
          <t>NORRBOTTENS LÄN</t>
        </is>
      </c>
      <c r="E51" t="inlineStr">
        <is>
          <t>ÖVERTORNEÅ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62856-2021</t>
        </is>
      </c>
      <c r="B52" s="1" t="n">
        <v>44504.58203703703</v>
      </c>
      <c r="C52" s="1" t="n">
        <v>46040</v>
      </c>
      <c r="D52" t="inlineStr">
        <is>
          <t>NORRBOTTENS LÄN</t>
        </is>
      </c>
      <c r="E52" t="inlineStr">
        <is>
          <t>ÖVERTORNEÅ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43294-2022</t>
        </is>
      </c>
      <c r="B53" s="1" t="n">
        <v>44833</v>
      </c>
      <c r="C53" s="1" t="n">
        <v>46040</v>
      </c>
      <c r="D53" t="inlineStr">
        <is>
          <t>NORRBOTTENS LÄN</t>
        </is>
      </c>
      <c r="E53" t="inlineStr">
        <is>
          <t>ÖVERTORNEÅ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7469-2021</t>
        </is>
      </c>
      <c r="B54" s="1" t="n">
        <v>44238</v>
      </c>
      <c r="C54" s="1" t="n">
        <v>46040</v>
      </c>
      <c r="D54" t="inlineStr">
        <is>
          <t>NORRBOTTENS LÄN</t>
        </is>
      </c>
      <c r="E54" t="inlineStr">
        <is>
          <t>ÖVERTORNEÅ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60133-2021</t>
        </is>
      </c>
      <c r="B55" s="1" t="n">
        <v>44494</v>
      </c>
      <c r="C55" s="1" t="n">
        <v>46040</v>
      </c>
      <c r="D55" t="inlineStr">
        <is>
          <t>NORRBOTTENS LÄN</t>
        </is>
      </c>
      <c r="E55" t="inlineStr">
        <is>
          <t>ÖVERTORNEÅ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70415-2021</t>
        </is>
      </c>
      <c r="B56" s="1" t="n">
        <v>44536</v>
      </c>
      <c r="C56" s="1" t="n">
        <v>46040</v>
      </c>
      <c r="D56" t="inlineStr">
        <is>
          <t>NORRBOTTENS LÄN</t>
        </is>
      </c>
      <c r="E56" t="inlineStr">
        <is>
          <t>ÖVERTORNEÅ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49886-2022</t>
        </is>
      </c>
      <c r="B57" s="1" t="n">
        <v>44864.66456018519</v>
      </c>
      <c r="C57" s="1" t="n">
        <v>46040</v>
      </c>
      <c r="D57" t="inlineStr">
        <is>
          <t>NORRBOTTENS LÄN</t>
        </is>
      </c>
      <c r="E57" t="inlineStr">
        <is>
          <t>ÖVERTORNEÅ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15246-2021</t>
        </is>
      </c>
      <c r="B58" s="1" t="n">
        <v>44284.52182870371</v>
      </c>
      <c r="C58" s="1" t="n">
        <v>46040</v>
      </c>
      <c r="D58" t="inlineStr">
        <is>
          <t>NORRBOTTENS LÄN</t>
        </is>
      </c>
      <c r="E58" t="inlineStr">
        <is>
          <t>ÖVERTORNEÅ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70413-2021</t>
        </is>
      </c>
      <c r="B59" s="1" t="n">
        <v>44536</v>
      </c>
      <c r="C59" s="1" t="n">
        <v>46040</v>
      </c>
      <c r="D59" t="inlineStr">
        <is>
          <t>NORRBOTTENS LÄN</t>
        </is>
      </c>
      <c r="E59" t="inlineStr">
        <is>
          <t>ÖVERTORNEÅ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74231-2021</t>
        </is>
      </c>
      <c r="B60" s="1" t="n">
        <v>44553</v>
      </c>
      <c r="C60" s="1" t="n">
        <v>46040</v>
      </c>
      <c r="D60" t="inlineStr">
        <is>
          <t>NORRBOTTENS LÄN</t>
        </is>
      </c>
      <c r="E60" t="inlineStr">
        <is>
          <t>ÖVERTORNEÅ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74232-2021</t>
        </is>
      </c>
      <c r="B61" s="1" t="n">
        <v>44553</v>
      </c>
      <c r="C61" s="1" t="n">
        <v>46040</v>
      </c>
      <c r="D61" t="inlineStr">
        <is>
          <t>NORRBOTTENS LÄN</t>
        </is>
      </c>
      <c r="E61" t="inlineStr">
        <is>
          <t>ÖVERTORNEÅ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38696-2021</t>
        </is>
      </c>
      <c r="B62" s="1" t="n">
        <v>44406</v>
      </c>
      <c r="C62" s="1" t="n">
        <v>46040</v>
      </c>
      <c r="D62" t="inlineStr">
        <is>
          <t>NORRBOTTENS LÄN</t>
        </is>
      </c>
      <c r="E62" t="inlineStr">
        <is>
          <t>ÖVERTORNEÅ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2544-2021</t>
        </is>
      </c>
      <c r="B63" s="1" t="n">
        <v>44214</v>
      </c>
      <c r="C63" s="1" t="n">
        <v>46040</v>
      </c>
      <c r="D63" t="inlineStr">
        <is>
          <t>NORRBOTTENS LÄN</t>
        </is>
      </c>
      <c r="E63" t="inlineStr">
        <is>
          <t>ÖVERTORNEÅ</t>
        </is>
      </c>
      <c r="G63" t="n">
        <v>18.4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15239-2021</t>
        </is>
      </c>
      <c r="B64" s="1" t="n">
        <v>44284.50615740741</v>
      </c>
      <c r="C64" s="1" t="n">
        <v>46040</v>
      </c>
      <c r="D64" t="inlineStr">
        <is>
          <t>NORRBOTTENS LÄN</t>
        </is>
      </c>
      <c r="E64" t="inlineStr">
        <is>
          <t>ÖVERTORNEÅ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4792-2021</t>
        </is>
      </c>
      <c r="B65" s="1" t="n">
        <v>44225</v>
      </c>
      <c r="C65" s="1" t="n">
        <v>46040</v>
      </c>
      <c r="D65" t="inlineStr">
        <is>
          <t>NORRBOTTENS LÄN</t>
        </is>
      </c>
      <c r="E65" t="inlineStr">
        <is>
          <t>ÖVERTORNEÅ</t>
        </is>
      </c>
      <c r="G65" t="n">
        <v>48.7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10619-2021</t>
        </is>
      </c>
      <c r="B66" s="1" t="n">
        <v>44258</v>
      </c>
      <c r="C66" s="1" t="n">
        <v>46040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13859-2021</t>
        </is>
      </c>
      <c r="B67" s="1" t="n">
        <v>44277</v>
      </c>
      <c r="C67" s="1" t="n">
        <v>46040</v>
      </c>
      <c r="D67" t="inlineStr">
        <is>
          <t>NORRBOTTENS LÄN</t>
        </is>
      </c>
      <c r="E67" t="inlineStr">
        <is>
          <t>ÖVERTORNEÅ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13866-2021</t>
        </is>
      </c>
      <c r="B68" s="1" t="n">
        <v>44277</v>
      </c>
      <c r="C68" s="1" t="n">
        <v>46040</v>
      </c>
      <c r="D68" t="inlineStr">
        <is>
          <t>NORRBOTTENS LÄN</t>
        </is>
      </c>
      <c r="E68" t="inlineStr">
        <is>
          <t>ÖVERTORNEÅ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46032-2021</t>
        </is>
      </c>
      <c r="B69" s="1" t="n">
        <v>44441</v>
      </c>
      <c r="C69" s="1" t="n">
        <v>46040</v>
      </c>
      <c r="D69" t="inlineStr">
        <is>
          <t>NORRBOTTENS LÄN</t>
        </is>
      </c>
      <c r="E69" t="inlineStr">
        <is>
          <t>ÖVERTORNEÅ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13576-2021</t>
        </is>
      </c>
      <c r="B70" s="1" t="n">
        <v>44273.94385416667</v>
      </c>
      <c r="C70" s="1" t="n">
        <v>46040</v>
      </c>
      <c r="D70" t="inlineStr">
        <is>
          <t>NORRBOTTENS LÄN</t>
        </is>
      </c>
      <c r="E70" t="inlineStr">
        <is>
          <t>ÖVERTORNEÅ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18578-2021</t>
        </is>
      </c>
      <c r="B71" s="1" t="n">
        <v>44305</v>
      </c>
      <c r="C71" s="1" t="n">
        <v>46040</v>
      </c>
      <c r="D71" t="inlineStr">
        <is>
          <t>NORRBOTTENS LÄN</t>
        </is>
      </c>
      <c r="E71" t="inlineStr">
        <is>
          <t>ÖVERTORNEÅ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8898-2021</t>
        </is>
      </c>
      <c r="B72" s="1" t="n">
        <v>44245</v>
      </c>
      <c r="C72" s="1" t="n">
        <v>46040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1091-2022</t>
        </is>
      </c>
      <c r="B73" s="1" t="n">
        <v>44571.92197916667</v>
      </c>
      <c r="C73" s="1" t="n">
        <v>46040</v>
      </c>
      <c r="D73" t="inlineStr">
        <is>
          <t>NORRBOTTENS LÄN</t>
        </is>
      </c>
      <c r="E73" t="inlineStr">
        <is>
          <t>ÖVERTORNEÅ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38156-2021</t>
        </is>
      </c>
      <c r="B74" s="1" t="n">
        <v>44405</v>
      </c>
      <c r="C74" s="1" t="n">
        <v>46040</v>
      </c>
      <c r="D74" t="inlineStr">
        <is>
          <t>NORRBOTTENS LÄN</t>
        </is>
      </c>
      <c r="E74" t="inlineStr">
        <is>
          <t>ÖVERTORNEÅ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18449-2021</t>
        </is>
      </c>
      <c r="B75" s="1" t="n">
        <v>44305</v>
      </c>
      <c r="C75" s="1" t="n">
        <v>46040</v>
      </c>
      <c r="D75" t="inlineStr">
        <is>
          <t>NORRBOTTENS LÄN</t>
        </is>
      </c>
      <c r="E75" t="inlineStr">
        <is>
          <t>ÖVERTORNEÅ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46973-2021</t>
        </is>
      </c>
      <c r="B76" s="1" t="n">
        <v>44446</v>
      </c>
      <c r="C76" s="1" t="n">
        <v>46040</v>
      </c>
      <c r="D76" t="inlineStr">
        <is>
          <t>NORRBOTTENS LÄN</t>
        </is>
      </c>
      <c r="E76" t="inlineStr">
        <is>
          <t>ÖVERTORNEÅ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37837-2022</t>
        </is>
      </c>
      <c r="B77" s="1" t="n">
        <v>44810</v>
      </c>
      <c r="C77" s="1" t="n">
        <v>46040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48746-2021</t>
        </is>
      </c>
      <c r="B78" s="1" t="n">
        <v>44452</v>
      </c>
      <c r="C78" s="1" t="n">
        <v>46040</v>
      </c>
      <c r="D78" t="inlineStr">
        <is>
          <t>NORRBOTTENS LÄN</t>
        </is>
      </c>
      <c r="E78" t="inlineStr">
        <is>
          <t>ÖVERTORNEÅ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60948-2021</t>
        </is>
      </c>
      <c r="B79" s="1" t="n">
        <v>44497</v>
      </c>
      <c r="C79" s="1" t="n">
        <v>46040</v>
      </c>
      <c r="D79" t="inlineStr">
        <is>
          <t>NORRBOTTENS LÄN</t>
        </is>
      </c>
      <c r="E79" t="inlineStr">
        <is>
          <t>ÖVERTORNEÅ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9838-2021</t>
        </is>
      </c>
      <c r="B80" s="1" t="n">
        <v>44252</v>
      </c>
      <c r="C80" s="1" t="n">
        <v>46040</v>
      </c>
      <c r="D80" t="inlineStr">
        <is>
          <t>NORRBOTTENS LÄN</t>
        </is>
      </c>
      <c r="E80" t="inlineStr">
        <is>
          <t>ÖVERTORNEÅ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9842-2021</t>
        </is>
      </c>
      <c r="B81" s="1" t="n">
        <v>44252</v>
      </c>
      <c r="C81" s="1" t="n">
        <v>46040</v>
      </c>
      <c r="D81" t="inlineStr">
        <is>
          <t>NORRBOTTENS LÄN</t>
        </is>
      </c>
      <c r="E81" t="inlineStr">
        <is>
          <t>ÖVERTORNEÅ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30688-2021</t>
        </is>
      </c>
      <c r="B82" s="1" t="n">
        <v>44365.40936342593</v>
      </c>
      <c r="C82" s="1" t="n">
        <v>46040</v>
      </c>
      <c r="D82" t="inlineStr">
        <is>
          <t>NORRBOTTENS LÄN</t>
        </is>
      </c>
      <c r="E82" t="inlineStr">
        <is>
          <t>ÖVERTORNEÅ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25695-2022</t>
        </is>
      </c>
      <c r="B83" s="1" t="n">
        <v>44733.359375</v>
      </c>
      <c r="C83" s="1" t="n">
        <v>46040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3010-2022</t>
        </is>
      </c>
      <c r="B84" s="1" t="n">
        <v>44581.9221875</v>
      </c>
      <c r="C84" s="1" t="n">
        <v>46040</v>
      </c>
      <c r="D84" t="inlineStr">
        <is>
          <t>NORRBOTTENS LÄN</t>
        </is>
      </c>
      <c r="E84" t="inlineStr">
        <is>
          <t>ÖVERTORNEÅ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74235-2021</t>
        </is>
      </c>
      <c r="B85" s="1" t="n">
        <v>44553</v>
      </c>
      <c r="C85" s="1" t="n">
        <v>46040</v>
      </c>
      <c r="D85" t="inlineStr">
        <is>
          <t>NORRBOTTENS LÄN</t>
        </is>
      </c>
      <c r="E85" t="inlineStr">
        <is>
          <t>ÖVERTORNEÅ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33097-2022</t>
        </is>
      </c>
      <c r="B86" s="1" t="n">
        <v>44785</v>
      </c>
      <c r="C86" s="1" t="n">
        <v>46040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74163-2021</t>
        </is>
      </c>
      <c r="B87" s="1" t="n">
        <v>44557</v>
      </c>
      <c r="C87" s="1" t="n">
        <v>46040</v>
      </c>
      <c r="D87" t="inlineStr">
        <is>
          <t>NORRBOTTENS LÄN</t>
        </is>
      </c>
      <c r="E87" t="inlineStr">
        <is>
          <t>ÖVERTORNEÅ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3431-2022</t>
        </is>
      </c>
      <c r="B88" s="1" t="n">
        <v>44585</v>
      </c>
      <c r="C88" s="1" t="n">
        <v>46040</v>
      </c>
      <c r="D88" t="inlineStr">
        <is>
          <t>NORRBOTTENS LÄN</t>
        </is>
      </c>
      <c r="E88" t="inlineStr">
        <is>
          <t>ÖVERTORNEÅ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7470-2021</t>
        </is>
      </c>
      <c r="B89" s="1" t="n">
        <v>44238</v>
      </c>
      <c r="C89" s="1" t="n">
        <v>46040</v>
      </c>
      <c r="D89" t="inlineStr">
        <is>
          <t>NORRBOTTENS LÄN</t>
        </is>
      </c>
      <c r="E89" t="inlineStr">
        <is>
          <t>ÖVERTORNEÅ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7472-2021</t>
        </is>
      </c>
      <c r="B90" s="1" t="n">
        <v>44238</v>
      </c>
      <c r="C90" s="1" t="n">
        <v>46040</v>
      </c>
      <c r="D90" t="inlineStr">
        <is>
          <t>NORRBOTTENS LÄN</t>
        </is>
      </c>
      <c r="E90" t="inlineStr">
        <is>
          <t>ÖVERTORNEÅ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10188-2021</t>
        </is>
      </c>
      <c r="B91" s="1" t="n">
        <v>44256</v>
      </c>
      <c r="C91" s="1" t="n">
        <v>46040</v>
      </c>
      <c r="D91" t="inlineStr">
        <is>
          <t>NORRBOTTENS LÄN</t>
        </is>
      </c>
      <c r="E91" t="inlineStr">
        <is>
          <t>ÖVERTORNEÅ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13864-2021</t>
        </is>
      </c>
      <c r="B92" s="1" t="n">
        <v>44277</v>
      </c>
      <c r="C92" s="1" t="n">
        <v>46040</v>
      </c>
      <c r="D92" t="inlineStr">
        <is>
          <t>NORRBOTTENS LÄN</t>
        </is>
      </c>
      <c r="E92" t="inlineStr">
        <is>
          <t>ÖVERTORNEÅ</t>
        </is>
      </c>
      <c r="G92" t="n">
        <v>48.3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65110-2021</t>
        </is>
      </c>
      <c r="B93" s="1" t="n">
        <v>44515</v>
      </c>
      <c r="C93" s="1" t="n">
        <v>46040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30114-2022</t>
        </is>
      </c>
      <c r="B94" s="1" t="n">
        <v>44757.40704861111</v>
      </c>
      <c r="C94" s="1" t="n">
        <v>46040</v>
      </c>
      <c r="D94" t="inlineStr">
        <is>
          <t>NORRBOTTENS LÄN</t>
        </is>
      </c>
      <c r="E94" t="inlineStr">
        <is>
          <t>ÖVERTORNEÅ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16111-2021</t>
        </is>
      </c>
      <c r="B95" s="1" t="n">
        <v>44291</v>
      </c>
      <c r="C95" s="1" t="n">
        <v>46040</v>
      </c>
      <c r="D95" t="inlineStr">
        <is>
          <t>NORRBOTTENS LÄN</t>
        </is>
      </c>
      <c r="E95" t="inlineStr">
        <is>
          <t>ÖVERTORNEÅ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71381-2021</t>
        </is>
      </c>
      <c r="B96" s="1" t="n">
        <v>44538</v>
      </c>
      <c r="C96" s="1" t="n">
        <v>46040</v>
      </c>
      <c r="D96" t="inlineStr">
        <is>
          <t>NORRBOTTENS LÄN</t>
        </is>
      </c>
      <c r="E96" t="inlineStr">
        <is>
          <t>ÖVERTORNEÅ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43282-2022</t>
        </is>
      </c>
      <c r="B97" s="1" t="n">
        <v>44833</v>
      </c>
      <c r="C97" s="1" t="n">
        <v>46040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18698-2022</t>
        </is>
      </c>
      <c r="B98" s="1" t="n">
        <v>44687.60563657407</v>
      </c>
      <c r="C98" s="1" t="n">
        <v>46040</v>
      </c>
      <c r="D98" t="inlineStr">
        <is>
          <t>NORRBOTTENS LÄN</t>
        </is>
      </c>
      <c r="E98" t="inlineStr">
        <is>
          <t>ÖVERTORNEÅ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74158-2021</t>
        </is>
      </c>
      <c r="B99" s="1" t="n">
        <v>44557</v>
      </c>
      <c r="C99" s="1" t="n">
        <v>46040</v>
      </c>
      <c r="D99" t="inlineStr">
        <is>
          <t>NORRBOTTENS LÄN</t>
        </is>
      </c>
      <c r="E99" t="inlineStr">
        <is>
          <t>ÖVERTORNEÅ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73605-2021</t>
        </is>
      </c>
      <c r="B100" s="1" t="n">
        <v>44551</v>
      </c>
      <c r="C100" s="1" t="n">
        <v>46040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34875-2022</t>
        </is>
      </c>
      <c r="B101" s="1" t="n">
        <v>44796</v>
      </c>
      <c r="C101" s="1" t="n">
        <v>46040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19247-2022</t>
        </is>
      </c>
      <c r="B102" s="1" t="n">
        <v>44692</v>
      </c>
      <c r="C102" s="1" t="n">
        <v>46040</v>
      </c>
      <c r="D102" t="inlineStr">
        <is>
          <t>NORRBOTTENS LÄN</t>
        </is>
      </c>
      <c r="E102" t="inlineStr">
        <is>
          <t>ÖVERTORNEÅ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15500-2022</t>
        </is>
      </c>
      <c r="B103" s="1" t="n">
        <v>44662</v>
      </c>
      <c r="C103" s="1" t="n">
        <v>46040</v>
      </c>
      <c r="D103" t="inlineStr">
        <is>
          <t>NORRBOTTENS LÄN</t>
        </is>
      </c>
      <c r="E103" t="inlineStr">
        <is>
          <t>ÖVERTORNEÅ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13877-2021</t>
        </is>
      </c>
      <c r="B104" s="1" t="n">
        <v>44277</v>
      </c>
      <c r="C104" s="1" t="n">
        <v>46040</v>
      </c>
      <c r="D104" t="inlineStr">
        <is>
          <t>NORRBOTTENS LÄN</t>
        </is>
      </c>
      <c r="E104" t="inlineStr">
        <is>
          <t>ÖVERTORNEÅ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13870-2021</t>
        </is>
      </c>
      <c r="B105" s="1" t="n">
        <v>44277</v>
      </c>
      <c r="C105" s="1" t="n">
        <v>46040</v>
      </c>
      <c r="D105" t="inlineStr">
        <is>
          <t>NORRBOTTENS LÄN</t>
        </is>
      </c>
      <c r="E105" t="inlineStr">
        <is>
          <t>ÖVERTORNEÅ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16561-2022</t>
        </is>
      </c>
      <c r="B106" s="1" t="n">
        <v>44672</v>
      </c>
      <c r="C106" s="1" t="n">
        <v>46040</v>
      </c>
      <c r="D106" t="inlineStr">
        <is>
          <t>NORRBOTTENS LÄN</t>
        </is>
      </c>
      <c r="E106" t="inlineStr">
        <is>
          <t>ÖVERTORNEÅ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36115-2025</t>
        </is>
      </c>
      <c r="B107" s="1" t="n">
        <v>45866.58059027778</v>
      </c>
      <c r="C107" s="1" t="n">
        <v>46040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12.9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63285-2023</t>
        </is>
      </c>
      <c r="B108" s="1" t="n">
        <v>45273.92435185185</v>
      </c>
      <c r="C108" s="1" t="n">
        <v>46040</v>
      </c>
      <c r="D108" t="inlineStr">
        <is>
          <t>NORRBOTTENS LÄN</t>
        </is>
      </c>
      <c r="E108" t="inlineStr">
        <is>
          <t>ÖVERTORNEÅ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3416-2022</t>
        </is>
      </c>
      <c r="B109" s="1" t="n">
        <v>44585</v>
      </c>
      <c r="C109" s="1" t="n">
        <v>46040</v>
      </c>
      <c r="D109" t="inlineStr">
        <is>
          <t>NORRBOTTENS LÄN</t>
        </is>
      </c>
      <c r="E109" t="inlineStr">
        <is>
          <t>ÖVERTORNEÅ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1469-2025</t>
        </is>
      </c>
      <c r="B110" s="1" t="n">
        <v>45670</v>
      </c>
      <c r="C110" s="1" t="n">
        <v>46040</v>
      </c>
      <c r="D110" t="inlineStr">
        <is>
          <t>NORRBOTTENS LÄN</t>
        </is>
      </c>
      <c r="E110" t="inlineStr">
        <is>
          <t>ÖVERTORNEÅ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1470-2025</t>
        </is>
      </c>
      <c r="B111" s="1" t="n">
        <v>45670</v>
      </c>
      <c r="C111" s="1" t="n">
        <v>46040</v>
      </c>
      <c r="D111" t="inlineStr">
        <is>
          <t>NORRBOTTENS LÄN</t>
        </is>
      </c>
      <c r="E111" t="inlineStr">
        <is>
          <t>ÖVERTORNEÅ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4398-2025</t>
        </is>
      </c>
      <c r="B112" s="1" t="n">
        <v>45686.42900462963</v>
      </c>
      <c r="C112" s="1" t="n">
        <v>46040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4400-2025</t>
        </is>
      </c>
      <c r="B113" s="1" t="n">
        <v>45686</v>
      </c>
      <c r="C113" s="1" t="n">
        <v>46040</v>
      </c>
      <c r="D113" t="inlineStr">
        <is>
          <t>NORRBOTTENS LÄN</t>
        </is>
      </c>
      <c r="E113" t="inlineStr">
        <is>
          <t>ÖVERTORNEÅ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38341-2025</t>
        </is>
      </c>
      <c r="B114" s="1" t="n">
        <v>45883</v>
      </c>
      <c r="C114" s="1" t="n">
        <v>46040</v>
      </c>
      <c r="D114" t="inlineStr">
        <is>
          <t>NORRBOTTENS LÄN</t>
        </is>
      </c>
      <c r="E114" t="inlineStr">
        <is>
          <t>ÖVERTORNEÅ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36608-2025</t>
        </is>
      </c>
      <c r="B115" s="1" t="n">
        <v>45870</v>
      </c>
      <c r="C115" s="1" t="n">
        <v>46040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15043-2025</t>
        </is>
      </c>
      <c r="B116" s="1" t="n">
        <v>45743</v>
      </c>
      <c r="C116" s="1" t="n">
        <v>46040</v>
      </c>
      <c r="D116" t="inlineStr">
        <is>
          <t>NORRBOTTENS LÄN</t>
        </is>
      </c>
      <c r="E116" t="inlineStr">
        <is>
          <t>ÖVERTORNEÅ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46651-2023</t>
        </is>
      </c>
      <c r="B117" s="1" t="n">
        <v>45194</v>
      </c>
      <c r="C117" s="1" t="n">
        <v>46040</v>
      </c>
      <c r="D117" t="inlineStr">
        <is>
          <t>NORRBOTTENS LÄN</t>
        </is>
      </c>
      <c r="E117" t="inlineStr">
        <is>
          <t>ÖVERTORNEÅ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1092-2022</t>
        </is>
      </c>
      <c r="B118" s="1" t="n">
        <v>44571.92201388889</v>
      </c>
      <c r="C118" s="1" t="n">
        <v>46040</v>
      </c>
      <c r="D118" t="inlineStr">
        <is>
          <t>NORRBOTTENS LÄN</t>
        </is>
      </c>
      <c r="E118" t="inlineStr">
        <is>
          <t>ÖVERTORNEÅ</t>
        </is>
      </c>
      <c r="G118" t="n">
        <v>23.5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36057-2023</t>
        </is>
      </c>
      <c r="B119" s="1" t="n">
        <v>45149.44966435185</v>
      </c>
      <c r="C119" s="1" t="n">
        <v>46040</v>
      </c>
      <c r="D119" t="inlineStr">
        <is>
          <t>NORRBOTTENS LÄN</t>
        </is>
      </c>
      <c r="E119" t="inlineStr">
        <is>
          <t>ÖVERTORNEÅ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38980-2022</t>
        </is>
      </c>
      <c r="B120" s="1" t="n">
        <v>44816</v>
      </c>
      <c r="C120" s="1" t="n">
        <v>46040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15240-2021</t>
        </is>
      </c>
      <c r="B121" s="1" t="n">
        <v>44284.50833333333</v>
      </c>
      <c r="C121" s="1" t="n">
        <v>46040</v>
      </c>
      <c r="D121" t="inlineStr">
        <is>
          <t>NORRBOTTENS LÄN</t>
        </is>
      </c>
      <c r="E121" t="inlineStr">
        <is>
          <t>ÖVERTORNEÅ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68764-2021</t>
        </is>
      </c>
      <c r="B122" s="1" t="n">
        <v>44529</v>
      </c>
      <c r="C122" s="1" t="n">
        <v>46040</v>
      </c>
      <c r="D122" t="inlineStr">
        <is>
          <t>NORRBOTTENS LÄN</t>
        </is>
      </c>
      <c r="E122" t="inlineStr">
        <is>
          <t>ÖVERTORNEÅ</t>
        </is>
      </c>
      <c r="G122" t="n">
        <v>19.2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30364-2025</t>
        </is>
      </c>
      <c r="B123" s="1" t="n">
        <v>45827.55077546297</v>
      </c>
      <c r="C123" s="1" t="n">
        <v>46040</v>
      </c>
      <c r="D123" t="inlineStr">
        <is>
          <t>NORRBOTTENS LÄN</t>
        </is>
      </c>
      <c r="E123" t="inlineStr">
        <is>
          <t>ÖVERTORNEÅ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37156-2025</t>
        </is>
      </c>
      <c r="B124" s="1" t="n">
        <v>45875</v>
      </c>
      <c r="C124" s="1" t="n">
        <v>46040</v>
      </c>
      <c r="D124" t="inlineStr">
        <is>
          <t>NORRBOTTENS LÄN</t>
        </is>
      </c>
      <c r="E124" t="inlineStr">
        <is>
          <t>ÖVERTORNEÅ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38969-2025</t>
        </is>
      </c>
      <c r="B125" s="1" t="n">
        <v>45887</v>
      </c>
      <c r="C125" s="1" t="n">
        <v>46040</v>
      </c>
      <c r="D125" t="inlineStr">
        <is>
          <t>NORRBOTTENS LÄN</t>
        </is>
      </c>
      <c r="E125" t="inlineStr">
        <is>
          <t>ÖVERTORNEÅ</t>
        </is>
      </c>
      <c r="G125" t="n">
        <v>43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39180-2025</t>
        </is>
      </c>
      <c r="B126" s="1" t="n">
        <v>45888</v>
      </c>
      <c r="C126" s="1" t="n">
        <v>46040</v>
      </c>
      <c r="D126" t="inlineStr">
        <is>
          <t>NORRBOTTENS LÄN</t>
        </is>
      </c>
      <c r="E126" t="inlineStr">
        <is>
          <t>ÖVERTORNEÅ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16999-2025</t>
        </is>
      </c>
      <c r="B127" s="1" t="n">
        <v>45755.52708333333</v>
      </c>
      <c r="C127" s="1" t="n">
        <v>46040</v>
      </c>
      <c r="D127" t="inlineStr">
        <is>
          <t>NORRBOTTENS LÄN</t>
        </is>
      </c>
      <c r="E127" t="inlineStr">
        <is>
          <t>ÖVERTORNEÅ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52160-2022</t>
        </is>
      </c>
      <c r="B128" s="1" t="n">
        <v>44873.47778935185</v>
      </c>
      <c r="C128" s="1" t="n">
        <v>46040</v>
      </c>
      <c r="D128" t="inlineStr">
        <is>
          <t>NORRBOTTENS LÄN</t>
        </is>
      </c>
      <c r="E128" t="inlineStr">
        <is>
          <t>ÖVERTORNEÅ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37361-2025</t>
        </is>
      </c>
      <c r="B129" s="1" t="n">
        <v>45877</v>
      </c>
      <c r="C129" s="1" t="n">
        <v>46040</v>
      </c>
      <c r="D129" t="inlineStr">
        <is>
          <t>NORRBOTTENS LÄN</t>
        </is>
      </c>
      <c r="E129" t="inlineStr">
        <is>
          <t>ÖVERTORNEÅ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20439-2025</t>
        </is>
      </c>
      <c r="B130" s="1" t="n">
        <v>45775</v>
      </c>
      <c r="C130" s="1" t="n">
        <v>46040</v>
      </c>
      <c r="D130" t="inlineStr">
        <is>
          <t>NORRBOTTENS LÄN</t>
        </is>
      </c>
      <c r="E130" t="inlineStr">
        <is>
          <t>ÖVERTORNEÅ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36202-2021</t>
        </is>
      </c>
      <c r="B131" s="1" t="n">
        <v>44389</v>
      </c>
      <c r="C131" s="1" t="n">
        <v>46040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34.9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34701-2024</t>
        </is>
      </c>
      <c r="B132" s="1" t="n">
        <v>45526</v>
      </c>
      <c r="C132" s="1" t="n">
        <v>46040</v>
      </c>
      <c r="D132" t="inlineStr">
        <is>
          <t>NORRBOTTENS LÄN</t>
        </is>
      </c>
      <c r="E132" t="inlineStr">
        <is>
          <t>ÖVERTORNEÅ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38974-2025</t>
        </is>
      </c>
      <c r="B133" s="1" t="n">
        <v>45887</v>
      </c>
      <c r="C133" s="1" t="n">
        <v>46040</v>
      </c>
      <c r="D133" t="inlineStr">
        <is>
          <t>NORRBOTTENS LÄN</t>
        </is>
      </c>
      <c r="E133" t="inlineStr">
        <is>
          <t>ÖVERTORNEÅ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50447-2024</t>
        </is>
      </c>
      <c r="B134" s="1" t="n">
        <v>45601</v>
      </c>
      <c r="C134" s="1" t="n">
        <v>46040</v>
      </c>
      <c r="D134" t="inlineStr">
        <is>
          <t>NORRBOTTENS LÄN</t>
        </is>
      </c>
      <c r="E134" t="inlineStr">
        <is>
          <t>ÖVERTORNEÅ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17624-2025</t>
        </is>
      </c>
      <c r="B135" s="1" t="n">
        <v>45757.92195601852</v>
      </c>
      <c r="C135" s="1" t="n">
        <v>46040</v>
      </c>
      <c r="D135" t="inlineStr">
        <is>
          <t>NORRBOTTENS LÄN</t>
        </is>
      </c>
      <c r="E135" t="inlineStr">
        <is>
          <t>ÖVERTORNEÅ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31699-2023</t>
        </is>
      </c>
      <c r="B136" s="1" t="n">
        <v>45117</v>
      </c>
      <c r="C136" s="1" t="n">
        <v>46040</v>
      </c>
      <c r="D136" t="inlineStr">
        <is>
          <t>NORRBOTTENS LÄN</t>
        </is>
      </c>
      <c r="E136" t="inlineStr">
        <is>
          <t>ÖVERTORNEÅ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46031-2021</t>
        </is>
      </c>
      <c r="B137" s="1" t="n">
        <v>44441</v>
      </c>
      <c r="C137" s="1" t="n">
        <v>46040</v>
      </c>
      <c r="D137" t="inlineStr">
        <is>
          <t>NORRBOTTENS LÄN</t>
        </is>
      </c>
      <c r="E137" t="inlineStr">
        <is>
          <t>ÖVERTORNEÅ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38677-2024</t>
        </is>
      </c>
      <c r="B138" s="1" t="n">
        <v>45547</v>
      </c>
      <c r="C138" s="1" t="n">
        <v>46040</v>
      </c>
      <c r="D138" t="inlineStr">
        <is>
          <t>NORRBOTTENS LÄN</t>
        </is>
      </c>
      <c r="E138" t="inlineStr">
        <is>
          <t>ÖVERTORNEÅ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58172-2024</t>
        </is>
      </c>
      <c r="B139" s="1" t="n">
        <v>45632</v>
      </c>
      <c r="C139" s="1" t="n">
        <v>46040</v>
      </c>
      <c r="D139" t="inlineStr">
        <is>
          <t>NORRBOTTENS LÄN</t>
        </is>
      </c>
      <c r="E139" t="inlineStr">
        <is>
          <t>ÖVERTORNEÅ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58178-2024</t>
        </is>
      </c>
      <c r="B140" s="1" t="n">
        <v>45632.46892361111</v>
      </c>
      <c r="C140" s="1" t="n">
        <v>46040</v>
      </c>
      <c r="D140" t="inlineStr">
        <is>
          <t>NORRBOTTENS LÄN</t>
        </is>
      </c>
      <c r="E140" t="inlineStr">
        <is>
          <t>ÖVERTORNEÅ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58201-2024</t>
        </is>
      </c>
      <c r="B141" s="1" t="n">
        <v>45632</v>
      </c>
      <c r="C141" s="1" t="n">
        <v>46040</v>
      </c>
      <c r="D141" t="inlineStr">
        <is>
          <t>NORRBOTTENS LÄN</t>
        </is>
      </c>
      <c r="E141" t="inlineStr">
        <is>
          <t>ÖVERTORNEÅ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20564-2025</t>
        </is>
      </c>
      <c r="B142" s="1" t="n">
        <v>45775.65917824074</v>
      </c>
      <c r="C142" s="1" t="n">
        <v>46040</v>
      </c>
      <c r="D142" t="inlineStr">
        <is>
          <t>NORRBOTTENS LÄN</t>
        </is>
      </c>
      <c r="E142" t="inlineStr">
        <is>
          <t>ÖVERTORNEÅ</t>
        </is>
      </c>
      <c r="F142" t="inlineStr">
        <is>
          <t>Sveaskog</t>
        </is>
      </c>
      <c r="G142" t="n">
        <v>39.6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39303-2025</t>
        </is>
      </c>
      <c r="B143" s="1" t="n">
        <v>45889.44988425926</v>
      </c>
      <c r="C143" s="1" t="n">
        <v>46040</v>
      </c>
      <c r="D143" t="inlineStr">
        <is>
          <t>NORRBOTTENS LÄN</t>
        </is>
      </c>
      <c r="E143" t="inlineStr">
        <is>
          <t>ÖVERTORNEÅ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40200-2025</t>
        </is>
      </c>
      <c r="B144" s="1" t="n">
        <v>45894.6680324074</v>
      </c>
      <c r="C144" s="1" t="n">
        <v>46040</v>
      </c>
      <c r="D144" t="inlineStr">
        <is>
          <t>NORRBOTTENS LÄN</t>
        </is>
      </c>
      <c r="E144" t="inlineStr">
        <is>
          <t>ÖVERTORNEÅ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45049-2024</t>
        </is>
      </c>
      <c r="B145" s="1" t="n">
        <v>45575.54700231482</v>
      </c>
      <c r="C145" s="1" t="n">
        <v>46040</v>
      </c>
      <c r="D145" t="inlineStr">
        <is>
          <t>NORRBOTTENS LÄN</t>
        </is>
      </c>
      <c r="E145" t="inlineStr">
        <is>
          <t>ÖVERTORNEÅ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12163-2024</t>
        </is>
      </c>
      <c r="B146" s="1" t="n">
        <v>45377.8446875</v>
      </c>
      <c r="C146" s="1" t="n">
        <v>46040</v>
      </c>
      <c r="D146" t="inlineStr">
        <is>
          <t>NORRBOTTENS LÄN</t>
        </is>
      </c>
      <c r="E146" t="inlineStr">
        <is>
          <t>ÖVERTORNEÅ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40198-2025</t>
        </is>
      </c>
      <c r="B147" s="1" t="n">
        <v>45894.66540509259</v>
      </c>
      <c r="C147" s="1" t="n">
        <v>46040</v>
      </c>
      <c r="D147" t="inlineStr">
        <is>
          <t>NORRBOTTENS LÄN</t>
        </is>
      </c>
      <c r="E147" t="inlineStr">
        <is>
          <t>ÖVERTORNEÅ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5030-2024</t>
        </is>
      </c>
      <c r="B148" s="1" t="n">
        <v>45329</v>
      </c>
      <c r="C148" s="1" t="n">
        <v>46040</v>
      </c>
      <c r="D148" t="inlineStr">
        <is>
          <t>NORRBOTTENS LÄN</t>
        </is>
      </c>
      <c r="E148" t="inlineStr">
        <is>
          <t>ÖVERTORNEÅ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40085-2025</t>
        </is>
      </c>
      <c r="B149" s="1" t="n">
        <v>45894.47200231482</v>
      </c>
      <c r="C149" s="1" t="n">
        <v>46040</v>
      </c>
      <c r="D149" t="inlineStr">
        <is>
          <t>NORRBOTTENS LÄN</t>
        </is>
      </c>
      <c r="E149" t="inlineStr">
        <is>
          <t>ÖVERTORNEÅ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40089-2025</t>
        </is>
      </c>
      <c r="B150" s="1" t="n">
        <v>45894.47665509259</v>
      </c>
      <c r="C150" s="1" t="n">
        <v>46040</v>
      </c>
      <c r="D150" t="inlineStr">
        <is>
          <t>NORRBOTTENS LÄN</t>
        </is>
      </c>
      <c r="E150" t="inlineStr">
        <is>
          <t>ÖVERTORNEÅ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5093-2025</t>
        </is>
      </c>
      <c r="B151" s="1" t="n">
        <v>45691</v>
      </c>
      <c r="C151" s="1" t="n">
        <v>46040</v>
      </c>
      <c r="D151" t="inlineStr">
        <is>
          <t>NORRBOTTENS LÄN</t>
        </is>
      </c>
      <c r="E151" t="inlineStr">
        <is>
          <t>ÖVERTORNEÅ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1476-2023</t>
        </is>
      </c>
      <c r="B152" s="1" t="n">
        <v>44937.45194444444</v>
      </c>
      <c r="C152" s="1" t="n">
        <v>46040</v>
      </c>
      <c r="D152" t="inlineStr">
        <is>
          <t>NORRBOTTENS LÄN</t>
        </is>
      </c>
      <c r="E152" t="inlineStr">
        <is>
          <t>ÖVERTORNEÅ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28839-2023</t>
        </is>
      </c>
      <c r="B153" s="1" t="n">
        <v>45104</v>
      </c>
      <c r="C153" s="1" t="n">
        <v>46040</v>
      </c>
      <c r="D153" t="inlineStr">
        <is>
          <t>NORRBOTTENS LÄN</t>
        </is>
      </c>
      <c r="E153" t="inlineStr">
        <is>
          <t>ÖVERTORNEÅ</t>
        </is>
      </c>
      <c r="G153" t="n">
        <v>18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38382-2025</t>
        </is>
      </c>
      <c r="B154" s="1" t="n">
        <v>45883</v>
      </c>
      <c r="C154" s="1" t="n">
        <v>46040</v>
      </c>
      <c r="D154" t="inlineStr">
        <is>
          <t>NORRBOTTENS LÄN</t>
        </is>
      </c>
      <c r="E154" t="inlineStr">
        <is>
          <t>ÖVERTORNEÅ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63465-2025</t>
        </is>
      </c>
      <c r="B155" s="1" t="n">
        <v>46013.42859953704</v>
      </c>
      <c r="C155" s="1" t="n">
        <v>46040</v>
      </c>
      <c r="D155" t="inlineStr">
        <is>
          <t>NORRBOTTENS LÄN</t>
        </is>
      </c>
      <c r="E155" t="inlineStr">
        <is>
          <t>ÖVERTORNEÅ</t>
        </is>
      </c>
      <c r="G155" t="n">
        <v>12.7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41186-2025</t>
        </is>
      </c>
      <c r="B156" s="1" t="n">
        <v>45898</v>
      </c>
      <c r="C156" s="1" t="n">
        <v>46040</v>
      </c>
      <c r="D156" t="inlineStr">
        <is>
          <t>NORRBOTTENS LÄN</t>
        </is>
      </c>
      <c r="E156" t="inlineStr">
        <is>
          <t>ÖVERTORNEÅ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41203-2025</t>
        </is>
      </c>
      <c r="B157" s="1" t="n">
        <v>45898</v>
      </c>
      <c r="C157" s="1" t="n">
        <v>46040</v>
      </c>
      <c r="D157" t="inlineStr">
        <is>
          <t>NORRBOTTENS LÄN</t>
        </is>
      </c>
      <c r="E157" t="inlineStr">
        <is>
          <t>ÖVERTORNEÅ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57031-2025</t>
        </is>
      </c>
      <c r="B158" s="1" t="n">
        <v>45979</v>
      </c>
      <c r="C158" s="1" t="n">
        <v>46040</v>
      </c>
      <c r="D158" t="inlineStr">
        <is>
          <t>NORRBOTTENS LÄN</t>
        </is>
      </c>
      <c r="E158" t="inlineStr">
        <is>
          <t>ÖVERTORNEÅ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40807-2025</t>
        </is>
      </c>
      <c r="B159" s="1" t="n">
        <v>45897.46915509259</v>
      </c>
      <c r="C159" s="1" t="n">
        <v>46040</v>
      </c>
      <c r="D159" t="inlineStr">
        <is>
          <t>NORRBOTTENS LÄN</t>
        </is>
      </c>
      <c r="E159" t="inlineStr">
        <is>
          <t>ÖVERTORNEÅ</t>
        </is>
      </c>
      <c r="G159" t="n">
        <v>17.6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53077-2023</t>
        </is>
      </c>
      <c r="B160" s="1" t="n">
        <v>45227.58420138889</v>
      </c>
      <c r="C160" s="1" t="n">
        <v>46040</v>
      </c>
      <c r="D160" t="inlineStr">
        <is>
          <t>NORRBOTTENS LÄN</t>
        </is>
      </c>
      <c r="E160" t="inlineStr">
        <is>
          <t>ÖVERTORNEÅ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57027-2025</t>
        </is>
      </c>
      <c r="B161" s="1" t="n">
        <v>45979</v>
      </c>
      <c r="C161" s="1" t="n">
        <v>46040</v>
      </c>
      <c r="D161" t="inlineStr">
        <is>
          <t>NORRBOTTENS LÄN</t>
        </is>
      </c>
      <c r="E161" t="inlineStr">
        <is>
          <t>ÖVERTORNEÅ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57028-2025</t>
        </is>
      </c>
      <c r="B162" s="1" t="n">
        <v>45979.32758101852</v>
      </c>
      <c r="C162" s="1" t="n">
        <v>46040</v>
      </c>
      <c r="D162" t="inlineStr">
        <is>
          <t>NORRBOTTENS LÄN</t>
        </is>
      </c>
      <c r="E162" t="inlineStr">
        <is>
          <t>ÖVERTORNEÅ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57032-2025</t>
        </is>
      </c>
      <c r="B163" s="1" t="n">
        <v>45979</v>
      </c>
      <c r="C163" s="1" t="n">
        <v>46040</v>
      </c>
      <c r="D163" t="inlineStr">
        <is>
          <t>NORRBOTTENS LÄN</t>
        </is>
      </c>
      <c r="E163" t="inlineStr">
        <is>
          <t>ÖVERTORNEÅ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57968-2025</t>
        </is>
      </c>
      <c r="B164" s="1" t="n">
        <v>45982</v>
      </c>
      <c r="C164" s="1" t="n">
        <v>46040</v>
      </c>
      <c r="D164" t="inlineStr">
        <is>
          <t>NORRBOTTENS LÄN</t>
        </is>
      </c>
      <c r="E164" t="inlineStr">
        <is>
          <t>ÖVERTORNEÅ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41778-2025</t>
        </is>
      </c>
      <c r="B165" s="1" t="n">
        <v>45902.57563657407</v>
      </c>
      <c r="C165" s="1" t="n">
        <v>46040</v>
      </c>
      <c r="D165" t="inlineStr">
        <is>
          <t>NORRBOTTENS LÄN</t>
        </is>
      </c>
      <c r="E165" t="inlineStr">
        <is>
          <t>ÖVERTORNEÅ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41329-2025</t>
        </is>
      </c>
      <c r="B166" s="1" t="n">
        <v>45899</v>
      </c>
      <c r="C166" s="1" t="n">
        <v>46040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48891-2022</t>
        </is>
      </c>
      <c r="B167" s="1" t="n">
        <v>44859.92850694444</v>
      </c>
      <c r="C167" s="1" t="n">
        <v>46040</v>
      </c>
      <c r="D167" t="inlineStr">
        <is>
          <t>NORRBOTTENS LÄN</t>
        </is>
      </c>
      <c r="E167" t="inlineStr">
        <is>
          <t>ÖVERTORNEÅ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8509-2024</t>
        </is>
      </c>
      <c r="B168" s="1" t="n">
        <v>45351</v>
      </c>
      <c r="C168" s="1" t="n">
        <v>46040</v>
      </c>
      <c r="D168" t="inlineStr">
        <is>
          <t>NORRBOTTENS LÄN</t>
        </is>
      </c>
      <c r="E168" t="inlineStr">
        <is>
          <t>ÖVERTORNEÅ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54029-2023</t>
        </is>
      </c>
      <c r="B169" s="1" t="n">
        <v>45231</v>
      </c>
      <c r="C169" s="1" t="n">
        <v>46040</v>
      </c>
      <c r="D169" t="inlineStr">
        <is>
          <t>NORRBOTTENS LÄN</t>
        </is>
      </c>
      <c r="E169" t="inlineStr">
        <is>
          <t>ÖVERTORNEÅ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4512-2022</t>
        </is>
      </c>
      <c r="B170" s="1" t="n">
        <v>44589.92039351852</v>
      </c>
      <c r="C170" s="1" t="n">
        <v>46040</v>
      </c>
      <c r="D170" t="inlineStr">
        <is>
          <t>NORRBOTTENS LÄN</t>
        </is>
      </c>
      <c r="E170" t="inlineStr">
        <is>
          <t>ÖVERTORNEÅ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41336-2025</t>
        </is>
      </c>
      <c r="B171" s="1" t="n">
        <v>45899.37251157407</v>
      </c>
      <c r="C171" s="1" t="n">
        <v>46040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41337-2025</t>
        </is>
      </c>
      <c r="B172" s="1" t="n">
        <v>45899.37400462963</v>
      </c>
      <c r="C172" s="1" t="n">
        <v>46040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10.6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20175-2025</t>
        </is>
      </c>
      <c r="B173" s="1" t="n">
        <v>45772</v>
      </c>
      <c r="C173" s="1" t="n">
        <v>46040</v>
      </c>
      <c r="D173" t="inlineStr">
        <is>
          <t>NORRBOTTENS LÄN</t>
        </is>
      </c>
      <c r="E173" t="inlineStr">
        <is>
          <t>ÖVERTORNEÅ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57849-2021</t>
        </is>
      </c>
      <c r="B174" s="1" t="n">
        <v>44484</v>
      </c>
      <c r="C174" s="1" t="n">
        <v>46040</v>
      </c>
      <c r="D174" t="inlineStr">
        <is>
          <t>NORRBOTTENS LÄN</t>
        </is>
      </c>
      <c r="E174" t="inlineStr">
        <is>
          <t>ÖVERTORNEÅ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58424-2025</t>
        </is>
      </c>
      <c r="B175" s="1" t="n">
        <v>45985.59467592592</v>
      </c>
      <c r="C175" s="1" t="n">
        <v>46040</v>
      </c>
      <c r="D175" t="inlineStr">
        <is>
          <t>NORRBOTTENS LÄN</t>
        </is>
      </c>
      <c r="E175" t="inlineStr">
        <is>
          <t>ÖVERTORNEÅ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58447-2025</t>
        </is>
      </c>
      <c r="B176" s="1" t="n">
        <v>45985.62443287037</v>
      </c>
      <c r="C176" s="1" t="n">
        <v>46040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10193-2024</t>
        </is>
      </c>
      <c r="B177" s="1" t="n">
        <v>45364.9278125</v>
      </c>
      <c r="C177" s="1" t="n">
        <v>46040</v>
      </c>
      <c r="D177" t="inlineStr">
        <is>
          <t>NORRBOTTENS LÄN</t>
        </is>
      </c>
      <c r="E177" t="inlineStr">
        <is>
          <t>ÖVERTORNEÅ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42908-2025</t>
        </is>
      </c>
      <c r="B178" s="1" t="n">
        <v>45908.6902662037</v>
      </c>
      <c r="C178" s="1" t="n">
        <v>46040</v>
      </c>
      <c r="D178" t="inlineStr">
        <is>
          <t>NORRBOTTENS LÄN</t>
        </is>
      </c>
      <c r="E178" t="inlineStr">
        <is>
          <t>ÖVERTORNEÅ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22726-2021</t>
        </is>
      </c>
      <c r="B179" s="1" t="n">
        <v>44327</v>
      </c>
      <c r="C179" s="1" t="n">
        <v>46040</v>
      </c>
      <c r="D179" t="inlineStr">
        <is>
          <t>NORRBOTTENS LÄN</t>
        </is>
      </c>
      <c r="E179" t="inlineStr">
        <is>
          <t>ÖVERTORNEÅ</t>
        </is>
      </c>
      <c r="G179" t="n">
        <v>20.2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58691-2021</t>
        </is>
      </c>
      <c r="B180" s="1" t="n">
        <v>44489.45143518518</v>
      </c>
      <c r="C180" s="1" t="n">
        <v>46040</v>
      </c>
      <c r="D180" t="inlineStr">
        <is>
          <t>NORRBOTTENS LÄN</t>
        </is>
      </c>
      <c r="E180" t="inlineStr">
        <is>
          <t>ÖVERTORNEÅ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60537-2022</t>
        </is>
      </c>
      <c r="B181" s="1" t="n">
        <v>44904</v>
      </c>
      <c r="C181" s="1" t="n">
        <v>46040</v>
      </c>
      <c r="D181" t="inlineStr">
        <is>
          <t>NORRBOTTENS LÄN</t>
        </is>
      </c>
      <c r="E181" t="inlineStr">
        <is>
          <t>ÖVERTORNEÅ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20405-2024</t>
        </is>
      </c>
      <c r="B182" s="1" t="n">
        <v>45435.56417824074</v>
      </c>
      <c r="C182" s="1" t="n">
        <v>46040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43235-2025</t>
        </is>
      </c>
      <c r="B183" s="1" t="n">
        <v>45910.50967592592</v>
      </c>
      <c r="C183" s="1" t="n">
        <v>46040</v>
      </c>
      <c r="D183" t="inlineStr">
        <is>
          <t>NORRBOTTENS LÄN</t>
        </is>
      </c>
      <c r="E183" t="inlineStr">
        <is>
          <t>ÖVERTORNEÅ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43236-2025</t>
        </is>
      </c>
      <c r="B184" s="1" t="n">
        <v>45910.51210648148</v>
      </c>
      <c r="C184" s="1" t="n">
        <v>46040</v>
      </c>
      <c r="D184" t="inlineStr">
        <is>
          <t>NORRBOTTENS LÄN</t>
        </is>
      </c>
      <c r="E184" t="inlineStr">
        <is>
          <t>ÖVERTORNEÅ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53810-2025</t>
        </is>
      </c>
      <c r="B185" s="1" t="n">
        <v>45960</v>
      </c>
      <c r="C185" s="1" t="n">
        <v>46040</v>
      </c>
      <c r="D185" t="inlineStr">
        <is>
          <t>NORRBOTTENS LÄN</t>
        </is>
      </c>
      <c r="E185" t="inlineStr">
        <is>
          <t>ÖVERTORNEÅ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69898-2021</t>
        </is>
      </c>
      <c r="B186" s="1" t="n">
        <v>44532</v>
      </c>
      <c r="C186" s="1" t="n">
        <v>46040</v>
      </c>
      <c r="D186" t="inlineStr">
        <is>
          <t>NORRBOTTENS LÄN</t>
        </is>
      </c>
      <c r="E186" t="inlineStr">
        <is>
          <t>ÖVERTORNEÅ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23039-2024</t>
        </is>
      </c>
      <c r="B187" s="1" t="n">
        <v>45449</v>
      </c>
      <c r="C187" s="1" t="n">
        <v>46040</v>
      </c>
      <c r="D187" t="inlineStr">
        <is>
          <t>NORRBOTTENS LÄN</t>
        </is>
      </c>
      <c r="E187" t="inlineStr">
        <is>
          <t>ÖVERTORNEÅ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18489-2024</t>
        </is>
      </c>
      <c r="B188" s="1" t="n">
        <v>45425</v>
      </c>
      <c r="C188" s="1" t="n">
        <v>46040</v>
      </c>
      <c r="D188" t="inlineStr">
        <is>
          <t>NORRBOTTENS LÄN</t>
        </is>
      </c>
      <c r="E188" t="inlineStr">
        <is>
          <t>ÖVERTORNEÅ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17807-2024</t>
        </is>
      </c>
      <c r="B189" s="1" t="n">
        <v>45418.92701388889</v>
      </c>
      <c r="C189" s="1" t="n">
        <v>46040</v>
      </c>
      <c r="D189" t="inlineStr">
        <is>
          <t>NORRBOTTENS LÄN</t>
        </is>
      </c>
      <c r="E189" t="inlineStr">
        <is>
          <t>ÖVERTORNEÅ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11972-2024</t>
        </is>
      </c>
      <c r="B190" s="1" t="n">
        <v>45376</v>
      </c>
      <c r="C190" s="1" t="n">
        <v>46040</v>
      </c>
      <c r="D190" t="inlineStr">
        <is>
          <t>NORRBOTTENS LÄN</t>
        </is>
      </c>
      <c r="E190" t="inlineStr">
        <is>
          <t>ÖVERTORNEÅ</t>
        </is>
      </c>
      <c r="G190" t="n">
        <v>18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31329-2024</t>
        </is>
      </c>
      <c r="B191" s="1" t="n">
        <v>45504</v>
      </c>
      <c r="C191" s="1" t="n">
        <v>46040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24653-2024</t>
        </is>
      </c>
      <c r="B192" s="1" t="n">
        <v>45460</v>
      </c>
      <c r="C192" s="1" t="n">
        <v>46040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24658-2024</t>
        </is>
      </c>
      <c r="B193" s="1" t="n">
        <v>45460</v>
      </c>
      <c r="C193" s="1" t="n">
        <v>46040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1558-2026</t>
        </is>
      </c>
      <c r="B194" s="1" t="n">
        <v>46034.39107638889</v>
      </c>
      <c r="C194" s="1" t="n">
        <v>46040</v>
      </c>
      <c r="D194" t="inlineStr">
        <is>
          <t>NORRBOTTENS LÄN</t>
        </is>
      </c>
      <c r="E194" t="inlineStr">
        <is>
          <t>ÖVERTORNEÅ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1575-2026</t>
        </is>
      </c>
      <c r="B195" s="1" t="n">
        <v>46034.41677083333</v>
      </c>
      <c r="C195" s="1" t="n">
        <v>46040</v>
      </c>
      <c r="D195" t="inlineStr">
        <is>
          <t>NORRBOTTENS LÄN</t>
        </is>
      </c>
      <c r="E195" t="inlineStr">
        <is>
          <t>ÖVERTORNEÅ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597-2023</t>
        </is>
      </c>
      <c r="B196" s="1" t="n">
        <v>44930.56168981481</v>
      </c>
      <c r="C196" s="1" t="n">
        <v>46040</v>
      </c>
      <c r="D196" t="inlineStr">
        <is>
          <t>NORRBOTTENS LÄN</t>
        </is>
      </c>
      <c r="E196" t="inlineStr">
        <is>
          <t>ÖVERTORNEÅ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1444-2026</t>
        </is>
      </c>
      <c r="B197" s="1" t="n">
        <v>46032.68081018519</v>
      </c>
      <c r="C197" s="1" t="n">
        <v>46040</v>
      </c>
      <c r="D197" t="inlineStr">
        <is>
          <t>NORRBOTTENS LÄN</t>
        </is>
      </c>
      <c r="E197" t="inlineStr">
        <is>
          <t>ÖVERTORNEÅ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1530-2026</t>
        </is>
      </c>
      <c r="B198" s="1" t="n">
        <v>46034.37177083334</v>
      </c>
      <c r="C198" s="1" t="n">
        <v>46040</v>
      </c>
      <c r="D198" t="inlineStr">
        <is>
          <t>NORRBOTTENS LÄN</t>
        </is>
      </c>
      <c r="E198" t="inlineStr">
        <is>
          <t>ÖVERTORNEÅ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32902-2021</t>
        </is>
      </c>
      <c r="B199" s="1" t="n">
        <v>44375.91929398148</v>
      </c>
      <c r="C199" s="1" t="n">
        <v>46040</v>
      </c>
      <c r="D199" t="inlineStr">
        <is>
          <t>NORRBOTTENS LÄN</t>
        </is>
      </c>
      <c r="E199" t="inlineStr">
        <is>
          <t>ÖVERTORNEÅ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24785-2024</t>
        </is>
      </c>
      <c r="B200" s="1" t="n">
        <v>45460.81047453704</v>
      </c>
      <c r="C200" s="1" t="n">
        <v>46040</v>
      </c>
      <c r="D200" t="inlineStr">
        <is>
          <t>NORRBOTTENS LÄN</t>
        </is>
      </c>
      <c r="E200" t="inlineStr">
        <is>
          <t>ÖVERTORNEÅ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26162-2024</t>
        </is>
      </c>
      <c r="B201" s="1" t="n">
        <v>45467</v>
      </c>
      <c r="C201" s="1" t="n">
        <v>46040</v>
      </c>
      <c r="D201" t="inlineStr">
        <is>
          <t>NORRBOTTENS LÄN</t>
        </is>
      </c>
      <c r="E201" t="inlineStr">
        <is>
          <t>ÖVERTORNEÅ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27789-2021</t>
        </is>
      </c>
      <c r="B202" s="1" t="n">
        <v>44354</v>
      </c>
      <c r="C202" s="1" t="n">
        <v>46040</v>
      </c>
      <c r="D202" t="inlineStr">
        <is>
          <t>NORRBOTTENS LÄN</t>
        </is>
      </c>
      <c r="E202" t="inlineStr">
        <is>
          <t>ÖVERTORNEÅ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34579-2024</t>
        </is>
      </c>
      <c r="B203" s="1" t="n">
        <v>45526.36474537037</v>
      </c>
      <c r="C203" s="1" t="n">
        <v>46040</v>
      </c>
      <c r="D203" t="inlineStr">
        <is>
          <t>NORRBOTTENS LÄN</t>
        </is>
      </c>
      <c r="E203" t="inlineStr">
        <is>
          <t>ÖVERTORNEÅ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10528-2023</t>
        </is>
      </c>
      <c r="B204" s="1" t="n">
        <v>44987</v>
      </c>
      <c r="C204" s="1" t="n">
        <v>46040</v>
      </c>
      <c r="D204" t="inlineStr">
        <is>
          <t>NORRBOTTENS LÄN</t>
        </is>
      </c>
      <c r="E204" t="inlineStr">
        <is>
          <t>ÖVERTORNEÅ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28953-2024</t>
        </is>
      </c>
      <c r="B205" s="1" t="n">
        <v>45481</v>
      </c>
      <c r="C205" s="1" t="n">
        <v>46040</v>
      </c>
      <c r="D205" t="inlineStr">
        <is>
          <t>NORRBOTTENS LÄN</t>
        </is>
      </c>
      <c r="E205" t="inlineStr">
        <is>
          <t>ÖVERTORNEÅ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49299-2024</t>
        </is>
      </c>
      <c r="B206" s="1" t="n">
        <v>45595.54366898148</v>
      </c>
      <c r="C206" s="1" t="n">
        <v>46040</v>
      </c>
      <c r="D206" t="inlineStr">
        <is>
          <t>NORRBOTTENS LÄN</t>
        </is>
      </c>
      <c r="E206" t="inlineStr">
        <is>
          <t>ÖVERTORNEÅ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1859-2026</t>
        </is>
      </c>
      <c r="B207" s="1" t="n">
        <v>46035.43523148148</v>
      </c>
      <c r="C207" s="1" t="n">
        <v>46040</v>
      </c>
      <c r="D207" t="inlineStr">
        <is>
          <t>NORRBOTTENS LÄN</t>
        </is>
      </c>
      <c r="E207" t="inlineStr">
        <is>
          <t>ÖVERTORNEÅ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1783-2026</t>
        </is>
      </c>
      <c r="B208" s="1" t="n">
        <v>46034</v>
      </c>
      <c r="C208" s="1" t="n">
        <v>46040</v>
      </c>
      <c r="D208" t="inlineStr">
        <is>
          <t>NORRBOTTENS LÄN</t>
        </is>
      </c>
      <c r="E208" t="inlineStr">
        <is>
          <t>ÖVERTORNEÅ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1782-2026</t>
        </is>
      </c>
      <c r="B209" s="1" t="n">
        <v>46034</v>
      </c>
      <c r="C209" s="1" t="n">
        <v>46040</v>
      </c>
      <c r="D209" t="inlineStr">
        <is>
          <t>NORRBOTTENS LÄN</t>
        </is>
      </c>
      <c r="E209" t="inlineStr">
        <is>
          <t>ÖVERTORNEÅ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1775-2026</t>
        </is>
      </c>
      <c r="B210" s="1" t="n">
        <v>46034</v>
      </c>
      <c r="C210" s="1" t="n">
        <v>46040</v>
      </c>
      <c r="D210" t="inlineStr">
        <is>
          <t>NORRBOTTENS LÄN</t>
        </is>
      </c>
      <c r="E210" t="inlineStr">
        <is>
          <t>ÖVERTORNEÅ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1779-2026</t>
        </is>
      </c>
      <c r="B211" s="1" t="n">
        <v>46034</v>
      </c>
      <c r="C211" s="1" t="n">
        <v>46040</v>
      </c>
      <c r="D211" t="inlineStr">
        <is>
          <t>NORRBOTTENS LÄN</t>
        </is>
      </c>
      <c r="E211" t="inlineStr">
        <is>
          <t>ÖVERTORNEÅ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45261-2025</t>
        </is>
      </c>
      <c r="B212" s="1" t="n">
        <v>45919</v>
      </c>
      <c r="C212" s="1" t="n">
        <v>46040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1795-2026</t>
        </is>
      </c>
      <c r="B213" s="1" t="n">
        <v>46035.23996527777</v>
      </c>
      <c r="C213" s="1" t="n">
        <v>46040</v>
      </c>
      <c r="D213" t="inlineStr">
        <is>
          <t>NORRBOTTENS LÄN</t>
        </is>
      </c>
      <c r="E213" t="inlineStr">
        <is>
          <t>ÖVERTORNEÅ</t>
        </is>
      </c>
      <c r="G213" t="n">
        <v>13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4250-2025</t>
        </is>
      </c>
      <c r="B214" s="1" t="n">
        <v>45685</v>
      </c>
      <c r="C214" s="1" t="n">
        <v>46040</v>
      </c>
      <c r="D214" t="inlineStr">
        <is>
          <t>NORRBOTTENS LÄN</t>
        </is>
      </c>
      <c r="E214" t="inlineStr">
        <is>
          <t>ÖVERTORNEÅ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44096-2023</t>
        </is>
      </c>
      <c r="B215" s="1" t="n">
        <v>45188.42984953704</v>
      </c>
      <c r="C215" s="1" t="n">
        <v>46040</v>
      </c>
      <c r="D215" t="inlineStr">
        <is>
          <t>NORRBOTTENS LÄN</t>
        </is>
      </c>
      <c r="E215" t="inlineStr">
        <is>
          <t>ÖVERTORNEÅ</t>
        </is>
      </c>
      <c r="G215" t="n">
        <v>16.2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23055-2024</t>
        </is>
      </c>
      <c r="B216" s="1" t="n">
        <v>45449</v>
      </c>
      <c r="C216" s="1" t="n">
        <v>46040</v>
      </c>
      <c r="D216" t="inlineStr">
        <is>
          <t>NORRBOTTENS LÄN</t>
        </is>
      </c>
      <c r="E216" t="inlineStr">
        <is>
          <t>ÖVERTORNEÅ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2883-2026</t>
        </is>
      </c>
      <c r="B217" s="1" t="n">
        <v>46038</v>
      </c>
      <c r="C217" s="1" t="n">
        <v>46040</v>
      </c>
      <c r="D217" t="inlineStr">
        <is>
          <t>NORRBOTTENS LÄN</t>
        </is>
      </c>
      <c r="E217" t="inlineStr">
        <is>
          <t>ÖVERTORNEÅ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2904-2026</t>
        </is>
      </c>
      <c r="B218" s="1" t="n">
        <v>46038</v>
      </c>
      <c r="C218" s="1" t="n">
        <v>46040</v>
      </c>
      <c r="D218" t="inlineStr">
        <is>
          <t>NORRBOTTENS LÄN</t>
        </is>
      </c>
      <c r="E218" t="inlineStr">
        <is>
          <t>ÖVERTORNEÅ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48036-2024</t>
        </is>
      </c>
      <c r="B219" s="1" t="n">
        <v>45589.49344907407</v>
      </c>
      <c r="C219" s="1" t="n">
        <v>46040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Kommuner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2918-2026</t>
        </is>
      </c>
      <c r="B220" s="1" t="n">
        <v>46038</v>
      </c>
      <c r="C220" s="1" t="n">
        <v>46040</v>
      </c>
      <c r="D220" t="inlineStr">
        <is>
          <t>NORRBOTTENS LÄN</t>
        </is>
      </c>
      <c r="E220" t="inlineStr">
        <is>
          <t>ÖVERTORNEÅ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16028-2024</t>
        </is>
      </c>
      <c r="B221" s="1" t="n">
        <v>45405</v>
      </c>
      <c r="C221" s="1" t="n">
        <v>46040</v>
      </c>
      <c r="D221" t="inlineStr">
        <is>
          <t>NORRBOTTENS LÄN</t>
        </is>
      </c>
      <c r="E221" t="inlineStr">
        <is>
          <t>ÖVERTORNEÅ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2887-2026</t>
        </is>
      </c>
      <c r="B222" s="1" t="n">
        <v>46038</v>
      </c>
      <c r="C222" s="1" t="n">
        <v>46040</v>
      </c>
      <c r="D222" t="inlineStr">
        <is>
          <t>NORRBOTTENS LÄN</t>
        </is>
      </c>
      <c r="E222" t="inlineStr">
        <is>
          <t>ÖVERTORNEÅ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28927-2024</t>
        </is>
      </c>
      <c r="B223" s="1" t="n">
        <v>45481.31606481481</v>
      </c>
      <c r="C223" s="1" t="n">
        <v>46040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22419-2024</t>
        </is>
      </c>
      <c r="B224" s="1" t="n">
        <v>45446</v>
      </c>
      <c r="C224" s="1" t="n">
        <v>46040</v>
      </c>
      <c r="D224" t="inlineStr">
        <is>
          <t>NORRBOTTENS LÄN</t>
        </is>
      </c>
      <c r="E224" t="inlineStr">
        <is>
          <t>ÖVERTORNEÅ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46703-2025</t>
        </is>
      </c>
      <c r="B225" s="1" t="n">
        <v>45926</v>
      </c>
      <c r="C225" s="1" t="n">
        <v>46040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60675-2025</t>
        </is>
      </c>
      <c r="B226" s="1" t="n">
        <v>45996.55915509259</v>
      </c>
      <c r="C226" s="1" t="n">
        <v>46040</v>
      </c>
      <c r="D226" t="inlineStr">
        <is>
          <t>NORRBOTTENS LÄN</t>
        </is>
      </c>
      <c r="E226" t="inlineStr">
        <is>
          <t>ÖVERTORNEÅ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37789-2024</t>
        </is>
      </c>
      <c r="B227" s="1" t="n">
        <v>45543.29166666666</v>
      </c>
      <c r="C227" s="1" t="n">
        <v>46040</v>
      </c>
      <c r="D227" t="inlineStr">
        <is>
          <t>NORRBOTTENS LÄN</t>
        </is>
      </c>
      <c r="E227" t="inlineStr">
        <is>
          <t>ÖVERTORNEÅ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60522-2025</t>
        </is>
      </c>
      <c r="B228" s="1" t="n">
        <v>45995.63984953704</v>
      </c>
      <c r="C228" s="1" t="n">
        <v>46040</v>
      </c>
      <c r="D228" t="inlineStr">
        <is>
          <t>NORRBOTTENS LÄN</t>
        </is>
      </c>
      <c r="E228" t="inlineStr">
        <is>
          <t>ÖVERTORNEÅ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12653-2025</t>
        </is>
      </c>
      <c r="B229" s="1" t="n">
        <v>45733.41571759259</v>
      </c>
      <c r="C229" s="1" t="n">
        <v>46040</v>
      </c>
      <c r="D229" t="inlineStr">
        <is>
          <t>NORRBOTTENS LÄN</t>
        </is>
      </c>
      <c r="E229" t="inlineStr">
        <is>
          <t>ÖVERTORNEÅ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33518-2023</t>
        </is>
      </c>
      <c r="B230" s="1" t="n">
        <v>45118</v>
      </c>
      <c r="C230" s="1" t="n">
        <v>46040</v>
      </c>
      <c r="D230" t="inlineStr">
        <is>
          <t>NORRBOTTENS LÄN</t>
        </is>
      </c>
      <c r="E230" t="inlineStr">
        <is>
          <t>ÖVERTORNEÅ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2421-2026</t>
        </is>
      </c>
      <c r="B231" s="1" t="n">
        <v>46034</v>
      </c>
      <c r="C231" s="1" t="n">
        <v>46040</v>
      </c>
      <c r="D231" t="inlineStr">
        <is>
          <t>NORRBOTTENS LÄN</t>
        </is>
      </c>
      <c r="E231" t="inlineStr">
        <is>
          <t>ÖVERTORNEÅ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2422-2026</t>
        </is>
      </c>
      <c r="B232" s="1" t="n">
        <v>46034</v>
      </c>
      <c r="C232" s="1" t="n">
        <v>46040</v>
      </c>
      <c r="D232" t="inlineStr">
        <is>
          <t>NORRBOTTENS LÄN</t>
        </is>
      </c>
      <c r="E232" t="inlineStr">
        <is>
          <t>ÖVERTORNEÅ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2894-2026</t>
        </is>
      </c>
      <c r="B233" s="1" t="n">
        <v>46038</v>
      </c>
      <c r="C233" s="1" t="n">
        <v>46040</v>
      </c>
      <c r="D233" t="inlineStr">
        <is>
          <t>NORRBOTTENS LÄN</t>
        </is>
      </c>
      <c r="E233" t="inlineStr">
        <is>
          <t>ÖVERTORNEÅ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31827-2024</t>
        </is>
      </c>
      <c r="B234" s="1" t="n">
        <v>45509.61607638889</v>
      </c>
      <c r="C234" s="1" t="n">
        <v>46040</v>
      </c>
      <c r="D234" t="inlineStr">
        <is>
          <t>NORRBOTTENS LÄN</t>
        </is>
      </c>
      <c r="E234" t="inlineStr">
        <is>
          <t>ÖVERTORNEÅ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59662-2024</t>
        </is>
      </c>
      <c r="B235" s="1" t="n">
        <v>45639</v>
      </c>
      <c r="C235" s="1" t="n">
        <v>46040</v>
      </c>
      <c r="D235" t="inlineStr">
        <is>
          <t>NORRBOTTENS LÄN</t>
        </is>
      </c>
      <c r="E235" t="inlineStr">
        <is>
          <t>ÖVERTORNEÅ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47914-2025</t>
        </is>
      </c>
      <c r="B236" s="1" t="n">
        <v>45932.51431712963</v>
      </c>
      <c r="C236" s="1" t="n">
        <v>46040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57111-2024</t>
        </is>
      </c>
      <c r="B237" s="1" t="n">
        <v>45629.36480324074</v>
      </c>
      <c r="C237" s="1" t="n">
        <v>46040</v>
      </c>
      <c r="D237" t="inlineStr">
        <is>
          <t>NORRBOTTENS LÄN</t>
        </is>
      </c>
      <c r="E237" t="inlineStr">
        <is>
          <t>ÖVERTORNEÅ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1623-2024</t>
        </is>
      </c>
      <c r="B238" s="1" t="n">
        <v>45306.64623842593</v>
      </c>
      <c r="C238" s="1" t="n">
        <v>46040</v>
      </c>
      <c r="D238" t="inlineStr">
        <is>
          <t>NORRBOTTENS LÄN</t>
        </is>
      </c>
      <c r="E238" t="inlineStr">
        <is>
          <t>ÖVERTORNEÅ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47909-2025</t>
        </is>
      </c>
      <c r="B239" s="1" t="n">
        <v>45932.51157407407</v>
      </c>
      <c r="C239" s="1" t="n">
        <v>46040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47912-2025</t>
        </is>
      </c>
      <c r="B240" s="1" t="n">
        <v>45932.51309027777</v>
      </c>
      <c r="C240" s="1" t="n">
        <v>46040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25309-2024</t>
        </is>
      </c>
      <c r="B241" s="1" t="n">
        <v>45462</v>
      </c>
      <c r="C241" s="1" t="n">
        <v>46040</v>
      </c>
      <c r="D241" t="inlineStr">
        <is>
          <t>NORRBOTTENS LÄN</t>
        </is>
      </c>
      <c r="E241" t="inlineStr">
        <is>
          <t>ÖVERTORNEÅ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48701-2025</t>
        </is>
      </c>
      <c r="B242" s="1" t="n">
        <v>45936</v>
      </c>
      <c r="C242" s="1" t="n">
        <v>46040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56544-2024</t>
        </is>
      </c>
      <c r="B243" s="1" t="n">
        <v>45625.56363425926</v>
      </c>
      <c r="C243" s="1" t="n">
        <v>46040</v>
      </c>
      <c r="D243" t="inlineStr">
        <is>
          <t>NORRBOTTENS LÄN</t>
        </is>
      </c>
      <c r="E243" t="inlineStr">
        <is>
          <t>ÖVERTORNEÅ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26118-2024</t>
        </is>
      </c>
      <c r="B244" s="1" t="n">
        <v>45467</v>
      </c>
      <c r="C244" s="1" t="n">
        <v>46040</v>
      </c>
      <c r="D244" t="inlineStr">
        <is>
          <t>NORRBOTTENS LÄN</t>
        </is>
      </c>
      <c r="E244" t="inlineStr">
        <is>
          <t>ÖVERTORNEÅ</t>
        </is>
      </c>
      <c r="G244" t="n">
        <v>12.4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26142-2024</t>
        </is>
      </c>
      <c r="B245" s="1" t="n">
        <v>45467</v>
      </c>
      <c r="C245" s="1" t="n">
        <v>46040</v>
      </c>
      <c r="D245" t="inlineStr">
        <is>
          <t>NORRBOTTENS LÄN</t>
        </is>
      </c>
      <c r="E245" t="inlineStr">
        <is>
          <t>ÖVERTORNEÅ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48610-2025</t>
        </is>
      </c>
      <c r="B246" s="1" t="n">
        <v>45936</v>
      </c>
      <c r="C246" s="1" t="n">
        <v>46040</v>
      </c>
      <c r="D246" t="inlineStr">
        <is>
          <t>NORRBOTTENS LÄN</t>
        </is>
      </c>
      <c r="E246" t="inlineStr">
        <is>
          <t>ÖVERTORNEÅ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23259-2024</t>
        </is>
      </c>
      <c r="B247" s="1" t="n">
        <v>45453</v>
      </c>
      <c r="C247" s="1" t="n">
        <v>46040</v>
      </c>
      <c r="D247" t="inlineStr">
        <is>
          <t>NORRBOTTENS LÄN</t>
        </is>
      </c>
      <c r="E247" t="inlineStr">
        <is>
          <t>ÖVERTORNEÅ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74228-2021</t>
        </is>
      </c>
      <c r="B248" s="1" t="n">
        <v>44553</v>
      </c>
      <c r="C248" s="1" t="n">
        <v>46040</v>
      </c>
      <c r="D248" t="inlineStr">
        <is>
          <t>NORRBOTTENS LÄN</t>
        </is>
      </c>
      <c r="E248" t="inlineStr">
        <is>
          <t>ÖVERTORNEÅ</t>
        </is>
      </c>
      <c r="G248" t="n">
        <v>27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48691-2025</t>
        </is>
      </c>
      <c r="B249" s="1" t="n">
        <v>45936.61145833333</v>
      </c>
      <c r="C249" s="1" t="n">
        <v>46040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11622-2025</t>
        </is>
      </c>
      <c r="B250" s="1" t="n">
        <v>45727.45553240741</v>
      </c>
      <c r="C250" s="1" t="n">
        <v>46040</v>
      </c>
      <c r="D250" t="inlineStr">
        <is>
          <t>NORRBOTTENS LÄN</t>
        </is>
      </c>
      <c r="E250" t="inlineStr">
        <is>
          <t>ÖVERTORNEÅ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49362-2025</t>
        </is>
      </c>
      <c r="B251" s="1" t="n">
        <v>45938.61908564815</v>
      </c>
      <c r="C251" s="1" t="n">
        <v>46040</v>
      </c>
      <c r="D251" t="inlineStr">
        <is>
          <t>NORRBOTTENS LÄN</t>
        </is>
      </c>
      <c r="E251" t="inlineStr">
        <is>
          <t>ÖVERTORNEÅ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4012-2022</t>
        </is>
      </c>
      <c r="B252" s="1" t="n">
        <v>44587</v>
      </c>
      <c r="C252" s="1" t="n">
        <v>46040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Kommuner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49353-2025</t>
        </is>
      </c>
      <c r="B253" s="1" t="n">
        <v>45938.61391203704</v>
      </c>
      <c r="C253" s="1" t="n">
        <v>46040</v>
      </c>
      <c r="D253" t="inlineStr">
        <is>
          <t>NORRBOTTENS LÄN</t>
        </is>
      </c>
      <c r="E253" t="inlineStr">
        <is>
          <t>ÖVERTORNEÅ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49368-2025</t>
        </is>
      </c>
      <c r="B254" s="1" t="n">
        <v>45938.62539351852</v>
      </c>
      <c r="C254" s="1" t="n">
        <v>46040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49744-2025</t>
        </is>
      </c>
      <c r="B255" s="1" t="n">
        <v>45940</v>
      </c>
      <c r="C255" s="1" t="n">
        <v>46040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55545-2024</t>
        </is>
      </c>
      <c r="B256" s="1" t="n">
        <v>45622.50797453704</v>
      </c>
      <c r="C256" s="1" t="n">
        <v>46040</v>
      </c>
      <c r="D256" t="inlineStr">
        <is>
          <t>NORRBOTTENS LÄN</t>
        </is>
      </c>
      <c r="E256" t="inlineStr">
        <is>
          <t>ÖVERTORNEÅ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50184-2025</t>
        </is>
      </c>
      <c r="B257" s="1" t="n">
        <v>45943.61587962963</v>
      </c>
      <c r="C257" s="1" t="n">
        <v>46040</v>
      </c>
      <c r="D257" t="inlineStr">
        <is>
          <t>NORRBOTTENS LÄN</t>
        </is>
      </c>
      <c r="E257" t="inlineStr">
        <is>
          <t>ÖVERTORNEÅ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47475-2023</t>
        </is>
      </c>
      <c r="B258" s="1" t="n">
        <v>45202</v>
      </c>
      <c r="C258" s="1" t="n">
        <v>46040</v>
      </c>
      <c r="D258" t="inlineStr">
        <is>
          <t>NORRBOTTENS LÄN</t>
        </is>
      </c>
      <c r="E258" t="inlineStr">
        <is>
          <t>ÖVERTORNEÅ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50236-2025</t>
        </is>
      </c>
      <c r="B259" s="1" t="n">
        <v>45943.76771990741</v>
      </c>
      <c r="C259" s="1" t="n">
        <v>46040</v>
      </c>
      <c r="D259" t="inlineStr">
        <is>
          <t>NORRBOTTENS LÄN</t>
        </is>
      </c>
      <c r="E259" t="inlineStr">
        <is>
          <t>ÖVERTORNEÅ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5095-2025</t>
        </is>
      </c>
      <c r="B260" s="1" t="n">
        <v>45691</v>
      </c>
      <c r="C260" s="1" t="n">
        <v>46040</v>
      </c>
      <c r="D260" t="inlineStr">
        <is>
          <t>NORRBOTTENS LÄN</t>
        </is>
      </c>
      <c r="E260" t="inlineStr">
        <is>
          <t>ÖVERTORNEÅ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5142-2025</t>
        </is>
      </c>
      <c r="B261" s="1" t="n">
        <v>45691.58537037037</v>
      </c>
      <c r="C261" s="1" t="n">
        <v>46040</v>
      </c>
      <c r="D261" t="inlineStr">
        <is>
          <t>NORRBOTTENS LÄN</t>
        </is>
      </c>
      <c r="E261" t="inlineStr">
        <is>
          <t>ÖVERTORNEÅ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44238-2024</t>
        </is>
      </c>
      <c r="B262" s="1" t="n">
        <v>45573.41719907407</v>
      </c>
      <c r="C262" s="1" t="n">
        <v>46040</v>
      </c>
      <c r="D262" t="inlineStr">
        <is>
          <t>NORRBOTTENS LÄN</t>
        </is>
      </c>
      <c r="E262" t="inlineStr">
        <is>
          <t>ÖVERTORNEÅ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50938-2025</t>
        </is>
      </c>
      <c r="B263" s="1" t="n">
        <v>45946.70085648148</v>
      </c>
      <c r="C263" s="1" t="n">
        <v>46040</v>
      </c>
      <c r="D263" t="inlineStr">
        <is>
          <t>NORRBOTTENS LÄN</t>
        </is>
      </c>
      <c r="E263" t="inlineStr">
        <is>
          <t>ÖVERTORNEÅ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55245-2024</t>
        </is>
      </c>
      <c r="B264" s="1" t="n">
        <v>45621.59041666667</v>
      </c>
      <c r="C264" s="1" t="n">
        <v>46040</v>
      </c>
      <c r="D264" t="inlineStr">
        <is>
          <t>NORRBOTTENS LÄN</t>
        </is>
      </c>
      <c r="E264" t="inlineStr">
        <is>
          <t>ÖVERTORNEÅ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51000-2025</t>
        </is>
      </c>
      <c r="B265" s="1" t="n">
        <v>45947.35893518518</v>
      </c>
      <c r="C265" s="1" t="n">
        <v>46040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11831-2022</t>
        </is>
      </c>
      <c r="B266" s="1" t="n">
        <v>44634</v>
      </c>
      <c r="C266" s="1" t="n">
        <v>46040</v>
      </c>
      <c r="D266" t="inlineStr">
        <is>
          <t>NORRBOTTENS LÄN</t>
        </is>
      </c>
      <c r="E266" t="inlineStr">
        <is>
          <t>ÖVERTORNEÅ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51043-2025</t>
        </is>
      </c>
      <c r="B267" s="1" t="n">
        <v>45947.42418981482</v>
      </c>
      <c r="C267" s="1" t="n">
        <v>46040</v>
      </c>
      <c r="D267" t="inlineStr">
        <is>
          <t>NORRBOTTENS LÄN</t>
        </is>
      </c>
      <c r="E267" t="inlineStr">
        <is>
          <t>ÖVERTORNEÅ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46644-2023</t>
        </is>
      </c>
      <c r="B268" s="1" t="n">
        <v>45194</v>
      </c>
      <c r="C268" s="1" t="n">
        <v>46040</v>
      </c>
      <c r="D268" t="inlineStr">
        <is>
          <t>NORRBOTTENS LÄN</t>
        </is>
      </c>
      <c r="E268" t="inlineStr">
        <is>
          <t>ÖVERTORNEÅ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41779-2025</t>
        </is>
      </c>
      <c r="B269" s="1" t="n">
        <v>45902</v>
      </c>
      <c r="C269" s="1" t="n">
        <v>46040</v>
      </c>
      <c r="D269" t="inlineStr">
        <is>
          <t>NORRBOTTENS LÄN</t>
        </is>
      </c>
      <c r="E269" t="inlineStr">
        <is>
          <t>ÖVERTORNEÅ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48770-2021</t>
        </is>
      </c>
      <c r="B270" s="1" t="n">
        <v>44452</v>
      </c>
      <c r="C270" s="1" t="n">
        <v>46040</v>
      </c>
      <c r="D270" t="inlineStr">
        <is>
          <t>NORRBOTTENS LÄN</t>
        </is>
      </c>
      <c r="E270" t="inlineStr">
        <is>
          <t>ÖVERTORNEÅ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48792-2021</t>
        </is>
      </c>
      <c r="B271" s="1" t="n">
        <v>44452</v>
      </c>
      <c r="C271" s="1" t="n">
        <v>46040</v>
      </c>
      <c r="D271" t="inlineStr">
        <is>
          <t>NORRBOTTENS LÄN</t>
        </is>
      </c>
      <c r="E271" t="inlineStr">
        <is>
          <t>ÖVERTORNEÅ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36286-2024</t>
        </is>
      </c>
      <c r="B272" s="1" t="n">
        <v>45534</v>
      </c>
      <c r="C272" s="1" t="n">
        <v>46040</v>
      </c>
      <c r="D272" t="inlineStr">
        <is>
          <t>NORRBOTTENS LÄN</t>
        </is>
      </c>
      <c r="E272" t="inlineStr">
        <is>
          <t>ÖVERTORNEÅ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52164-2025</t>
        </is>
      </c>
      <c r="B273" s="1" t="n">
        <v>45953.36184027778</v>
      </c>
      <c r="C273" s="1" t="n">
        <v>46040</v>
      </c>
      <c r="D273" t="inlineStr">
        <is>
          <t>NORRBOTTENS LÄN</t>
        </is>
      </c>
      <c r="E273" t="inlineStr">
        <is>
          <t>ÖVERTORNEÅ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52191-2025</t>
        </is>
      </c>
      <c r="B274" s="1" t="n">
        <v>45953.38818287037</v>
      </c>
      <c r="C274" s="1" t="n">
        <v>46040</v>
      </c>
      <c r="D274" t="inlineStr">
        <is>
          <t>NORRBOTTENS LÄN</t>
        </is>
      </c>
      <c r="E274" t="inlineStr">
        <is>
          <t>ÖVERTORNEÅ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24647-2024</t>
        </is>
      </c>
      <c r="B275" s="1" t="n">
        <v>45460</v>
      </c>
      <c r="C275" s="1" t="n">
        <v>46040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32741-2024</t>
        </is>
      </c>
      <c r="B276" s="1" t="n">
        <v>45516.43961805556</v>
      </c>
      <c r="C276" s="1" t="n">
        <v>46040</v>
      </c>
      <c r="D276" t="inlineStr">
        <is>
          <t>NORRBOTTENS LÄN</t>
        </is>
      </c>
      <c r="E276" t="inlineStr">
        <is>
          <t>ÖVERTORNEÅ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19358-2022</t>
        </is>
      </c>
      <c r="B277" s="1" t="n">
        <v>44692</v>
      </c>
      <c r="C277" s="1" t="n">
        <v>46040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21516-2024</t>
        </is>
      </c>
      <c r="B278" s="1" t="n">
        <v>45441</v>
      </c>
      <c r="C278" s="1" t="n">
        <v>46040</v>
      </c>
      <c r="D278" t="inlineStr">
        <is>
          <t>NORRBOTTENS LÄN</t>
        </is>
      </c>
      <c r="E278" t="inlineStr">
        <is>
          <t>ÖVERTORNEÅ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25149-2022</t>
        </is>
      </c>
      <c r="B279" s="1" t="n">
        <v>44729</v>
      </c>
      <c r="C279" s="1" t="n">
        <v>46040</v>
      </c>
      <c r="D279" t="inlineStr">
        <is>
          <t>NORRBOTTENS LÄN</t>
        </is>
      </c>
      <c r="E279" t="inlineStr">
        <is>
          <t>ÖVERTORNEÅ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6423-2025</t>
        </is>
      </c>
      <c r="B280" s="1" t="n">
        <v>45699</v>
      </c>
      <c r="C280" s="1" t="n">
        <v>46040</v>
      </c>
      <c r="D280" t="inlineStr">
        <is>
          <t>NORRBOTTENS LÄN</t>
        </is>
      </c>
      <c r="E280" t="inlineStr">
        <is>
          <t>ÖVERTORNEÅ</t>
        </is>
      </c>
      <c r="G280" t="n">
        <v>16.5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16471-2022</t>
        </is>
      </c>
      <c r="B281" s="1" t="n">
        <v>44671</v>
      </c>
      <c r="C281" s="1" t="n">
        <v>46040</v>
      </c>
      <c r="D281" t="inlineStr">
        <is>
          <t>NORRBOTTENS LÄN</t>
        </is>
      </c>
      <c r="E281" t="inlineStr">
        <is>
          <t>ÖVERTORNEÅ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16566-2022</t>
        </is>
      </c>
      <c r="B282" s="1" t="n">
        <v>44672</v>
      </c>
      <c r="C282" s="1" t="n">
        <v>46040</v>
      </c>
      <c r="D282" t="inlineStr">
        <is>
          <t>NORRBOTTENS LÄN</t>
        </is>
      </c>
      <c r="E282" t="inlineStr">
        <is>
          <t>ÖVERTORNEÅ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38500-2021</t>
        </is>
      </c>
      <c r="B283" s="1" t="n">
        <v>44406</v>
      </c>
      <c r="C283" s="1" t="n">
        <v>46040</v>
      </c>
      <c r="D283" t="inlineStr">
        <is>
          <t>NORRBOTTENS LÄN</t>
        </is>
      </c>
      <c r="E283" t="inlineStr">
        <is>
          <t>ÖVERTORNEÅ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28658-2022</t>
        </is>
      </c>
      <c r="B284" s="1" t="n">
        <v>44748</v>
      </c>
      <c r="C284" s="1" t="n">
        <v>46040</v>
      </c>
      <c r="D284" t="inlineStr">
        <is>
          <t>NORRBOTTENS LÄN</t>
        </is>
      </c>
      <c r="E284" t="inlineStr">
        <is>
          <t>ÖVERTORNEÅ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63475-2023</t>
        </is>
      </c>
      <c r="B285" s="1" t="n">
        <v>45274</v>
      </c>
      <c r="C285" s="1" t="n">
        <v>46040</v>
      </c>
      <c r="D285" t="inlineStr">
        <is>
          <t>NORRBOTTENS LÄN</t>
        </is>
      </c>
      <c r="E285" t="inlineStr">
        <is>
          <t>ÖVERTORNEÅ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4514-2022</t>
        </is>
      </c>
      <c r="B286" s="1" t="n">
        <v>44589</v>
      </c>
      <c r="C286" s="1" t="n">
        <v>46040</v>
      </c>
      <c r="D286" t="inlineStr">
        <is>
          <t>NORRBOTTENS LÄN</t>
        </is>
      </c>
      <c r="E286" t="inlineStr">
        <is>
          <t>ÖVERTORNEÅ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53429-2025</t>
        </is>
      </c>
      <c r="B287" s="1" t="n">
        <v>45959.62284722222</v>
      </c>
      <c r="C287" s="1" t="n">
        <v>46040</v>
      </c>
      <c r="D287" t="inlineStr">
        <is>
          <t>NORRBOTTENS LÄN</t>
        </is>
      </c>
      <c r="E287" t="inlineStr">
        <is>
          <t>ÖVERTORNEÅ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24644-2024</t>
        </is>
      </c>
      <c r="B288" s="1" t="n">
        <v>45460</v>
      </c>
      <c r="C288" s="1" t="n">
        <v>46040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58083-2024</t>
        </is>
      </c>
      <c r="B289" s="1" t="n">
        <v>45632</v>
      </c>
      <c r="C289" s="1" t="n">
        <v>46040</v>
      </c>
      <c r="D289" t="inlineStr">
        <is>
          <t>NORRBOTTENS LÄN</t>
        </is>
      </c>
      <c r="E289" t="inlineStr">
        <is>
          <t>ÖVERTORNEÅ</t>
        </is>
      </c>
      <c r="G289" t="n">
        <v>13.2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15045-2025</t>
        </is>
      </c>
      <c r="B290" s="1" t="n">
        <v>45743</v>
      </c>
      <c r="C290" s="1" t="n">
        <v>46040</v>
      </c>
      <c r="D290" t="inlineStr">
        <is>
          <t>NORRBOTTENS LÄN</t>
        </is>
      </c>
      <c r="E290" t="inlineStr">
        <is>
          <t>ÖVERTORNEÅ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58101-2024</t>
        </is>
      </c>
      <c r="B291" s="1" t="n">
        <v>45632.36780092592</v>
      </c>
      <c r="C291" s="1" t="n">
        <v>46040</v>
      </c>
      <c r="D291" t="inlineStr">
        <is>
          <t>NORRBOTTENS LÄN</t>
        </is>
      </c>
      <c r="E291" t="inlineStr">
        <is>
          <t>ÖVERTORNEÅ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38127-2024</t>
        </is>
      </c>
      <c r="B292" s="1" t="n">
        <v>45545.40748842592</v>
      </c>
      <c r="C292" s="1" t="n">
        <v>46040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61921-2025</t>
        </is>
      </c>
      <c r="B293" s="1" t="n">
        <v>46003.51122685185</v>
      </c>
      <c r="C293" s="1" t="n">
        <v>46040</v>
      </c>
      <c r="D293" t="inlineStr">
        <is>
          <t>NORRBOTTENS LÄN</t>
        </is>
      </c>
      <c r="E293" t="inlineStr">
        <is>
          <t>ÖVERTORNEÅ</t>
        </is>
      </c>
      <c r="G293" t="n">
        <v>18.4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61923-2025</t>
        </is>
      </c>
      <c r="B294" s="1" t="n">
        <v>46003.51133101852</v>
      </c>
      <c r="C294" s="1" t="n">
        <v>46040</v>
      </c>
      <c r="D294" t="inlineStr">
        <is>
          <t>NORRBOTTENS LÄN</t>
        </is>
      </c>
      <c r="E294" t="inlineStr">
        <is>
          <t>ÖVERTORNEÅ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36586-2024</t>
        </is>
      </c>
      <c r="B295" s="1" t="n">
        <v>45537</v>
      </c>
      <c r="C295" s="1" t="n">
        <v>46040</v>
      </c>
      <c r="D295" t="inlineStr">
        <is>
          <t>NORRBOTTENS LÄN</t>
        </is>
      </c>
      <c r="E295" t="inlineStr">
        <is>
          <t>ÖVERTORNEÅ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54000-2025</t>
        </is>
      </c>
      <c r="B296" s="1" t="n">
        <v>45961.59572916666</v>
      </c>
      <c r="C296" s="1" t="n">
        <v>46040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62653-2025</t>
        </is>
      </c>
      <c r="B297" s="1" t="n">
        <v>46008.41381944445</v>
      </c>
      <c r="C297" s="1" t="n">
        <v>46040</v>
      </c>
      <c r="D297" t="inlineStr">
        <is>
          <t>NORRBOTTENS LÄN</t>
        </is>
      </c>
      <c r="E297" t="inlineStr">
        <is>
          <t>ÖVERTORNEÅ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23654-2024</t>
        </is>
      </c>
      <c r="B298" s="1" t="n">
        <v>45454.54755787037</v>
      </c>
      <c r="C298" s="1" t="n">
        <v>46040</v>
      </c>
      <c r="D298" t="inlineStr">
        <is>
          <t>NORRBOTTENS LÄN</t>
        </is>
      </c>
      <c r="E298" t="inlineStr">
        <is>
          <t>ÖVERTORNEÅ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54399-2025</t>
        </is>
      </c>
      <c r="B299" s="1" t="n">
        <v>45965.45206018518</v>
      </c>
      <c r="C299" s="1" t="n">
        <v>46040</v>
      </c>
      <c r="D299" t="inlineStr">
        <is>
          <t>NORRBOTTENS LÄN</t>
        </is>
      </c>
      <c r="E299" t="inlineStr">
        <is>
          <t>ÖVERTORNEÅ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62321-2025</t>
        </is>
      </c>
      <c r="B300" s="1" t="n">
        <v>46006</v>
      </c>
      <c r="C300" s="1" t="n">
        <v>46040</v>
      </c>
      <c r="D300" t="inlineStr">
        <is>
          <t>NORRBOTTENS LÄN</t>
        </is>
      </c>
      <c r="E300" t="inlineStr">
        <is>
          <t>ÖVERTORNEÅ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54369-2025</t>
        </is>
      </c>
      <c r="B301" s="1" t="n">
        <v>45965.40596064815</v>
      </c>
      <c r="C301" s="1" t="n">
        <v>46040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54389-2025</t>
        </is>
      </c>
      <c r="B302" s="1" t="n">
        <v>45965.43809027778</v>
      </c>
      <c r="C302" s="1" t="n">
        <v>46040</v>
      </c>
      <c r="D302" t="inlineStr">
        <is>
          <t>NORRBOTTENS LÄN</t>
        </is>
      </c>
      <c r="E302" t="inlineStr">
        <is>
          <t>ÖVERTORNEÅ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54330-2025</t>
        </is>
      </c>
      <c r="B303" s="1" t="n">
        <v>45965</v>
      </c>
      <c r="C303" s="1" t="n">
        <v>46040</v>
      </c>
      <c r="D303" t="inlineStr">
        <is>
          <t>NORRBOTTENS LÄN</t>
        </is>
      </c>
      <c r="E303" t="inlineStr">
        <is>
          <t>ÖVERTORNEÅ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54384-2025</t>
        </is>
      </c>
      <c r="B304" s="1" t="n">
        <v>45965</v>
      </c>
      <c r="C304" s="1" t="n">
        <v>46040</v>
      </c>
      <c r="D304" t="inlineStr">
        <is>
          <t>NORRBOTTENS LÄN</t>
        </is>
      </c>
      <c r="E304" t="inlineStr">
        <is>
          <t>ÖVERTORNEÅ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62658-2025</t>
        </is>
      </c>
      <c r="B305" s="1" t="n">
        <v>46008.42078703704</v>
      </c>
      <c r="C305" s="1" t="n">
        <v>46040</v>
      </c>
      <c r="D305" t="inlineStr">
        <is>
          <t>NORRBOTTENS LÄN</t>
        </is>
      </c>
      <c r="E305" t="inlineStr">
        <is>
          <t>ÖVERTORNEÅ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35218-2022</t>
        </is>
      </c>
      <c r="B306" s="1" t="n">
        <v>44797.92704861111</v>
      </c>
      <c r="C306" s="1" t="n">
        <v>46040</v>
      </c>
      <c r="D306" t="inlineStr">
        <is>
          <t>NORRBOTTENS LÄN</t>
        </is>
      </c>
      <c r="E306" t="inlineStr">
        <is>
          <t>ÖVERTORNEÅ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23196-2024</t>
        </is>
      </c>
      <c r="B307" s="1" t="n">
        <v>45451.42575231481</v>
      </c>
      <c r="C307" s="1" t="n">
        <v>46040</v>
      </c>
      <c r="D307" t="inlineStr">
        <is>
          <t>NORRBOTTENS LÄN</t>
        </is>
      </c>
      <c r="E307" t="inlineStr">
        <is>
          <t>ÖVERTORNEÅ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46026-2021</t>
        </is>
      </c>
      <c r="B308" s="1" t="n">
        <v>44441.92107638889</v>
      </c>
      <c r="C308" s="1" t="n">
        <v>46040</v>
      </c>
      <c r="D308" t="inlineStr">
        <is>
          <t>NORRBOTTENS LÄN</t>
        </is>
      </c>
      <c r="E308" t="inlineStr">
        <is>
          <t>ÖVERTORNEÅ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46035-2021</t>
        </is>
      </c>
      <c r="B309" s="1" t="n">
        <v>44441</v>
      </c>
      <c r="C309" s="1" t="n">
        <v>46040</v>
      </c>
      <c r="D309" t="inlineStr">
        <is>
          <t>NORRBOTTENS LÄN</t>
        </is>
      </c>
      <c r="E309" t="inlineStr">
        <is>
          <t>ÖVERTORNEÅ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55556-2024</t>
        </is>
      </c>
      <c r="B310" s="1" t="n">
        <v>45622.51945601852</v>
      </c>
      <c r="C310" s="1" t="n">
        <v>46040</v>
      </c>
      <c r="D310" t="inlineStr">
        <is>
          <t>NORRBOTTENS LÄN</t>
        </is>
      </c>
      <c r="E310" t="inlineStr">
        <is>
          <t>ÖVERTORNEÅ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55559-2024</t>
        </is>
      </c>
      <c r="B311" s="1" t="n">
        <v>45622.52678240741</v>
      </c>
      <c r="C311" s="1" t="n">
        <v>46040</v>
      </c>
      <c r="D311" t="inlineStr">
        <is>
          <t>NORRBOTTENS LÄN</t>
        </is>
      </c>
      <c r="E311" t="inlineStr">
        <is>
          <t>ÖVERTORNEÅ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62669-2025</t>
        </is>
      </c>
      <c r="B312" s="1" t="n">
        <v>46008.44494212963</v>
      </c>
      <c r="C312" s="1" t="n">
        <v>46040</v>
      </c>
      <c r="D312" t="inlineStr">
        <is>
          <t>NORRBOTTENS LÄN</t>
        </is>
      </c>
      <c r="E312" t="inlineStr">
        <is>
          <t>ÖVERTORNEÅ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62786-2025</t>
        </is>
      </c>
      <c r="B313" s="1" t="n">
        <v>46008.61619212963</v>
      </c>
      <c r="C313" s="1" t="n">
        <v>46040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54394-2025</t>
        </is>
      </c>
      <c r="B314" s="1" t="n">
        <v>45965.44827546296</v>
      </c>
      <c r="C314" s="1" t="n">
        <v>46040</v>
      </c>
      <c r="D314" t="inlineStr">
        <is>
          <t>NORRBOTTENS LÄN</t>
        </is>
      </c>
      <c r="E314" t="inlineStr">
        <is>
          <t>ÖVERTORNEÅ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2433-2025</t>
        </is>
      </c>
      <c r="B315" s="1" t="n">
        <v>45673</v>
      </c>
      <c r="C315" s="1" t="n">
        <v>46040</v>
      </c>
      <c r="D315" t="inlineStr">
        <is>
          <t>NORRBOTTENS LÄN</t>
        </is>
      </c>
      <c r="E315" t="inlineStr">
        <is>
          <t>ÖVERTORNEÅ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63174-2025</t>
        </is>
      </c>
      <c r="B316" s="1" t="n">
        <v>46010.40686342592</v>
      </c>
      <c r="C316" s="1" t="n">
        <v>46040</v>
      </c>
      <c r="D316" t="inlineStr">
        <is>
          <t>NORRBOTTENS LÄN</t>
        </is>
      </c>
      <c r="E316" t="inlineStr">
        <is>
          <t>ÖVERTORNEÅ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14591-2024</t>
        </is>
      </c>
      <c r="B317" s="1" t="n">
        <v>45395.42256944445</v>
      </c>
      <c r="C317" s="1" t="n">
        <v>46040</v>
      </c>
      <c r="D317" t="inlineStr">
        <is>
          <t>NORRBOTTENS LÄN</t>
        </is>
      </c>
      <c r="E317" t="inlineStr">
        <is>
          <t>ÖVERTORNEÅ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15201-2023</t>
        </is>
      </c>
      <c r="B318" s="1" t="n">
        <v>45017.71431712963</v>
      </c>
      <c r="C318" s="1" t="n">
        <v>46040</v>
      </c>
      <c r="D318" t="inlineStr">
        <is>
          <t>NORRBOTTENS LÄN</t>
        </is>
      </c>
      <c r="E318" t="inlineStr">
        <is>
          <t>ÖVERTORNEÅ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37958-2025</t>
        </is>
      </c>
      <c r="B319" s="1" t="n">
        <v>45881.64761574074</v>
      </c>
      <c r="C319" s="1" t="n">
        <v>46040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16.3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855-2024</t>
        </is>
      </c>
      <c r="B320" s="1" t="n">
        <v>45300.93476851852</v>
      </c>
      <c r="C320" s="1" t="n">
        <v>46040</v>
      </c>
      <c r="D320" t="inlineStr">
        <is>
          <t>NORRBOTTENS LÄN</t>
        </is>
      </c>
      <c r="E320" t="inlineStr">
        <is>
          <t>ÖVERTORNEÅ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41030-2024</t>
        </is>
      </c>
      <c r="B321" s="1" t="n">
        <v>45559</v>
      </c>
      <c r="C321" s="1" t="n">
        <v>46040</v>
      </c>
      <c r="D321" t="inlineStr">
        <is>
          <t>NORRBOTTENS LÄN</t>
        </is>
      </c>
      <c r="E321" t="inlineStr">
        <is>
          <t>ÖVERTORNEÅ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39775-2023</t>
        </is>
      </c>
      <c r="B322" s="1" t="n">
        <v>45167</v>
      </c>
      <c r="C322" s="1" t="n">
        <v>46040</v>
      </c>
      <c r="D322" t="inlineStr">
        <is>
          <t>NORRBOTTENS LÄN</t>
        </is>
      </c>
      <c r="E322" t="inlineStr">
        <is>
          <t>ÖVERTORNEÅ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34142-2023</t>
        </is>
      </c>
      <c r="B323" s="1" t="n">
        <v>45136.43844907408</v>
      </c>
      <c r="C323" s="1" t="n">
        <v>46040</v>
      </c>
      <c r="D323" t="inlineStr">
        <is>
          <t>NORRBOTTENS LÄN</t>
        </is>
      </c>
      <c r="E323" t="inlineStr">
        <is>
          <t>ÖVERTORNEÅ</t>
        </is>
      </c>
      <c r="G323" t="n">
        <v>22.5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63474-2025</t>
        </is>
      </c>
      <c r="B324" s="1" t="n">
        <v>46013.44413194444</v>
      </c>
      <c r="C324" s="1" t="n">
        <v>46040</v>
      </c>
      <c r="D324" t="inlineStr">
        <is>
          <t>NORRBOTTENS LÄN</t>
        </is>
      </c>
      <c r="E324" t="inlineStr">
        <is>
          <t>ÖVERTORNEÅ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23014-2024</t>
        </is>
      </c>
      <c r="B325" s="1" t="n">
        <v>45449</v>
      </c>
      <c r="C325" s="1" t="n">
        <v>46040</v>
      </c>
      <c r="D325" t="inlineStr">
        <is>
          <t>NORRBOTTENS LÄN</t>
        </is>
      </c>
      <c r="E325" t="inlineStr">
        <is>
          <t>ÖVERTORNEÅ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34145-2023</t>
        </is>
      </c>
      <c r="B326" s="1" t="n">
        <v>45136</v>
      </c>
      <c r="C326" s="1" t="n">
        <v>46040</v>
      </c>
      <c r="D326" t="inlineStr">
        <is>
          <t>NORRBOTTENS LÄN</t>
        </is>
      </c>
      <c r="E326" t="inlineStr">
        <is>
          <t>ÖVERTORNEÅ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16006-2024</t>
        </is>
      </c>
      <c r="B327" s="1" t="n">
        <v>45405</v>
      </c>
      <c r="C327" s="1" t="n">
        <v>46040</v>
      </c>
      <c r="D327" t="inlineStr">
        <is>
          <t>NORRBOTTENS LÄN</t>
        </is>
      </c>
      <c r="E327" t="inlineStr">
        <is>
          <t>ÖVERTORNEÅ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55430-2025</t>
        </is>
      </c>
      <c r="B328" s="1" t="n">
        <v>45971.48008101852</v>
      </c>
      <c r="C328" s="1" t="n">
        <v>46040</v>
      </c>
      <c r="D328" t="inlineStr">
        <is>
          <t>NORRBOTTENS LÄN</t>
        </is>
      </c>
      <c r="E328" t="inlineStr">
        <is>
          <t>ÖVERTORNEÅ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14298-2023</t>
        </is>
      </c>
      <c r="B329" s="1" t="n">
        <v>45011</v>
      </c>
      <c r="C329" s="1" t="n">
        <v>46040</v>
      </c>
      <c r="D329" t="inlineStr">
        <is>
          <t>NORRBOTTENS LÄN</t>
        </is>
      </c>
      <c r="E329" t="inlineStr">
        <is>
          <t>ÖVERTORNEÅ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56025-2025</t>
        </is>
      </c>
      <c r="B330" s="1" t="n">
        <v>45973.59859953704</v>
      </c>
      <c r="C330" s="1" t="n">
        <v>46040</v>
      </c>
      <c r="D330" t="inlineStr">
        <is>
          <t>NORRBOTTENS LÄN</t>
        </is>
      </c>
      <c r="E330" t="inlineStr">
        <is>
          <t>ÖVERTORNEÅ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56334-2025</t>
        </is>
      </c>
      <c r="B331" s="1" t="n">
        <v>45974.64328703703</v>
      </c>
      <c r="C331" s="1" t="n">
        <v>46040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61040-2022</t>
        </is>
      </c>
      <c r="B332" s="1" t="n">
        <v>44914.92462962963</v>
      </c>
      <c r="C332" s="1" t="n">
        <v>46040</v>
      </c>
      <c r="D332" t="inlineStr">
        <is>
          <t>NORRBOTTENS LÄN</t>
        </is>
      </c>
      <c r="E332" t="inlineStr">
        <is>
          <t>ÖVERTORNEÅ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32738-2024</t>
        </is>
      </c>
      <c r="B333" s="1" t="n">
        <v>45516.43415509259</v>
      </c>
      <c r="C333" s="1" t="n">
        <v>46040</v>
      </c>
      <c r="D333" t="inlineStr">
        <is>
          <t>NORRBOTTENS LÄN</t>
        </is>
      </c>
      <c r="E333" t="inlineStr">
        <is>
          <t>ÖVERTORNEÅ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56952-2025</t>
        </is>
      </c>
      <c r="B334" s="1" t="n">
        <v>45978.65111111111</v>
      </c>
      <c r="C334" s="1" t="n">
        <v>46040</v>
      </c>
      <c r="D334" t="inlineStr">
        <is>
          <t>NORRBOTTENS LÄN</t>
        </is>
      </c>
      <c r="E334" t="inlineStr">
        <is>
          <t>ÖVERTORNEÅ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8514-2024</t>
        </is>
      </c>
      <c r="B335" s="1" t="n">
        <v>45351</v>
      </c>
      <c r="C335" s="1" t="n">
        <v>46040</v>
      </c>
      <c r="D335" t="inlineStr">
        <is>
          <t>NORRBOTTENS LÄN</t>
        </is>
      </c>
      <c r="E335" t="inlineStr">
        <is>
          <t>ÖVERTORNEÅ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12005-2022</t>
        </is>
      </c>
      <c r="B336" s="1" t="n">
        <v>44635</v>
      </c>
      <c r="C336" s="1" t="n">
        <v>46040</v>
      </c>
      <c r="D336" t="inlineStr">
        <is>
          <t>NORRBOTTENS LÄN</t>
        </is>
      </c>
      <c r="E336" t="inlineStr">
        <is>
          <t>ÖVERTORNEÅ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41918-2024</t>
        </is>
      </c>
      <c r="B337" s="1" t="n">
        <v>45561.55271990741</v>
      </c>
      <c r="C337" s="1" t="n">
        <v>46040</v>
      </c>
      <c r="D337" t="inlineStr">
        <is>
          <t>NORRBOTTENS LÄN</t>
        </is>
      </c>
      <c r="E337" t="inlineStr">
        <is>
          <t>ÖVERTORNEÅ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12202-2025</t>
        </is>
      </c>
      <c r="B338" s="1" t="n">
        <v>45729.49564814815</v>
      </c>
      <c r="C338" s="1" t="n">
        <v>46040</v>
      </c>
      <c r="D338" t="inlineStr">
        <is>
          <t>NORRBOTTENS LÄN</t>
        </is>
      </c>
      <c r="E338" t="inlineStr">
        <is>
          <t>ÖVERTORNEÅ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16000-2024</t>
        </is>
      </c>
      <c r="B339" s="1" t="n">
        <v>45405</v>
      </c>
      <c r="C339" s="1" t="n">
        <v>46040</v>
      </c>
      <c r="D339" t="inlineStr">
        <is>
          <t>NORRBOTTENS LÄN</t>
        </is>
      </c>
      <c r="E339" t="inlineStr">
        <is>
          <t>ÖVERTORNEÅ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4274-2025</t>
        </is>
      </c>
      <c r="B340" s="1" t="n">
        <v>45685</v>
      </c>
      <c r="C340" s="1" t="n">
        <v>46040</v>
      </c>
      <c r="D340" t="inlineStr">
        <is>
          <t>NORRBOTTENS LÄN</t>
        </is>
      </c>
      <c r="E340" t="inlineStr">
        <is>
          <t>ÖVERTORNEÅ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62390-2022</t>
        </is>
      </c>
      <c r="B341" s="1" t="n">
        <v>44923.76341435185</v>
      </c>
      <c r="C341" s="1" t="n">
        <v>46040</v>
      </c>
      <c r="D341" t="inlineStr">
        <is>
          <t>NORRBOTTENS LÄN</t>
        </is>
      </c>
      <c r="E341" t="inlineStr">
        <is>
          <t>ÖVERTORNEÅ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40589-2024</t>
        </is>
      </c>
      <c r="B342" s="1" t="n">
        <v>45555.80734953703</v>
      </c>
      <c r="C342" s="1" t="n">
        <v>46040</v>
      </c>
      <c r="D342" t="inlineStr">
        <is>
          <t>NORRBOTTENS LÄN</t>
        </is>
      </c>
      <c r="E342" t="inlineStr">
        <is>
          <t>ÖVERTORNEÅ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60385-2022</t>
        </is>
      </c>
      <c r="B343" s="1" t="n">
        <v>44910.79755787037</v>
      </c>
      <c r="C343" s="1" t="n">
        <v>46040</v>
      </c>
      <c r="D343" t="inlineStr">
        <is>
          <t>NORRBOTTENS LÄN</t>
        </is>
      </c>
      <c r="E343" t="inlineStr">
        <is>
          <t>ÖVERTORNEÅ</t>
        </is>
      </c>
      <c r="G343" t="n">
        <v>17.2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45431-2024</t>
        </is>
      </c>
      <c r="B344" s="1" t="n">
        <v>45576</v>
      </c>
      <c r="C344" s="1" t="n">
        <v>46040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21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47019-2024</t>
        </is>
      </c>
      <c r="B345" s="1" t="n">
        <v>45586.39640046296</v>
      </c>
      <c r="C345" s="1" t="n">
        <v>46040</v>
      </c>
      <c r="D345" t="inlineStr">
        <is>
          <t>NORRBOTTENS LÄN</t>
        </is>
      </c>
      <c r="E345" t="inlineStr">
        <is>
          <t>ÖVERTORNEÅ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19845-2021</t>
        </is>
      </c>
      <c r="B346" s="1" t="n">
        <v>44312</v>
      </c>
      <c r="C346" s="1" t="n">
        <v>46040</v>
      </c>
      <c r="D346" t="inlineStr">
        <is>
          <t>NORRBOTTENS LÄN</t>
        </is>
      </c>
      <c r="E346" t="inlineStr">
        <is>
          <t>ÖVERTORNEÅ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48037-2024</t>
        </is>
      </c>
      <c r="B347" s="1" t="n">
        <v>45589.49346064815</v>
      </c>
      <c r="C347" s="1" t="n">
        <v>46040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Kommuner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44869-2024</t>
        </is>
      </c>
      <c r="B348" s="1" t="n">
        <v>45575.33265046297</v>
      </c>
      <c r="C348" s="1" t="n">
        <v>46040</v>
      </c>
      <c r="D348" t="inlineStr">
        <is>
          <t>NORRBOTTENS LÄN</t>
        </is>
      </c>
      <c r="E348" t="inlineStr">
        <is>
          <t>ÖVERTORNEÅ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4011-2022</t>
        </is>
      </c>
      <c r="B349" s="1" t="n">
        <v>44587</v>
      </c>
      <c r="C349" s="1" t="n">
        <v>46040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Kommuner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44431-2024</t>
        </is>
      </c>
      <c r="B350" s="1" t="n">
        <v>45574.27649305556</v>
      </c>
      <c r="C350" s="1" t="n">
        <v>46040</v>
      </c>
      <c r="D350" t="inlineStr">
        <is>
          <t>NORRBOTTENS LÄN</t>
        </is>
      </c>
      <c r="E350" t="inlineStr">
        <is>
          <t>ÖVERTORNEÅ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64554-2023</t>
        </is>
      </c>
      <c r="B351" s="1" t="n">
        <v>45281.40275462963</v>
      </c>
      <c r="C351" s="1" t="n">
        <v>46040</v>
      </c>
      <c r="D351" t="inlineStr">
        <is>
          <t>NORRBOTTENS LÄN</t>
        </is>
      </c>
      <c r="E351" t="inlineStr">
        <is>
          <t>ÖVERTORNEÅ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45698-2024</t>
        </is>
      </c>
      <c r="B352" s="1" t="n">
        <v>45579</v>
      </c>
      <c r="C352" s="1" t="n">
        <v>46040</v>
      </c>
      <c r="D352" t="inlineStr">
        <is>
          <t>NORRBOTTENS LÄN</t>
        </is>
      </c>
      <c r="E352" t="inlineStr">
        <is>
          <t>ÖVERTORNEÅ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40274-2024</t>
        </is>
      </c>
      <c r="B353" s="1" t="n">
        <v>45554</v>
      </c>
      <c r="C353" s="1" t="n">
        <v>46040</v>
      </c>
      <c r="D353" t="inlineStr">
        <is>
          <t>NORRBOTTENS LÄN</t>
        </is>
      </c>
      <c r="E353" t="inlineStr">
        <is>
          <t>ÖVERTORNEÅ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49157-2022</t>
        </is>
      </c>
      <c r="B354" s="1" t="n">
        <v>44860</v>
      </c>
      <c r="C354" s="1" t="n">
        <v>46040</v>
      </c>
      <c r="D354" t="inlineStr">
        <is>
          <t>NORRBOTTENS LÄN</t>
        </is>
      </c>
      <c r="E354" t="inlineStr">
        <is>
          <t>ÖVERTORNEÅ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43487-2021</t>
        </is>
      </c>
      <c r="B355" s="1" t="n">
        <v>44432.92236111111</v>
      </c>
      <c r="C355" s="1" t="n">
        <v>46040</v>
      </c>
      <c r="D355" t="inlineStr">
        <is>
          <t>NORRBOTTENS LÄN</t>
        </is>
      </c>
      <c r="E355" t="inlineStr">
        <is>
          <t>ÖVERTORNEÅ</t>
        </is>
      </c>
      <c r="G355" t="n">
        <v>22.5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58536-2024</t>
        </is>
      </c>
      <c r="B356" s="1" t="n">
        <v>45635.45011574074</v>
      </c>
      <c r="C356" s="1" t="n">
        <v>46040</v>
      </c>
      <c r="D356" t="inlineStr">
        <is>
          <t>NORRBOTTENS LÄN</t>
        </is>
      </c>
      <c r="E356" t="inlineStr">
        <is>
          <t>ÖVERTORNEÅ</t>
        </is>
      </c>
      <c r="G356" t="n">
        <v>14.9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34992-2023</t>
        </is>
      </c>
      <c r="B357" s="1" t="n">
        <v>45142.92356481482</v>
      </c>
      <c r="C357" s="1" t="n">
        <v>46040</v>
      </c>
      <c r="D357" t="inlineStr">
        <is>
          <t>NORRBOTTENS LÄN</t>
        </is>
      </c>
      <c r="E357" t="inlineStr">
        <is>
          <t>ÖVERTORNEÅ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24656-2024</t>
        </is>
      </c>
      <c r="B358" s="1" t="n">
        <v>45460</v>
      </c>
      <c r="C358" s="1" t="n">
        <v>46040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13842-2024</t>
        </is>
      </c>
      <c r="B359" s="1" t="n">
        <v>45390</v>
      </c>
      <c r="C359" s="1" t="n">
        <v>46040</v>
      </c>
      <c r="D359" t="inlineStr">
        <is>
          <t>NORRBOTTENS LÄN</t>
        </is>
      </c>
      <c r="E359" t="inlineStr">
        <is>
          <t>ÖVERTORNEÅ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39141-2024</t>
        </is>
      </c>
      <c r="B360" s="1" t="n">
        <v>45548.61486111111</v>
      </c>
      <c r="C360" s="1" t="n">
        <v>46040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14826-2024</t>
        </is>
      </c>
      <c r="B361" s="1" t="n">
        <v>45398.34453703704</v>
      </c>
      <c r="C361" s="1" t="n">
        <v>46040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50807-2023</t>
        </is>
      </c>
      <c r="B362" s="1" t="n">
        <v>45217</v>
      </c>
      <c r="C362" s="1" t="n">
        <v>46040</v>
      </c>
      <c r="D362" t="inlineStr">
        <is>
          <t>NORRBOTTENS LÄN</t>
        </is>
      </c>
      <c r="E362" t="inlineStr">
        <is>
          <t>ÖVERTORNEÅ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30647-2023</t>
        </is>
      </c>
      <c r="B363" s="1" t="n">
        <v>45112.47622685185</v>
      </c>
      <c r="C363" s="1" t="n">
        <v>46040</v>
      </c>
      <c r="D363" t="inlineStr">
        <is>
          <t>NORRBOTTENS LÄN</t>
        </is>
      </c>
      <c r="E363" t="inlineStr">
        <is>
          <t>ÖVERTORNEÅ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30651-2023</t>
        </is>
      </c>
      <c r="B364" s="1" t="n">
        <v>45112.47864583333</v>
      </c>
      <c r="C364" s="1" t="n">
        <v>46040</v>
      </c>
      <c r="D364" t="inlineStr">
        <is>
          <t>NORRBOTTENS LÄN</t>
        </is>
      </c>
      <c r="E364" t="inlineStr">
        <is>
          <t>ÖVERTORNEÅ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31774-2022</t>
        </is>
      </c>
      <c r="B365" s="1" t="n">
        <v>44776</v>
      </c>
      <c r="C365" s="1" t="n">
        <v>46040</v>
      </c>
      <c r="D365" t="inlineStr">
        <is>
          <t>NORRBOTTENS LÄN</t>
        </is>
      </c>
      <c r="E365" t="inlineStr">
        <is>
          <t>ÖVERTORNEÅ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26209-2024</t>
        </is>
      </c>
      <c r="B366" s="1" t="n">
        <v>45467</v>
      </c>
      <c r="C366" s="1" t="n">
        <v>46040</v>
      </c>
      <c r="D366" t="inlineStr">
        <is>
          <t>NORRBOTTENS LÄN</t>
        </is>
      </c>
      <c r="E366" t="inlineStr">
        <is>
          <t>ÖVERTORNEÅ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33572-2024</t>
        </is>
      </c>
      <c r="B367" s="1" t="n">
        <v>45520</v>
      </c>
      <c r="C367" s="1" t="n">
        <v>46040</v>
      </c>
      <c r="D367" t="inlineStr">
        <is>
          <t>NORRBOTTENS LÄN</t>
        </is>
      </c>
      <c r="E367" t="inlineStr">
        <is>
          <t>ÖVERTORNEÅ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16112-2021</t>
        </is>
      </c>
      <c r="B368" s="1" t="n">
        <v>44291</v>
      </c>
      <c r="C368" s="1" t="n">
        <v>46040</v>
      </c>
      <c r="D368" t="inlineStr">
        <is>
          <t>NORRBOTTENS LÄN</t>
        </is>
      </c>
      <c r="E368" t="inlineStr">
        <is>
          <t>ÖVERTORNEÅ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6593-2022</t>
        </is>
      </c>
      <c r="B369" s="1" t="n">
        <v>44601</v>
      </c>
      <c r="C369" s="1" t="n">
        <v>46040</v>
      </c>
      <c r="D369" t="inlineStr">
        <is>
          <t>NORRBOTTENS LÄN</t>
        </is>
      </c>
      <c r="E369" t="inlineStr">
        <is>
          <t>ÖVERTORNEÅ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46024-2021</t>
        </is>
      </c>
      <c r="B370" s="1" t="n">
        <v>44441</v>
      </c>
      <c r="C370" s="1" t="n">
        <v>46040</v>
      </c>
      <c r="D370" t="inlineStr">
        <is>
          <t>NORRBOTTENS LÄN</t>
        </is>
      </c>
      <c r="E370" t="inlineStr">
        <is>
          <t>ÖVERTORNEÅ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48780-2021</t>
        </is>
      </c>
      <c r="B371" s="1" t="n">
        <v>44452</v>
      </c>
      <c r="C371" s="1" t="n">
        <v>46040</v>
      </c>
      <c r="D371" t="inlineStr">
        <is>
          <t>NORRBOTTENS LÄN</t>
        </is>
      </c>
      <c r="E371" t="inlineStr">
        <is>
          <t>ÖVERTORNEÅ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20173-2025</t>
        </is>
      </c>
      <c r="B372" s="1" t="n">
        <v>45772</v>
      </c>
      <c r="C372" s="1" t="n">
        <v>46040</v>
      </c>
      <c r="D372" t="inlineStr">
        <is>
          <t>NORRBOTTENS LÄN</t>
        </is>
      </c>
      <c r="E372" t="inlineStr">
        <is>
          <t>ÖVERTORNEÅ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8476-2024</t>
        </is>
      </c>
      <c r="B373" s="1" t="n">
        <v>45351</v>
      </c>
      <c r="C373" s="1" t="n">
        <v>46040</v>
      </c>
      <c r="D373" t="inlineStr">
        <is>
          <t>NORRBOTTENS LÄN</t>
        </is>
      </c>
      <c r="E373" t="inlineStr">
        <is>
          <t>ÖVERTORNEÅ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26556-2023</t>
        </is>
      </c>
      <c r="B374" s="1" t="n">
        <v>45092</v>
      </c>
      <c r="C374" s="1" t="n">
        <v>46040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60515-2022</t>
        </is>
      </c>
      <c r="B375" s="1" t="n">
        <v>44911.45668981481</v>
      </c>
      <c r="C375" s="1" t="n">
        <v>46040</v>
      </c>
      <c r="D375" t="inlineStr">
        <is>
          <t>NORRBOTTENS LÄN</t>
        </is>
      </c>
      <c r="E375" t="inlineStr">
        <is>
          <t>ÖVERTORNEÅ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56734-2024</t>
        </is>
      </c>
      <c r="B376" s="1" t="n">
        <v>45628</v>
      </c>
      <c r="C376" s="1" t="n">
        <v>46040</v>
      </c>
      <c r="D376" t="inlineStr">
        <is>
          <t>NORRBOTTENS LÄN</t>
        </is>
      </c>
      <c r="E376" t="inlineStr">
        <is>
          <t>ÖVERTORNEÅ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55455-2024</t>
        </is>
      </c>
      <c r="B377" s="1" t="n">
        <v>45622.42421296296</v>
      </c>
      <c r="C377" s="1" t="n">
        <v>46040</v>
      </c>
      <c r="D377" t="inlineStr">
        <is>
          <t>NORRBOTTENS LÄN</t>
        </is>
      </c>
      <c r="E377" t="inlineStr">
        <is>
          <t>ÖVERTORNEÅ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19401-2021</t>
        </is>
      </c>
      <c r="B378" s="1" t="n">
        <v>44309.91943287037</v>
      </c>
      <c r="C378" s="1" t="n">
        <v>46040</v>
      </c>
      <c r="D378" t="inlineStr">
        <is>
          <t>NORRBOTTENS LÄN</t>
        </is>
      </c>
      <c r="E378" t="inlineStr">
        <is>
          <t>ÖVERTORNEÅ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35220-2022</t>
        </is>
      </c>
      <c r="B379" s="1" t="n">
        <v>44797.92714120371</v>
      </c>
      <c r="C379" s="1" t="n">
        <v>46040</v>
      </c>
      <c r="D379" t="inlineStr">
        <is>
          <t>NORRBOTTENS LÄN</t>
        </is>
      </c>
      <c r="E379" t="inlineStr">
        <is>
          <t>ÖVERTORNEÅ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51274-2024</t>
        </is>
      </c>
      <c r="B380" s="1" t="n">
        <v>45602</v>
      </c>
      <c r="C380" s="1" t="n">
        <v>46040</v>
      </c>
      <c r="D380" t="inlineStr">
        <is>
          <t>NORRBOTTENS LÄN</t>
        </is>
      </c>
      <c r="E380" t="inlineStr">
        <is>
          <t>ÖVERTORNEÅ</t>
        </is>
      </c>
      <c r="G380" t="n">
        <v>15.2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61782-2022</t>
        </is>
      </c>
      <c r="B381" s="1" t="n">
        <v>44917</v>
      </c>
      <c r="C381" s="1" t="n">
        <v>46040</v>
      </c>
      <c r="D381" t="inlineStr">
        <is>
          <t>NORRBOTTENS LÄN</t>
        </is>
      </c>
      <c r="E381" t="inlineStr">
        <is>
          <t>ÖVERTORNEÅ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16452-2024</t>
        </is>
      </c>
      <c r="B382" s="1" t="n">
        <v>45407.97059027778</v>
      </c>
      <c r="C382" s="1" t="n">
        <v>46040</v>
      </c>
      <c r="D382" t="inlineStr">
        <is>
          <t>NORRBOTTENS LÄN</t>
        </is>
      </c>
      <c r="E382" t="inlineStr">
        <is>
          <t>ÖVERTORNEÅ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60462-2024</t>
        </is>
      </c>
      <c r="B383" s="1" t="n">
        <v>45643</v>
      </c>
      <c r="C383" s="1" t="n">
        <v>46040</v>
      </c>
      <c r="D383" t="inlineStr">
        <is>
          <t>NORRBOTTENS LÄN</t>
        </is>
      </c>
      <c r="E383" t="inlineStr">
        <is>
          <t>ÖVERTORNEÅ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58096-2024</t>
        </is>
      </c>
      <c r="B384" s="1" t="n">
        <v>45632.36008101852</v>
      </c>
      <c r="C384" s="1" t="n">
        <v>46040</v>
      </c>
      <c r="D384" t="inlineStr">
        <is>
          <t>NORRBOTTENS LÄN</t>
        </is>
      </c>
      <c r="E384" t="inlineStr">
        <is>
          <t>ÖVERTORNEÅ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32681-2024</t>
        </is>
      </c>
      <c r="B385" s="1" t="n">
        <v>45515</v>
      </c>
      <c r="C385" s="1" t="n">
        <v>46040</v>
      </c>
      <c r="D385" t="inlineStr">
        <is>
          <t>NORRBOTTENS LÄN</t>
        </is>
      </c>
      <c r="E385" t="inlineStr">
        <is>
          <t>ÖVERTORNEÅ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34143-2023</t>
        </is>
      </c>
      <c r="B386" s="1" t="n">
        <v>45136</v>
      </c>
      <c r="C386" s="1" t="n">
        <v>46040</v>
      </c>
      <c r="D386" t="inlineStr">
        <is>
          <t>NORRBOTTENS LÄN</t>
        </is>
      </c>
      <c r="E386" t="inlineStr">
        <is>
          <t>ÖVERTORNEÅ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34144-2023</t>
        </is>
      </c>
      <c r="B387" s="1" t="n">
        <v>45136.45347222222</v>
      </c>
      <c r="C387" s="1" t="n">
        <v>46040</v>
      </c>
      <c r="D387" t="inlineStr">
        <is>
          <t>NORRBOTTENS LÄN</t>
        </is>
      </c>
      <c r="E387" t="inlineStr">
        <is>
          <t>ÖVERTORNEÅ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58386-2024</t>
        </is>
      </c>
      <c r="B388" s="1" t="n">
        <v>45633</v>
      </c>
      <c r="C388" s="1" t="n">
        <v>46040</v>
      </c>
      <c r="D388" t="inlineStr">
        <is>
          <t>NORRBOTTENS LÄN</t>
        </is>
      </c>
      <c r="E388" t="inlineStr">
        <is>
          <t>ÖVERTORNEÅ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24666-2024</t>
        </is>
      </c>
      <c r="B389" s="1" t="n">
        <v>45460</v>
      </c>
      <c r="C389" s="1" t="n">
        <v>46040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Sveaskog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33323-2023</t>
        </is>
      </c>
      <c r="B390" s="1" t="n">
        <v>45127.92231481482</v>
      </c>
      <c r="C390" s="1" t="n">
        <v>46040</v>
      </c>
      <c r="D390" t="inlineStr">
        <is>
          <t>NORRBOTTENS LÄN</t>
        </is>
      </c>
      <c r="E390" t="inlineStr">
        <is>
          <t>ÖVERTORNEÅ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44540-2024</t>
        </is>
      </c>
      <c r="B391" s="1" t="n">
        <v>45574.45646990741</v>
      </c>
      <c r="C391" s="1" t="n">
        <v>46040</v>
      </c>
      <c r="D391" t="inlineStr">
        <is>
          <t>NORRBOTTENS LÄN</t>
        </is>
      </c>
      <c r="E391" t="inlineStr">
        <is>
          <t>ÖVERTORNEÅ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1319-2025</t>
        </is>
      </c>
      <c r="B392" s="1" t="n">
        <v>45667</v>
      </c>
      <c r="C392" s="1" t="n">
        <v>46040</v>
      </c>
      <c r="D392" t="inlineStr">
        <is>
          <t>NORRBOTTENS LÄN</t>
        </is>
      </c>
      <c r="E392" t="inlineStr">
        <is>
          <t>ÖVERTORNEÅ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28928-2024</t>
        </is>
      </c>
      <c r="B393" s="1" t="n">
        <v>45481</v>
      </c>
      <c r="C393" s="1" t="n">
        <v>46040</v>
      </c>
      <c r="D393" t="inlineStr">
        <is>
          <t>NORRBOTTENS LÄN</t>
        </is>
      </c>
      <c r="E393" t="inlineStr">
        <is>
          <t>ÖVERTORNEÅ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19051-2024</t>
        </is>
      </c>
      <c r="B394" s="1" t="n">
        <v>45427</v>
      </c>
      <c r="C394" s="1" t="n">
        <v>46040</v>
      </c>
      <c r="D394" t="inlineStr">
        <is>
          <t>NORRBOTTENS LÄN</t>
        </is>
      </c>
      <c r="E394" t="inlineStr">
        <is>
          <t>ÖVERTORNEÅ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1305-2025</t>
        </is>
      </c>
      <c r="B395" s="1" t="n">
        <v>45667.55021990741</v>
      </c>
      <c r="C395" s="1" t="n">
        <v>46040</v>
      </c>
      <c r="D395" t="inlineStr">
        <is>
          <t>NORRBOTTENS LÄN</t>
        </is>
      </c>
      <c r="E395" t="inlineStr">
        <is>
          <t>ÖVERTORNEÅ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51275-2024</t>
        </is>
      </c>
      <c r="B396" s="1" t="n">
        <v>45602</v>
      </c>
      <c r="C396" s="1" t="n">
        <v>46040</v>
      </c>
      <c r="D396" t="inlineStr">
        <is>
          <t>NORRBOTTENS LÄN</t>
        </is>
      </c>
      <c r="E396" t="inlineStr">
        <is>
          <t>ÖVERTORNEÅ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56545-2024</t>
        </is>
      </c>
      <c r="B397" s="1" t="n">
        <v>45625.56842592593</v>
      </c>
      <c r="C397" s="1" t="n">
        <v>46040</v>
      </c>
      <c r="D397" t="inlineStr">
        <is>
          <t>NORRBOTTENS LÄN</t>
        </is>
      </c>
      <c r="E397" t="inlineStr">
        <is>
          <t>ÖVERTORNEÅ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11617-2025</t>
        </is>
      </c>
      <c r="B398" s="1" t="n">
        <v>45727</v>
      </c>
      <c r="C398" s="1" t="n">
        <v>46040</v>
      </c>
      <c r="D398" t="inlineStr">
        <is>
          <t>NORRBOTTENS LÄN</t>
        </is>
      </c>
      <c r="E398" t="inlineStr">
        <is>
          <t>ÖVERTORNEÅ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51674-2024</t>
        </is>
      </c>
      <c r="B399" s="1" t="n">
        <v>45607.29293981481</v>
      </c>
      <c r="C399" s="1" t="n">
        <v>46040</v>
      </c>
      <c r="D399" t="inlineStr">
        <is>
          <t>NORRBOTTENS LÄN</t>
        </is>
      </c>
      <c r="E399" t="inlineStr">
        <is>
          <t>ÖVERTORNEÅ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58394-2024</t>
        </is>
      </c>
      <c r="B400" s="1" t="n">
        <v>45633.96009259259</v>
      </c>
      <c r="C400" s="1" t="n">
        <v>46040</v>
      </c>
      <c r="D400" t="inlineStr">
        <is>
          <t>NORRBOTTENS LÄN</t>
        </is>
      </c>
      <c r="E400" t="inlineStr">
        <is>
          <t>ÖVERTORNEÅ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62076-2024</t>
        </is>
      </c>
      <c r="B401" s="1" t="n">
        <v>45656.41377314815</v>
      </c>
      <c r="C401" s="1" t="n">
        <v>46040</v>
      </c>
      <c r="D401" t="inlineStr">
        <is>
          <t>NORRBOTTENS LÄN</t>
        </is>
      </c>
      <c r="E401" t="inlineStr">
        <is>
          <t>ÖVERTORNEÅ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58545-2024</t>
        </is>
      </c>
      <c r="B402" s="1" t="n">
        <v>45635.45800925926</v>
      </c>
      <c r="C402" s="1" t="n">
        <v>46040</v>
      </c>
      <c r="D402" t="inlineStr">
        <is>
          <t>NORRBOTTENS LÄN</t>
        </is>
      </c>
      <c r="E402" t="inlineStr">
        <is>
          <t>ÖVERTORNEÅ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6790-2025</t>
        </is>
      </c>
      <c r="B403" s="1" t="n">
        <v>45700.6628587963</v>
      </c>
      <c r="C403" s="1" t="n">
        <v>46040</v>
      </c>
      <c r="D403" t="inlineStr">
        <is>
          <t>NORRBOTTENS LÄN</t>
        </is>
      </c>
      <c r="E403" t="inlineStr">
        <is>
          <t>ÖVERTORNEÅ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34402-2023</t>
        </is>
      </c>
      <c r="B404" s="1" t="n">
        <v>45139.54393518518</v>
      </c>
      <c r="C404" s="1" t="n">
        <v>46040</v>
      </c>
      <c r="D404" t="inlineStr">
        <is>
          <t>NORRBOTTENS LÄN</t>
        </is>
      </c>
      <c r="E404" t="inlineStr">
        <is>
          <t>ÖVERTORNEÅ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21544-2024</t>
        </is>
      </c>
      <c r="B405" s="1" t="n">
        <v>45441</v>
      </c>
      <c r="C405" s="1" t="n">
        <v>46040</v>
      </c>
      <c r="D405" t="inlineStr">
        <is>
          <t>NORRBOTTENS LÄN</t>
        </is>
      </c>
      <c r="E405" t="inlineStr">
        <is>
          <t>ÖVERTORNEÅ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33637-2023</t>
        </is>
      </c>
      <c r="B406" s="1" t="n">
        <v>45132.44865740741</v>
      </c>
      <c r="C406" s="1" t="n">
        <v>46040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12532-2024</t>
        </is>
      </c>
      <c r="B407" s="1" t="n">
        <v>45379</v>
      </c>
      <c r="C407" s="1" t="n">
        <v>46040</v>
      </c>
      <c r="D407" t="inlineStr">
        <is>
          <t>NORRBOTTENS LÄN</t>
        </is>
      </c>
      <c r="E407" t="inlineStr">
        <is>
          <t>ÖVERTORNEÅ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24416-2021</t>
        </is>
      </c>
      <c r="B408" s="1" t="n">
        <v>44337</v>
      </c>
      <c r="C408" s="1" t="n">
        <v>46040</v>
      </c>
      <c r="D408" t="inlineStr">
        <is>
          <t>NORRBOTTENS LÄN</t>
        </is>
      </c>
      <c r="E408" t="inlineStr">
        <is>
          <t>ÖVERTORNEÅ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16356-2025</t>
        </is>
      </c>
      <c r="B409" s="1" t="n">
        <v>45750</v>
      </c>
      <c r="C409" s="1" t="n">
        <v>46040</v>
      </c>
      <c r="D409" t="inlineStr">
        <is>
          <t>NORRBOTTENS LÄN</t>
        </is>
      </c>
      <c r="E409" t="inlineStr">
        <is>
          <t>ÖVERTORNEÅ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5155-2025</t>
        </is>
      </c>
      <c r="B410" s="1" t="n">
        <v>45691.60460648148</v>
      </c>
      <c r="C410" s="1" t="n">
        <v>46040</v>
      </c>
      <c r="D410" t="inlineStr">
        <is>
          <t>NORRBOTTENS LÄN</t>
        </is>
      </c>
      <c r="E410" t="inlineStr">
        <is>
          <t>ÖVERTORNEÅ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5161-2025</t>
        </is>
      </c>
      <c r="B411" s="1" t="n">
        <v>45691</v>
      </c>
      <c r="C411" s="1" t="n">
        <v>46040</v>
      </c>
      <c r="D411" t="inlineStr">
        <is>
          <t>NORRBOTTENS LÄN</t>
        </is>
      </c>
      <c r="E411" t="inlineStr">
        <is>
          <t>ÖVERTORNEÅ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27300-2022</t>
        </is>
      </c>
      <c r="B412" s="1" t="n">
        <v>44741.95179398148</v>
      </c>
      <c r="C412" s="1" t="n">
        <v>46040</v>
      </c>
      <c r="D412" t="inlineStr">
        <is>
          <t>NORRBOTTENS LÄN</t>
        </is>
      </c>
      <c r="E412" t="inlineStr">
        <is>
          <t>ÖVERTORNEÅ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44079-2023</t>
        </is>
      </c>
      <c r="B413" s="1" t="n">
        <v>45188</v>
      </c>
      <c r="C413" s="1" t="n">
        <v>46040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62851-2021</t>
        </is>
      </c>
      <c r="B414" s="1" t="n">
        <v>44504</v>
      </c>
      <c r="C414" s="1" t="n">
        <v>46040</v>
      </c>
      <c r="D414" t="inlineStr">
        <is>
          <t>NORRBOTTENS LÄN</t>
        </is>
      </c>
      <c r="E414" t="inlineStr">
        <is>
          <t>ÖVERTORNEÅ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4283-2025</t>
        </is>
      </c>
      <c r="B415" s="1" t="n">
        <v>45685.64603009259</v>
      </c>
      <c r="C415" s="1" t="n">
        <v>46040</v>
      </c>
      <c r="D415" t="inlineStr">
        <is>
          <t>NORRBOTTENS LÄN</t>
        </is>
      </c>
      <c r="E415" t="inlineStr">
        <is>
          <t>ÖVERTORNEÅ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50925-2024</t>
        </is>
      </c>
      <c r="B416" s="1" t="n">
        <v>45602</v>
      </c>
      <c r="C416" s="1" t="n">
        <v>46040</v>
      </c>
      <c r="D416" t="inlineStr">
        <is>
          <t>NORRBOTTENS LÄN</t>
        </is>
      </c>
      <c r="E416" t="inlineStr">
        <is>
          <t>ÖVERTORNEÅ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13754-2024</t>
        </is>
      </c>
      <c r="B417" s="1" t="n">
        <v>45390</v>
      </c>
      <c r="C417" s="1" t="n">
        <v>46040</v>
      </c>
      <c r="D417" t="inlineStr">
        <is>
          <t>NORRBOTTENS LÄN</t>
        </is>
      </c>
      <c r="E417" t="inlineStr">
        <is>
          <t>ÖVERTORNEÅ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26299-2024</t>
        </is>
      </c>
      <c r="B418" s="1" t="n">
        <v>45468.93265046296</v>
      </c>
      <c r="C418" s="1" t="n">
        <v>46040</v>
      </c>
      <c r="D418" t="inlineStr">
        <is>
          <t>NORRBOTTENS LÄN</t>
        </is>
      </c>
      <c r="E418" t="inlineStr">
        <is>
          <t>ÖVERTORNEÅ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4280-2025</t>
        </is>
      </c>
      <c r="B419" s="1" t="n">
        <v>45685</v>
      </c>
      <c r="C419" s="1" t="n">
        <v>46040</v>
      </c>
      <c r="D419" t="inlineStr">
        <is>
          <t>NORRBOTTENS LÄN</t>
        </is>
      </c>
      <c r="E419" t="inlineStr">
        <is>
          <t>ÖVERTORNEÅ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14392-2024</t>
        </is>
      </c>
      <c r="B420" s="1" t="n">
        <v>45394</v>
      </c>
      <c r="C420" s="1" t="n">
        <v>46040</v>
      </c>
      <c r="D420" t="inlineStr">
        <is>
          <t>NORRBOTTENS LÄN</t>
        </is>
      </c>
      <c r="E420" t="inlineStr">
        <is>
          <t>ÖVERTORNEÅ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1301-2025</t>
        </is>
      </c>
      <c r="B421" s="1" t="n">
        <v>45667</v>
      </c>
      <c r="C421" s="1" t="n">
        <v>46040</v>
      </c>
      <c r="D421" t="inlineStr">
        <is>
          <t>NORRBOTTENS LÄN</t>
        </is>
      </c>
      <c r="E421" t="inlineStr">
        <is>
          <t>ÖVERTORNEÅ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8125-2025</t>
        </is>
      </c>
      <c r="B422" s="1" t="n">
        <v>45707</v>
      </c>
      <c r="C422" s="1" t="n">
        <v>46040</v>
      </c>
      <c r="D422" t="inlineStr">
        <is>
          <t>NORRBOTTENS LÄN</t>
        </is>
      </c>
      <c r="E422" t="inlineStr">
        <is>
          <t>ÖVERTORNEÅ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35995-2023</t>
        </is>
      </c>
      <c r="B423" s="1" t="n">
        <v>45149.3140162037</v>
      </c>
      <c r="C423" s="1" t="n">
        <v>46040</v>
      </c>
      <c r="D423" t="inlineStr">
        <is>
          <t>NORRBOTTENS LÄN</t>
        </is>
      </c>
      <c r="E423" t="inlineStr">
        <is>
          <t>ÖVERTORNEÅ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22911-2024</t>
        </is>
      </c>
      <c r="B424" s="1" t="n">
        <v>45448</v>
      </c>
      <c r="C424" s="1" t="n">
        <v>46040</v>
      </c>
      <c r="D424" t="inlineStr">
        <is>
          <t>NORRBOTTENS LÄN</t>
        </is>
      </c>
      <c r="E424" t="inlineStr">
        <is>
          <t>ÖVERTORNEÅ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17068-2024</t>
        </is>
      </c>
      <c r="B425" s="1" t="n">
        <v>45412</v>
      </c>
      <c r="C425" s="1" t="n">
        <v>46040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Naturvårdsverket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12164-2024</t>
        </is>
      </c>
      <c r="B426" s="1" t="n">
        <v>45377</v>
      </c>
      <c r="C426" s="1" t="n">
        <v>46040</v>
      </c>
      <c r="D426" t="inlineStr">
        <is>
          <t>NORRBOTTENS LÄN</t>
        </is>
      </c>
      <c r="E426" t="inlineStr">
        <is>
          <t>ÖVERTORNEÅ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21559-2024</t>
        </is>
      </c>
      <c r="B427" s="1" t="n">
        <v>45441</v>
      </c>
      <c r="C427" s="1" t="n">
        <v>46040</v>
      </c>
      <c r="D427" t="inlineStr">
        <is>
          <t>NORRBOTTENS LÄN</t>
        </is>
      </c>
      <c r="E427" t="inlineStr">
        <is>
          <t>ÖVERTORNEÅ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3982-2025</t>
        </is>
      </c>
      <c r="B428" s="1" t="n">
        <v>45684</v>
      </c>
      <c r="C428" s="1" t="n">
        <v>46040</v>
      </c>
      <c r="D428" t="inlineStr">
        <is>
          <t>NORRBOTTENS LÄN</t>
        </is>
      </c>
      <c r="E428" t="inlineStr">
        <is>
          <t>ÖVERTORNEÅ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17896-2023</t>
        </is>
      </c>
      <c r="B429" s="1" t="n">
        <v>45039.64319444444</v>
      </c>
      <c r="C429" s="1" t="n">
        <v>46040</v>
      </c>
      <c r="D429" t="inlineStr">
        <is>
          <t>NORRBOTTENS LÄN</t>
        </is>
      </c>
      <c r="E429" t="inlineStr">
        <is>
          <t>ÖVERTORNEÅ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15291-2025</t>
        </is>
      </c>
      <c r="B430" s="1" t="n">
        <v>45743</v>
      </c>
      <c r="C430" s="1" t="n">
        <v>46040</v>
      </c>
      <c r="D430" t="inlineStr">
        <is>
          <t>NORRBOTTENS LÄN</t>
        </is>
      </c>
      <c r="E430" t="inlineStr">
        <is>
          <t>ÖVERTORNEÅ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58306-2024</t>
        </is>
      </c>
      <c r="B431" s="1" t="n">
        <v>45632</v>
      </c>
      <c r="C431" s="1" t="n">
        <v>46040</v>
      </c>
      <c r="D431" t="inlineStr">
        <is>
          <t>NORRBOTTENS LÄN</t>
        </is>
      </c>
      <c r="E431" t="inlineStr">
        <is>
          <t>ÖVERTORNEÅ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55196-2024</t>
        </is>
      </c>
      <c r="B432" s="1" t="n">
        <v>45621.5512962963</v>
      </c>
      <c r="C432" s="1" t="n">
        <v>46040</v>
      </c>
      <c r="D432" t="inlineStr">
        <is>
          <t>NORRBOTTENS LÄN</t>
        </is>
      </c>
      <c r="E432" t="inlineStr">
        <is>
          <t>ÖVERTORNEÅ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33600-2024</t>
        </is>
      </c>
      <c r="B433" s="1" t="n">
        <v>45520</v>
      </c>
      <c r="C433" s="1" t="n">
        <v>46040</v>
      </c>
      <c r="D433" t="inlineStr">
        <is>
          <t>NORRBOTTENS LÄN</t>
        </is>
      </c>
      <c r="E433" t="inlineStr">
        <is>
          <t>ÖVERTORNEÅ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26181-2024</t>
        </is>
      </c>
      <c r="B434" s="1" t="n">
        <v>45467</v>
      </c>
      <c r="C434" s="1" t="n">
        <v>46040</v>
      </c>
      <c r="D434" t="inlineStr">
        <is>
          <t>NORRBOTTENS LÄN</t>
        </is>
      </c>
      <c r="E434" t="inlineStr">
        <is>
          <t>ÖVERTORNEÅ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21386-2025</t>
        </is>
      </c>
      <c r="B435" s="1" t="n">
        <v>45782</v>
      </c>
      <c r="C435" s="1" t="n">
        <v>46040</v>
      </c>
      <c r="D435" t="inlineStr">
        <is>
          <t>NORRBOTTENS LÄN</t>
        </is>
      </c>
      <c r="E435" t="inlineStr">
        <is>
          <t>ÖVERTORNEÅ</t>
        </is>
      </c>
      <c r="G435" t="n">
        <v>30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22481-2025</t>
        </is>
      </c>
      <c r="B436" s="1" t="n">
        <v>45786.63832175926</v>
      </c>
      <c r="C436" s="1" t="n">
        <v>46040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24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51272-2024</t>
        </is>
      </c>
      <c r="B437" s="1" t="n">
        <v>45602</v>
      </c>
      <c r="C437" s="1" t="n">
        <v>46040</v>
      </c>
      <c r="D437" t="inlineStr">
        <is>
          <t>NORRBOTTENS LÄN</t>
        </is>
      </c>
      <c r="E437" t="inlineStr">
        <is>
          <t>ÖVERTORNEÅ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10753-2024</t>
        </is>
      </c>
      <c r="B438" s="1" t="n">
        <v>45369</v>
      </c>
      <c r="C438" s="1" t="n">
        <v>46040</v>
      </c>
      <c r="D438" t="inlineStr">
        <is>
          <t>NORRBOTTENS LÄN</t>
        </is>
      </c>
      <c r="E438" t="inlineStr">
        <is>
          <t>ÖVERTORNEÅ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34702-2024</t>
        </is>
      </c>
      <c r="B439" s="1" t="n">
        <v>45526</v>
      </c>
      <c r="C439" s="1" t="n">
        <v>46040</v>
      </c>
      <c r="D439" t="inlineStr">
        <is>
          <t>NORRBOTTENS LÄN</t>
        </is>
      </c>
      <c r="E439" t="inlineStr">
        <is>
          <t>ÖVERTORNEÅ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14264-2024</t>
        </is>
      </c>
      <c r="B440" s="1" t="n">
        <v>45393</v>
      </c>
      <c r="C440" s="1" t="n">
        <v>46040</v>
      </c>
      <c r="D440" t="inlineStr">
        <is>
          <t>NORRBOTTENS LÄN</t>
        </is>
      </c>
      <c r="E440" t="inlineStr">
        <is>
          <t>ÖVERTORNEÅ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22726-2025</t>
        </is>
      </c>
      <c r="B441" s="1" t="n">
        <v>45789.57393518519</v>
      </c>
      <c r="C441" s="1" t="n">
        <v>46040</v>
      </c>
      <c r="D441" t="inlineStr">
        <is>
          <t>NORRBOTTENS LÄN</t>
        </is>
      </c>
      <c r="E441" t="inlineStr">
        <is>
          <t>ÖVERTORNEÅ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46037-2021</t>
        </is>
      </c>
      <c r="B442" s="1" t="n">
        <v>44441</v>
      </c>
      <c r="C442" s="1" t="n">
        <v>46040</v>
      </c>
      <c r="D442" t="inlineStr">
        <is>
          <t>NORRBOTTENS LÄN</t>
        </is>
      </c>
      <c r="E442" t="inlineStr">
        <is>
          <t>ÖVERTORNEÅ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23613-2025</t>
        </is>
      </c>
      <c r="B443" s="1" t="n">
        <v>45792</v>
      </c>
      <c r="C443" s="1" t="n">
        <v>46040</v>
      </c>
      <c r="D443" t="inlineStr">
        <is>
          <t>NORRBOTTENS LÄN</t>
        </is>
      </c>
      <c r="E443" t="inlineStr">
        <is>
          <t>ÖVERTORNEÅ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23423-2025</t>
        </is>
      </c>
      <c r="B444" s="1" t="n">
        <v>45792</v>
      </c>
      <c r="C444" s="1" t="n">
        <v>46040</v>
      </c>
      <c r="D444" t="inlineStr">
        <is>
          <t>NORRBOTTENS LÄN</t>
        </is>
      </c>
      <c r="E444" t="inlineStr">
        <is>
          <t>ÖVERTORNEÅ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23608-2025</t>
        </is>
      </c>
      <c r="B445" s="1" t="n">
        <v>45792.65879629629</v>
      </c>
      <c r="C445" s="1" t="n">
        <v>46040</v>
      </c>
      <c r="D445" t="inlineStr">
        <is>
          <t>NORRBOTTENS LÄN</t>
        </is>
      </c>
      <c r="E445" t="inlineStr">
        <is>
          <t>ÖVERTORNEÅ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25170-2025</t>
        </is>
      </c>
      <c r="B446" s="1" t="n">
        <v>45798</v>
      </c>
      <c r="C446" s="1" t="n">
        <v>46040</v>
      </c>
      <c r="D446" t="inlineStr">
        <is>
          <t>NORRBOTTENS LÄN</t>
        </is>
      </c>
      <c r="E446" t="inlineStr">
        <is>
          <t>ÖVERTORNEÅ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25245-2025</t>
        </is>
      </c>
      <c r="B447" s="1" t="n">
        <v>45799</v>
      </c>
      <c r="C447" s="1" t="n">
        <v>46040</v>
      </c>
      <c r="D447" t="inlineStr">
        <is>
          <t>NORRBOTTENS LÄN</t>
        </is>
      </c>
      <c r="E447" t="inlineStr">
        <is>
          <t>ÖVERTORNEÅ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24877-2025</t>
        </is>
      </c>
      <c r="B448" s="1" t="n">
        <v>45799.49234953704</v>
      </c>
      <c r="C448" s="1" t="n">
        <v>46040</v>
      </c>
      <c r="D448" t="inlineStr">
        <is>
          <t>NORRBOTTENS LÄN</t>
        </is>
      </c>
      <c r="E448" t="inlineStr">
        <is>
          <t>ÖVERTORNEÅ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51273-2024</t>
        </is>
      </c>
      <c r="B449" s="1" t="n">
        <v>45602</v>
      </c>
      <c r="C449" s="1" t="n">
        <v>46040</v>
      </c>
      <c r="D449" t="inlineStr">
        <is>
          <t>NORRBOTTENS LÄN</t>
        </is>
      </c>
      <c r="E449" t="inlineStr">
        <is>
          <t>ÖVERTORNEÅ</t>
        </is>
      </c>
      <c r="G449" t="n">
        <v>13.6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34154-2023</t>
        </is>
      </c>
      <c r="B450" s="1" t="n">
        <v>45137.27398148148</v>
      </c>
      <c r="C450" s="1" t="n">
        <v>46040</v>
      </c>
      <c r="D450" t="inlineStr">
        <is>
          <t>NORRBOTTENS LÄN</t>
        </is>
      </c>
      <c r="E450" t="inlineStr">
        <is>
          <t>ÖVERTORNEÅ</t>
        </is>
      </c>
      <c r="G450" t="n">
        <v>37.1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51682-2023</t>
        </is>
      </c>
      <c r="B451" s="1" t="n">
        <v>45222.59935185185</v>
      </c>
      <c r="C451" s="1" t="n">
        <v>46040</v>
      </c>
      <c r="D451" t="inlineStr">
        <is>
          <t>NORRBOTTENS LÄN</t>
        </is>
      </c>
      <c r="E451" t="inlineStr">
        <is>
          <t>ÖVERTORNEÅ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34398-2023</t>
        </is>
      </c>
      <c r="B452" s="1" t="n">
        <v>45139.53371527778</v>
      </c>
      <c r="C452" s="1" t="n">
        <v>46040</v>
      </c>
      <c r="D452" t="inlineStr">
        <is>
          <t>NORRBOTTENS LÄN</t>
        </is>
      </c>
      <c r="E452" t="inlineStr">
        <is>
          <t>ÖVERTORNEÅ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26502-2025</t>
        </is>
      </c>
      <c r="B453" s="1" t="n">
        <v>45807.51821759259</v>
      </c>
      <c r="C453" s="1" t="n">
        <v>46040</v>
      </c>
      <c r="D453" t="inlineStr">
        <is>
          <t>NORRBOTTENS LÄN</t>
        </is>
      </c>
      <c r="E453" t="inlineStr">
        <is>
          <t>ÖVERTORNEÅ</t>
        </is>
      </c>
      <c r="F453" t="inlineStr">
        <is>
          <t>Sveaskog</t>
        </is>
      </c>
      <c r="G453" t="n">
        <v>39.8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26887-2025</t>
        </is>
      </c>
      <c r="B454" s="1" t="n">
        <v>45810.94730324074</v>
      </c>
      <c r="C454" s="1" t="n">
        <v>46040</v>
      </c>
      <c r="D454" t="inlineStr">
        <is>
          <t>NORRBOTTENS LÄN</t>
        </is>
      </c>
      <c r="E454" t="inlineStr">
        <is>
          <t>ÖVERTORNEÅ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27497-2025</t>
        </is>
      </c>
      <c r="B455" s="1" t="n">
        <v>45813</v>
      </c>
      <c r="C455" s="1" t="n">
        <v>46040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31008-2021</t>
        </is>
      </c>
      <c r="B456" s="1" t="n">
        <v>44366</v>
      </c>
      <c r="C456" s="1" t="n">
        <v>46040</v>
      </c>
      <c r="D456" t="inlineStr">
        <is>
          <t>NORRBOTTENS LÄN</t>
        </is>
      </c>
      <c r="E456" t="inlineStr">
        <is>
          <t>ÖVERTORNEÅ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58992-2024</t>
        </is>
      </c>
      <c r="B457" s="1" t="n">
        <v>45636</v>
      </c>
      <c r="C457" s="1" t="n">
        <v>46040</v>
      </c>
      <c r="D457" t="inlineStr">
        <is>
          <t>NORRBOTTENS LÄN</t>
        </is>
      </c>
      <c r="E457" t="inlineStr">
        <is>
          <t>ÖVERTORNEÅ</t>
        </is>
      </c>
      <c r="G457" t="n">
        <v>44.5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20547-2025</t>
        </is>
      </c>
      <c r="B458" s="1" t="n">
        <v>45770</v>
      </c>
      <c r="C458" s="1" t="n">
        <v>46040</v>
      </c>
      <c r="D458" t="inlineStr">
        <is>
          <t>NORRBOTTENS LÄN</t>
        </is>
      </c>
      <c r="E458" t="inlineStr">
        <is>
          <t>ÖVERTORNEÅ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41698-2024</t>
        </is>
      </c>
      <c r="B459" s="1" t="n">
        <v>45560.68814814815</v>
      </c>
      <c r="C459" s="1" t="n">
        <v>46040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16.4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29906-2025</t>
        </is>
      </c>
      <c r="B460" s="1" t="n">
        <v>45826.3965625</v>
      </c>
      <c r="C460" s="1" t="n">
        <v>46040</v>
      </c>
      <c r="D460" t="inlineStr">
        <is>
          <t>NORRBOTTENS LÄN</t>
        </is>
      </c>
      <c r="E460" t="inlineStr">
        <is>
          <t>ÖVERTORNEÅ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29907-2025</t>
        </is>
      </c>
      <c r="B461" s="1" t="n">
        <v>45826.40111111111</v>
      </c>
      <c r="C461" s="1" t="n">
        <v>46040</v>
      </c>
      <c r="D461" t="inlineStr">
        <is>
          <t>NORRBOTTENS LÄN</t>
        </is>
      </c>
      <c r="E461" t="inlineStr">
        <is>
          <t>ÖVERTORNEÅ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30823-2025</t>
        </is>
      </c>
      <c r="B462" s="1" t="n">
        <v>45831.66894675926</v>
      </c>
      <c r="C462" s="1" t="n">
        <v>46040</v>
      </c>
      <c r="D462" t="inlineStr">
        <is>
          <t>NORRBOTTENS LÄN</t>
        </is>
      </c>
      <c r="E462" t="inlineStr">
        <is>
          <t>ÖVERTORNEÅ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30780-2025</t>
        </is>
      </c>
      <c r="B463" s="1" t="n">
        <v>45831.62239583334</v>
      </c>
      <c r="C463" s="1" t="n">
        <v>46040</v>
      </c>
      <c r="D463" t="inlineStr">
        <is>
          <t>NORRBOTTENS LÄN</t>
        </is>
      </c>
      <c r="E463" t="inlineStr">
        <is>
          <t>ÖVERTORNEÅ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31773-2025</t>
        </is>
      </c>
      <c r="B464" s="1" t="n">
        <v>45834.51092592593</v>
      </c>
      <c r="C464" s="1" t="n">
        <v>46040</v>
      </c>
      <c r="D464" t="inlineStr">
        <is>
          <t>NORRBOTTENS LÄN</t>
        </is>
      </c>
      <c r="E464" t="inlineStr">
        <is>
          <t>ÖVERTORNEÅ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32144-2025</t>
        </is>
      </c>
      <c r="B465" s="1" t="n">
        <v>45835.52673611111</v>
      </c>
      <c r="C465" s="1" t="n">
        <v>46040</v>
      </c>
      <c r="D465" t="inlineStr">
        <is>
          <t>NORRBOTTENS LÄN</t>
        </is>
      </c>
      <c r="E465" t="inlineStr">
        <is>
          <t>ÖVERTORNEÅ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32576-2025</t>
        </is>
      </c>
      <c r="B466" s="1" t="n">
        <v>45838</v>
      </c>
      <c r="C466" s="1" t="n">
        <v>46040</v>
      </c>
      <c r="D466" t="inlineStr">
        <is>
          <t>NORRBOTTENS LÄN</t>
        </is>
      </c>
      <c r="E466" t="inlineStr">
        <is>
          <t>ÖVERTORNEÅ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32156-2025</t>
        </is>
      </c>
      <c r="B467" s="1" t="n">
        <v>45835.53508101852</v>
      </c>
      <c r="C467" s="1" t="n">
        <v>46040</v>
      </c>
      <c r="D467" t="inlineStr">
        <is>
          <t>NORRBOTTENS LÄN</t>
        </is>
      </c>
      <c r="E467" t="inlineStr">
        <is>
          <t>ÖVERTORNEÅ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34798-2025</t>
        </is>
      </c>
      <c r="B468" s="1" t="n">
        <v>45848</v>
      </c>
      <c r="C468" s="1" t="n">
        <v>46040</v>
      </c>
      <c r="D468" t="inlineStr">
        <is>
          <t>NORRBOTTENS LÄN</t>
        </is>
      </c>
      <c r="E468" t="inlineStr">
        <is>
          <t>ÖVERTORNEÅ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34539-2025</t>
        </is>
      </c>
      <c r="B469" s="1" t="n">
        <v>45847.53157407408</v>
      </c>
      <c r="C469" s="1" t="n">
        <v>46040</v>
      </c>
      <c r="D469" t="inlineStr">
        <is>
          <t>NORRBOTTENS LÄN</t>
        </is>
      </c>
      <c r="E469" t="inlineStr">
        <is>
          <t>ÖVERTORNEÅ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34801-2025</t>
        </is>
      </c>
      <c r="B470" s="1" t="n">
        <v>45848.91371527778</v>
      </c>
      <c r="C470" s="1" t="n">
        <v>46040</v>
      </c>
      <c r="D470" t="inlineStr">
        <is>
          <t>NORRBOTTENS LÄN</t>
        </is>
      </c>
      <c r="E470" t="inlineStr">
        <is>
          <t>ÖVERTORNEÅ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34842-2025</t>
        </is>
      </c>
      <c r="B471" s="1" t="n">
        <v>45849.40664351852</v>
      </c>
      <c r="C471" s="1" t="n">
        <v>46040</v>
      </c>
      <c r="D471" t="inlineStr">
        <is>
          <t>NORRBOTTENS LÄN</t>
        </is>
      </c>
      <c r="E471" t="inlineStr">
        <is>
          <t>ÖVERTORNEÅ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34799-2025</t>
        </is>
      </c>
      <c r="B472" s="1" t="n">
        <v>45848.90603009259</v>
      </c>
      <c r="C472" s="1" t="n">
        <v>46040</v>
      </c>
      <c r="D472" t="inlineStr">
        <is>
          <t>NORRBOTTENS LÄN</t>
        </is>
      </c>
      <c r="E472" t="inlineStr">
        <is>
          <t>ÖVERTORNEÅ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35588-2025</t>
        </is>
      </c>
      <c r="B473" s="1" t="n">
        <v>45857.60824074074</v>
      </c>
      <c r="C473" s="1" t="n">
        <v>46040</v>
      </c>
      <c r="D473" t="inlineStr">
        <is>
          <t>NORRBOTTENS LÄN</t>
        </is>
      </c>
      <c r="E473" t="inlineStr">
        <is>
          <t>ÖVERTORNEÅ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35603-2025</t>
        </is>
      </c>
      <c r="B474" s="1" t="n">
        <v>45859.31001157407</v>
      </c>
      <c r="C474" s="1" t="n">
        <v>46040</v>
      </c>
      <c r="D474" t="inlineStr">
        <is>
          <t>NORRBOTTENS LÄN</t>
        </is>
      </c>
      <c r="E474" t="inlineStr">
        <is>
          <t>ÖVERTORNEÅ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35590-2025</t>
        </is>
      </c>
      <c r="B475" s="1" t="n">
        <v>45857.62436342592</v>
      </c>
      <c r="C475" s="1" t="n">
        <v>46040</v>
      </c>
      <c r="D475" t="inlineStr">
        <is>
          <t>NORRBOTTENS LÄN</t>
        </is>
      </c>
      <c r="E475" t="inlineStr">
        <is>
          <t>ÖVERTORNEÅ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35594-2025</t>
        </is>
      </c>
      <c r="B476" s="1" t="n">
        <v>45857.77271990741</v>
      </c>
      <c r="C476" s="1" t="n">
        <v>46040</v>
      </c>
      <c r="D476" t="inlineStr">
        <is>
          <t>NORRBOTTENS LÄN</t>
        </is>
      </c>
      <c r="E476" t="inlineStr">
        <is>
          <t>ÖVERTORNEÅ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35587-2025</t>
        </is>
      </c>
      <c r="B477" s="1" t="n">
        <v>45857.59552083333</v>
      </c>
      <c r="C477" s="1" t="n">
        <v>46040</v>
      </c>
      <c r="D477" t="inlineStr">
        <is>
          <t>NORRBOTTENS LÄN</t>
        </is>
      </c>
      <c r="E477" t="inlineStr">
        <is>
          <t>ÖVERTORNEÅ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35589-2025</t>
        </is>
      </c>
      <c r="B478" s="1" t="n">
        <v>45857.61952546296</v>
      </c>
      <c r="C478" s="1" t="n">
        <v>46040</v>
      </c>
      <c r="D478" t="inlineStr">
        <is>
          <t>NORRBOTTENS LÄN</t>
        </is>
      </c>
      <c r="E478" t="inlineStr">
        <is>
          <t>ÖVERTORNEÅ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35591-2025</t>
        </is>
      </c>
      <c r="B479" s="1" t="n">
        <v>45857.62631944445</v>
      </c>
      <c r="C479" s="1" t="n">
        <v>46040</v>
      </c>
      <c r="D479" t="inlineStr">
        <is>
          <t>NORRBOTTENS LÄN</t>
        </is>
      </c>
      <c r="E479" t="inlineStr">
        <is>
          <t>ÖVERTORNEÅ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35593-2025</t>
        </is>
      </c>
      <c r="B480" s="1" t="n">
        <v>45857.7615625</v>
      </c>
      <c r="C480" s="1" t="n">
        <v>46040</v>
      </c>
      <c r="D480" t="inlineStr">
        <is>
          <t>NORRBOTTENS LÄN</t>
        </is>
      </c>
      <c r="E480" t="inlineStr">
        <is>
          <t>ÖVERTORNEÅ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35837-2025</t>
        </is>
      </c>
      <c r="B481" s="1" t="n">
        <v>45861</v>
      </c>
      <c r="C481" s="1" t="n">
        <v>46040</v>
      </c>
      <c r="D481" t="inlineStr">
        <is>
          <t>NORRBOTTENS LÄN</t>
        </is>
      </c>
      <c r="E481" t="inlineStr">
        <is>
          <t>ÖVERTORNEÅ</t>
        </is>
      </c>
      <c r="G481" t="n">
        <v>16.4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2026-01-18T11:01:08Z</dcterms:created>
  <dcterms:modified xmlns:dcterms="http://purl.org/dc/terms/" xmlns:xsi="http://www.w3.org/2001/XMLSchema-instance" xsi:type="dcterms:W3CDTF">2026-01-18T11:01:08Z</dcterms:modified>
</cp:coreProperties>
</file>
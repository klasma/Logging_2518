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45790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45790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45790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45790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45790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45790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45790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45790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45790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45790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45790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12004-2022</t>
        </is>
      </c>
      <c r="B26" s="1" t="n">
        <v>44635</v>
      </c>
      <c r="C26" s="1" t="n">
        <v>45790</v>
      </c>
      <c r="D26" t="inlineStr">
        <is>
          <t>NORRBOTTENS LÄN</t>
        </is>
      </c>
      <c r="E26" t="inlineStr">
        <is>
          <t>ÖVERTORNEÅ</t>
        </is>
      </c>
      <c r="G26" t="n">
        <v>17</v>
      </c>
      <c r="H26" t="n">
        <v>2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Motaggsvamp
Tretåig hackspett
Dropptaggsvamp
Stuplav
Vedticka</t>
        </is>
      </c>
      <c r="S26">
        <f>HYPERLINK("https://klasma.github.io/Logging_2518/artfynd/A 12004-2022 artfynd.xlsx", "A 12004-2022")</f>
        <v/>
      </c>
      <c r="T26">
        <f>HYPERLINK("https://klasma.github.io/Logging_2518/kartor/A 12004-2022 karta.png", "A 12004-2022")</f>
        <v/>
      </c>
      <c r="U26">
        <f>HYPERLINK("https://klasma.github.io/Logging_2518/knärot/A 12004-2022 karta knärot.png", "A 12004-2022")</f>
        <v/>
      </c>
      <c r="V26">
        <f>HYPERLINK("https://klasma.github.io/Logging_2518/klagomål/A 12004-2022 FSC-klagomål.docx", "A 12004-2022")</f>
        <v/>
      </c>
      <c r="W26">
        <f>HYPERLINK("https://klasma.github.io/Logging_2518/klagomålsmail/A 12004-2022 FSC-klagomål mail.docx", "A 12004-2022")</f>
        <v/>
      </c>
      <c r="X26">
        <f>HYPERLINK("https://klasma.github.io/Logging_2518/tillsyn/A 12004-2022 tillsynsbegäran.docx", "A 12004-2022")</f>
        <v/>
      </c>
      <c r="Y26">
        <f>HYPERLINK("https://klasma.github.io/Logging_2518/tillsynsmail/A 12004-2022 tillsynsbegäran mail.docx", "A 12004-2022")</f>
        <v/>
      </c>
      <c r="Z26">
        <f>HYPERLINK("https://klasma.github.io/Logging_2518/fåglar/A 12004-2022 prioriterade fågelarter.docx", "A 12004-2022")</f>
        <v/>
      </c>
    </row>
    <row r="27" ht="15" customHeight="1">
      <c r="A27" t="inlineStr">
        <is>
          <t>A 50300-2022</t>
        </is>
      </c>
      <c r="B27" s="1" t="n">
        <v>44865</v>
      </c>
      <c r="C27" s="1" t="n">
        <v>45790</v>
      </c>
      <c r="D27" t="inlineStr">
        <is>
          <t>NORRBOTTENS LÄN</t>
        </is>
      </c>
      <c r="E27" t="inlineStr">
        <is>
          <t>ÖVERTORNEÅ</t>
        </is>
      </c>
      <c r="G27" t="n">
        <v>17.3</v>
      </c>
      <c r="H27" t="n">
        <v>1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Spillkråka
Vitplätt
Dropptaggsvamp
Nästlav
Vedticka</t>
        </is>
      </c>
      <c r="S27">
        <f>HYPERLINK("https://klasma.github.io/Logging_2518/artfynd/A 50300-2022 artfynd.xlsx", "A 50300-2022")</f>
        <v/>
      </c>
      <c r="T27">
        <f>HYPERLINK("https://klasma.github.io/Logging_2518/kartor/A 50300-2022 karta.png", "A 50300-2022")</f>
        <v/>
      </c>
      <c r="V27">
        <f>HYPERLINK("https://klasma.github.io/Logging_2518/klagomål/A 50300-2022 FSC-klagomål.docx", "A 50300-2022")</f>
        <v/>
      </c>
      <c r="W27">
        <f>HYPERLINK("https://klasma.github.io/Logging_2518/klagomålsmail/A 50300-2022 FSC-klagomål mail.docx", "A 50300-2022")</f>
        <v/>
      </c>
      <c r="X27">
        <f>HYPERLINK("https://klasma.github.io/Logging_2518/tillsyn/A 50300-2022 tillsynsbegäran.docx", "A 50300-2022")</f>
        <v/>
      </c>
      <c r="Y27">
        <f>HYPERLINK("https://klasma.github.io/Logging_2518/tillsynsmail/A 50300-2022 tillsynsbegäran mail.docx", "A 50300-2022")</f>
        <v/>
      </c>
      <c r="Z27">
        <f>HYPERLINK("https://klasma.github.io/Logging_2518/fåglar/A 50300-2022 prioriterade fågelarter.docx", "A 50300-2022")</f>
        <v/>
      </c>
    </row>
    <row r="28" ht="15" customHeight="1">
      <c r="A28" t="inlineStr">
        <is>
          <t>A 54090-2022</t>
        </is>
      </c>
      <c r="B28" s="1" t="n">
        <v>44879</v>
      </c>
      <c r="C28" s="1" t="n">
        <v>45790</v>
      </c>
      <c r="D28" t="inlineStr">
        <is>
          <t>NORRBOTTENS LÄN</t>
        </is>
      </c>
      <c r="E28" t="inlineStr">
        <is>
          <t>ÖVERTORNEÅ</t>
        </is>
      </c>
      <c r="G28" t="n">
        <v>38.8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Ostticka
Granticka
Lunglav
Rosenticka
Tretåig hackspett
Ullticka
Violmussling</t>
        </is>
      </c>
      <c r="S28">
        <f>HYPERLINK("https://klasma.github.io/Logging_2518/artfynd/A 54090-2022 artfynd.xlsx", "A 54090-2022")</f>
        <v/>
      </c>
      <c r="T28">
        <f>HYPERLINK("https://klasma.github.io/Logging_2518/kartor/A 54090-2022 karta.png", "A 54090-2022")</f>
        <v/>
      </c>
      <c r="V28">
        <f>HYPERLINK("https://klasma.github.io/Logging_2518/klagomål/A 54090-2022 FSC-klagomål.docx", "A 54090-2022")</f>
        <v/>
      </c>
      <c r="W28">
        <f>HYPERLINK("https://klasma.github.io/Logging_2518/klagomålsmail/A 54090-2022 FSC-klagomål mail.docx", "A 54090-2022")</f>
        <v/>
      </c>
      <c r="X28">
        <f>HYPERLINK("https://klasma.github.io/Logging_2518/tillsyn/A 54090-2022 tillsynsbegäran.docx", "A 54090-2022")</f>
        <v/>
      </c>
      <c r="Y28">
        <f>HYPERLINK("https://klasma.github.io/Logging_2518/tillsynsmail/A 54090-2022 tillsynsbegäran mail.docx", "A 54090-2022")</f>
        <v/>
      </c>
      <c r="Z28">
        <f>HYPERLINK("https://klasma.github.io/Logging_2518/fåglar/A 54090-2022 prioriterade fågelarter.docx", "A 54090-2022")</f>
        <v/>
      </c>
    </row>
    <row r="29" ht="15" customHeight="1">
      <c r="A29" t="inlineStr">
        <is>
          <t>A 27058-2023</t>
        </is>
      </c>
      <c r="B29" s="1" t="n">
        <v>45096</v>
      </c>
      <c r="C29" s="1" t="n">
        <v>45790</v>
      </c>
      <c r="D29" t="inlineStr">
        <is>
          <t>NORRBOTTENS LÄN</t>
        </is>
      </c>
      <c r="E29" t="inlineStr">
        <is>
          <t>ÖVERTORNEÅ</t>
        </is>
      </c>
      <c r="G29" t="n">
        <v>5.3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Doftskinn
Gammelgransskål
Garnlav
Ullticka
Violmussling
Stor aspticka
Stuplav</t>
        </is>
      </c>
      <c r="S29">
        <f>HYPERLINK("https://klasma.github.io/Logging_2518/artfynd/A 27058-2023 artfynd.xlsx", "A 27058-2023")</f>
        <v/>
      </c>
      <c r="T29">
        <f>HYPERLINK("https://klasma.github.io/Logging_2518/kartor/A 27058-2023 karta.png", "A 27058-2023")</f>
        <v/>
      </c>
      <c r="V29">
        <f>HYPERLINK("https://klasma.github.io/Logging_2518/klagomål/A 27058-2023 FSC-klagomål.docx", "A 27058-2023")</f>
        <v/>
      </c>
      <c r="W29">
        <f>HYPERLINK("https://klasma.github.io/Logging_2518/klagomålsmail/A 27058-2023 FSC-klagomål mail.docx", "A 27058-2023")</f>
        <v/>
      </c>
      <c r="X29">
        <f>HYPERLINK("https://klasma.github.io/Logging_2518/tillsyn/A 27058-2023 tillsynsbegäran.docx", "A 27058-2023")</f>
        <v/>
      </c>
      <c r="Y29">
        <f>HYPERLINK("https://klasma.github.io/Logging_2518/tillsynsmail/A 27058-2023 tillsynsbegäran mail.docx", "A 27058-2023")</f>
        <v/>
      </c>
    </row>
    <row r="30" ht="15" customHeight="1">
      <c r="A30" t="inlineStr">
        <is>
          <t>A 33324-2023</t>
        </is>
      </c>
      <c r="B30" s="1" t="n">
        <v>45128</v>
      </c>
      <c r="C30" s="1" t="n">
        <v>45790</v>
      </c>
      <c r="D30" t="inlineStr">
        <is>
          <t>NORRBOTTENS LÄN</t>
        </is>
      </c>
      <c r="E30" t="inlineStr">
        <is>
          <t>ÖVERTORNEÅ</t>
        </is>
      </c>
      <c r="G30" t="n">
        <v>9.6</v>
      </c>
      <c r="H30" t="n">
        <v>2</v>
      </c>
      <c r="I30" t="n">
        <v>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7</v>
      </c>
      <c r="R30" s="2" t="inlineStr">
        <is>
          <t>Spillkråka
Vitplätt
Norrlandslav
Plattlummer
Skinnlav
Stor aspticka
Vedticka</t>
        </is>
      </c>
      <c r="S30">
        <f>HYPERLINK("https://klasma.github.io/Logging_2518/artfynd/A 33324-2023 artfynd.xlsx", "A 33324-2023")</f>
        <v/>
      </c>
      <c r="T30">
        <f>HYPERLINK("https://klasma.github.io/Logging_2518/kartor/A 33324-2023 karta.png", "A 33324-2023")</f>
        <v/>
      </c>
      <c r="V30">
        <f>HYPERLINK("https://klasma.github.io/Logging_2518/klagomål/A 33324-2023 FSC-klagomål.docx", "A 33324-2023")</f>
        <v/>
      </c>
      <c r="W30">
        <f>HYPERLINK("https://klasma.github.io/Logging_2518/klagomålsmail/A 33324-2023 FSC-klagomål mail.docx", "A 33324-2023")</f>
        <v/>
      </c>
      <c r="X30">
        <f>HYPERLINK("https://klasma.github.io/Logging_2518/tillsyn/A 33324-2023 tillsynsbegäran.docx", "A 33324-2023")</f>
        <v/>
      </c>
      <c r="Y30">
        <f>HYPERLINK("https://klasma.github.io/Logging_2518/tillsynsmail/A 33324-2023 tillsynsbegäran mail.docx", "A 33324-2023")</f>
        <v/>
      </c>
      <c r="Z30">
        <f>HYPERLINK("https://klasma.github.io/Logging_2518/fåglar/A 33324-2023 prioriterade fågelarter.docx", "A 33324-2023")</f>
        <v/>
      </c>
    </row>
    <row r="31" ht="15" customHeight="1">
      <c r="A31" t="inlineStr">
        <is>
          <t>A 8507-2024</t>
        </is>
      </c>
      <c r="B31" s="1" t="n">
        <v>45351</v>
      </c>
      <c r="C31" s="1" t="n">
        <v>45790</v>
      </c>
      <c r="D31" t="inlineStr">
        <is>
          <t>NORRBOTTENS LÄN</t>
        </is>
      </c>
      <c r="E31" t="inlineStr">
        <is>
          <t>ÖVERTORNEÅ</t>
        </is>
      </c>
      <c r="G31" t="n">
        <v>15.8</v>
      </c>
      <c r="H31" t="n">
        <v>4</v>
      </c>
      <c r="I31" t="n">
        <v>0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7</v>
      </c>
      <c r="R31" s="2" t="inlineStr">
        <is>
          <t>Gammelgransskål
Garnlav
Järpe
Skogshare
Spillkråka
Talltita
Utter</t>
        </is>
      </c>
      <c r="S31">
        <f>HYPERLINK("https://klasma.github.io/Logging_2518/artfynd/A 8507-2024 artfynd.xlsx", "A 8507-2024")</f>
        <v/>
      </c>
      <c r="T31">
        <f>HYPERLINK("https://klasma.github.io/Logging_2518/kartor/A 8507-2024 karta.png", "A 8507-2024")</f>
        <v/>
      </c>
      <c r="V31">
        <f>HYPERLINK("https://klasma.github.io/Logging_2518/klagomål/A 8507-2024 FSC-klagomål.docx", "A 8507-2024")</f>
        <v/>
      </c>
      <c r="W31">
        <f>HYPERLINK("https://klasma.github.io/Logging_2518/klagomålsmail/A 8507-2024 FSC-klagomål mail.docx", "A 8507-2024")</f>
        <v/>
      </c>
      <c r="X31">
        <f>HYPERLINK("https://klasma.github.io/Logging_2518/tillsyn/A 8507-2024 tillsynsbegäran.docx", "A 8507-2024")</f>
        <v/>
      </c>
      <c r="Y31">
        <f>HYPERLINK("https://klasma.github.io/Logging_2518/tillsynsmail/A 8507-2024 tillsynsbegäran mail.docx", "A 8507-2024")</f>
        <v/>
      </c>
      <c r="Z31">
        <f>HYPERLINK("https://klasma.github.io/Logging_2518/fåglar/A 8507-2024 prioriterade fågelarter.docx", "A 8507-2024")</f>
        <v/>
      </c>
    </row>
    <row r="32" ht="15" customHeight="1">
      <c r="A32" t="inlineStr">
        <is>
          <t>A 41915-2024</t>
        </is>
      </c>
      <c r="B32" s="1" t="n">
        <v>45561</v>
      </c>
      <c r="C32" s="1" t="n">
        <v>45790</v>
      </c>
      <c r="D32" t="inlineStr">
        <is>
          <t>NORRBOTTENS LÄN</t>
        </is>
      </c>
      <c r="E32" t="inlineStr">
        <is>
          <t>ÖVERTORNEÅ</t>
        </is>
      </c>
      <c r="G32" t="n">
        <v>5.5</v>
      </c>
      <c r="H32" t="n">
        <v>4</v>
      </c>
      <c r="I32" t="n">
        <v>1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7</v>
      </c>
      <c r="R32" s="2" t="inlineStr">
        <is>
          <t>Knärot
Garnlav
Gränsticka
Spillkråka
Talltita
Ullticka
Plattlummer</t>
        </is>
      </c>
      <c r="S32">
        <f>HYPERLINK("https://klasma.github.io/Logging_2518/artfynd/A 41915-2024 artfynd.xlsx", "A 41915-2024")</f>
        <v/>
      </c>
      <c r="T32">
        <f>HYPERLINK("https://klasma.github.io/Logging_2518/kartor/A 41915-2024 karta.png", "A 41915-2024")</f>
        <v/>
      </c>
      <c r="U32">
        <f>HYPERLINK("https://klasma.github.io/Logging_2518/knärot/A 41915-2024 karta knärot.png", "A 41915-2024")</f>
        <v/>
      </c>
      <c r="V32">
        <f>HYPERLINK("https://klasma.github.io/Logging_2518/klagomål/A 41915-2024 FSC-klagomål.docx", "A 41915-2024")</f>
        <v/>
      </c>
      <c r="W32">
        <f>HYPERLINK("https://klasma.github.io/Logging_2518/klagomålsmail/A 41915-2024 FSC-klagomål mail.docx", "A 41915-2024")</f>
        <v/>
      </c>
      <c r="X32">
        <f>HYPERLINK("https://klasma.github.io/Logging_2518/tillsyn/A 41915-2024 tillsynsbegäran.docx", "A 41915-2024")</f>
        <v/>
      </c>
      <c r="Y32">
        <f>HYPERLINK("https://klasma.github.io/Logging_2518/tillsynsmail/A 41915-2024 tillsynsbegäran mail.docx", "A 41915-2024")</f>
        <v/>
      </c>
      <c r="Z32">
        <f>HYPERLINK("https://klasma.github.io/Logging_2518/fåglar/A 41915-2024 prioriterade fågelarter.docx", "A 41915-2024")</f>
        <v/>
      </c>
    </row>
    <row r="33" ht="15" customHeight="1">
      <c r="A33" t="inlineStr">
        <is>
          <t>A 25299-2023</t>
        </is>
      </c>
      <c r="B33" s="1" t="n">
        <v>45087</v>
      </c>
      <c r="C33" s="1" t="n">
        <v>45790</v>
      </c>
      <c r="D33" t="inlineStr">
        <is>
          <t>NORRBOTTENS LÄN</t>
        </is>
      </c>
      <c r="E33" t="inlineStr">
        <is>
          <t>ÖVERTORNEÅ</t>
        </is>
      </c>
      <c r="G33" t="n">
        <v>3.8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Granticka
Tretåig hackspett
Bårdlav
Skinnlav
Stuplav</t>
        </is>
      </c>
      <c r="S33">
        <f>HYPERLINK("https://klasma.github.io/Logging_2518/artfynd/A 25299-2023 artfynd.xlsx", "A 25299-2023")</f>
        <v/>
      </c>
      <c r="T33">
        <f>HYPERLINK("https://klasma.github.io/Logging_2518/kartor/A 25299-2023 karta.png", "A 25299-2023")</f>
        <v/>
      </c>
      <c r="V33">
        <f>HYPERLINK("https://klasma.github.io/Logging_2518/klagomål/A 25299-2023 FSC-klagomål.docx", "A 25299-2023")</f>
        <v/>
      </c>
      <c r="W33">
        <f>HYPERLINK("https://klasma.github.io/Logging_2518/klagomålsmail/A 25299-2023 FSC-klagomål mail.docx", "A 25299-2023")</f>
        <v/>
      </c>
      <c r="X33">
        <f>HYPERLINK("https://klasma.github.io/Logging_2518/tillsyn/A 25299-2023 tillsynsbegäran.docx", "A 25299-2023")</f>
        <v/>
      </c>
      <c r="Y33">
        <f>HYPERLINK("https://klasma.github.io/Logging_2518/tillsynsmail/A 25299-2023 tillsynsbegäran mail.docx", "A 25299-2023")</f>
        <v/>
      </c>
      <c r="Z33">
        <f>HYPERLINK("https://klasma.github.io/Logging_2518/fåglar/A 25299-2023 prioriterade fågelarter.docx", "A 25299-2023")</f>
        <v/>
      </c>
    </row>
    <row r="34" ht="15" customHeight="1">
      <c r="A34" t="inlineStr">
        <is>
          <t>A 7561-2024</t>
        </is>
      </c>
      <c r="B34" s="1" t="n">
        <v>45348</v>
      </c>
      <c r="C34" s="1" t="n">
        <v>45790</v>
      </c>
      <c r="D34" t="inlineStr">
        <is>
          <t>NORRBOTTENS LÄN</t>
        </is>
      </c>
      <c r="E34" t="inlineStr">
        <is>
          <t>ÖVERTORNEÅ</t>
        </is>
      </c>
      <c r="G34" t="n">
        <v>5.1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Järpe
Spillkråka
Skinnlav
Stor aspticka
Vedticka</t>
        </is>
      </c>
      <c r="S34">
        <f>HYPERLINK("https://klasma.github.io/Logging_2518/artfynd/A 7561-2024 artfynd.xlsx", "A 7561-2024")</f>
        <v/>
      </c>
      <c r="T34">
        <f>HYPERLINK("https://klasma.github.io/Logging_2518/kartor/A 7561-2024 karta.png", "A 7561-2024")</f>
        <v/>
      </c>
      <c r="V34">
        <f>HYPERLINK("https://klasma.github.io/Logging_2518/klagomål/A 7561-2024 FSC-klagomål.docx", "A 7561-2024")</f>
        <v/>
      </c>
      <c r="W34">
        <f>HYPERLINK("https://klasma.github.io/Logging_2518/klagomålsmail/A 7561-2024 FSC-klagomål mail.docx", "A 7561-2024")</f>
        <v/>
      </c>
      <c r="X34">
        <f>HYPERLINK("https://klasma.github.io/Logging_2518/tillsyn/A 7561-2024 tillsynsbegäran.docx", "A 7561-2024")</f>
        <v/>
      </c>
      <c r="Y34">
        <f>HYPERLINK("https://klasma.github.io/Logging_2518/tillsynsmail/A 7561-2024 tillsynsbegäran mail.docx", "A 7561-2024")</f>
        <v/>
      </c>
      <c r="Z34">
        <f>HYPERLINK("https://klasma.github.io/Logging_2518/fåglar/A 7561-2024 prioriterade fågelarter.docx", "A 7561-2024")</f>
        <v/>
      </c>
    </row>
    <row r="35" ht="15" customHeight="1">
      <c r="A35" t="inlineStr">
        <is>
          <t>A 16027-2024</t>
        </is>
      </c>
      <c r="B35" s="1" t="n">
        <v>45405</v>
      </c>
      <c r="C35" s="1" t="n">
        <v>45790</v>
      </c>
      <c r="D35" t="inlineStr">
        <is>
          <t>NORRBOTTENS LÄN</t>
        </is>
      </c>
      <c r="E35" t="inlineStr">
        <is>
          <t>ÖVERTORNEÅ</t>
        </is>
      </c>
      <c r="G35" t="n">
        <v>7.2</v>
      </c>
      <c r="H35" t="n">
        <v>2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Mörk kolflarnlav
Spillkråka
Violmussling
Bronshjon
Spindelblomster
Stuplav</t>
        </is>
      </c>
      <c r="S35">
        <f>HYPERLINK("https://klasma.github.io/Logging_2518/artfynd/A 16027-2024 artfynd.xlsx", "A 16027-2024")</f>
        <v/>
      </c>
      <c r="T35">
        <f>HYPERLINK("https://klasma.github.io/Logging_2518/kartor/A 16027-2024 karta.png", "A 16027-2024")</f>
        <v/>
      </c>
      <c r="V35">
        <f>HYPERLINK("https://klasma.github.io/Logging_2518/klagomål/A 16027-2024 FSC-klagomål.docx", "A 16027-2024")</f>
        <v/>
      </c>
      <c r="W35">
        <f>HYPERLINK("https://klasma.github.io/Logging_2518/klagomålsmail/A 16027-2024 FSC-klagomål mail.docx", "A 16027-2024")</f>
        <v/>
      </c>
      <c r="X35">
        <f>HYPERLINK("https://klasma.github.io/Logging_2518/tillsyn/A 16027-2024 tillsynsbegäran.docx", "A 16027-2024")</f>
        <v/>
      </c>
      <c r="Y35">
        <f>HYPERLINK("https://klasma.github.io/Logging_2518/tillsynsmail/A 16027-2024 tillsynsbegäran mail.docx", "A 16027-2024")</f>
        <v/>
      </c>
      <c r="Z35">
        <f>HYPERLINK("https://klasma.github.io/Logging_2518/fåglar/A 16027-2024 prioriterade fågelarter.docx", "A 16027-2024")</f>
        <v/>
      </c>
    </row>
    <row r="36" ht="15" customHeight="1">
      <c r="A36" t="inlineStr">
        <is>
          <t>A 28951-2024</t>
        </is>
      </c>
      <c r="B36" s="1" t="n">
        <v>45481</v>
      </c>
      <c r="C36" s="1" t="n">
        <v>45790</v>
      </c>
      <c r="D36" t="inlineStr">
        <is>
          <t>NORRBOTTENS LÄN</t>
        </is>
      </c>
      <c r="E36" t="inlineStr">
        <is>
          <t>ÖVERTORNEÅ</t>
        </is>
      </c>
      <c r="G36" t="n">
        <v>11.8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Granticka
Luddfingersvamp
Spillkråka
Tretåig hackspett
Skinnlav</t>
        </is>
      </c>
      <c r="S36">
        <f>HYPERLINK("https://klasma.github.io/Logging_2518/artfynd/A 28951-2024 artfynd.xlsx", "A 28951-2024")</f>
        <v/>
      </c>
      <c r="T36">
        <f>HYPERLINK("https://klasma.github.io/Logging_2518/kartor/A 28951-2024 karta.png", "A 28951-2024")</f>
        <v/>
      </c>
      <c r="V36">
        <f>HYPERLINK("https://klasma.github.io/Logging_2518/klagomål/A 28951-2024 FSC-klagomål.docx", "A 28951-2024")</f>
        <v/>
      </c>
      <c r="W36">
        <f>HYPERLINK("https://klasma.github.io/Logging_2518/klagomålsmail/A 28951-2024 FSC-klagomål mail.docx", "A 28951-2024")</f>
        <v/>
      </c>
      <c r="X36">
        <f>HYPERLINK("https://klasma.github.io/Logging_2518/tillsyn/A 28951-2024 tillsynsbegäran.docx", "A 28951-2024")</f>
        <v/>
      </c>
      <c r="Y36">
        <f>HYPERLINK("https://klasma.github.io/Logging_2518/tillsynsmail/A 28951-2024 tillsynsbegäran mail.docx", "A 28951-2024")</f>
        <v/>
      </c>
      <c r="Z36">
        <f>HYPERLINK("https://klasma.github.io/Logging_2518/fåglar/A 28951-2024 prioriterade fågelarter.docx", "A 28951-2024")</f>
        <v/>
      </c>
    </row>
    <row r="37" ht="15" customHeight="1">
      <c r="A37" t="inlineStr">
        <is>
          <t>A 47047-2024</t>
        </is>
      </c>
      <c r="B37" s="1" t="n">
        <v>45586</v>
      </c>
      <c r="C37" s="1" t="n">
        <v>45790</v>
      </c>
      <c r="D37" t="inlineStr">
        <is>
          <t>NORRBOTTENS LÄN</t>
        </is>
      </c>
      <c r="E37" t="inlineStr">
        <is>
          <t>ÖVERTORNEÅ</t>
        </is>
      </c>
      <c r="G37" t="n">
        <v>2.6</v>
      </c>
      <c r="H37" t="n">
        <v>1</v>
      </c>
      <c r="I37" t="n">
        <v>2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Garnlav
Granticka
Lunglav
Stuplav
Vedticka</t>
        </is>
      </c>
      <c r="S37">
        <f>HYPERLINK("https://klasma.github.io/Logging_2518/artfynd/A 47047-2024 artfynd.xlsx", "A 47047-2024")</f>
        <v/>
      </c>
      <c r="T37">
        <f>HYPERLINK("https://klasma.github.io/Logging_2518/kartor/A 47047-2024 karta.png", "A 47047-2024")</f>
        <v/>
      </c>
      <c r="U37">
        <f>HYPERLINK("https://klasma.github.io/Logging_2518/knärot/A 47047-2024 karta knärot.png", "A 47047-2024")</f>
        <v/>
      </c>
      <c r="V37">
        <f>HYPERLINK("https://klasma.github.io/Logging_2518/klagomål/A 47047-2024 FSC-klagomål.docx", "A 47047-2024")</f>
        <v/>
      </c>
      <c r="W37">
        <f>HYPERLINK("https://klasma.github.io/Logging_2518/klagomålsmail/A 47047-2024 FSC-klagomål mail.docx", "A 47047-2024")</f>
        <v/>
      </c>
      <c r="X37">
        <f>HYPERLINK("https://klasma.github.io/Logging_2518/tillsyn/A 47047-2024 tillsynsbegäran.docx", "A 47047-2024")</f>
        <v/>
      </c>
      <c r="Y37">
        <f>HYPERLINK("https://klasma.github.io/Logging_2518/tillsynsmail/A 47047-2024 tillsynsbegäran mail.docx", "A 47047-2024")</f>
        <v/>
      </c>
    </row>
    <row r="38" ht="15" customHeight="1">
      <c r="A38" t="inlineStr">
        <is>
          <t>A 54390-2020</t>
        </is>
      </c>
      <c r="B38" s="1" t="n">
        <v>44126</v>
      </c>
      <c r="C38" s="1" t="n">
        <v>45790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Gammelgransskål
Garnlav
Rosenticka
Ullticka
Vedticka</t>
        </is>
      </c>
      <c r="S38">
        <f>HYPERLINK("https://klasma.github.io/Logging_2518/artfynd/A 54390-2020 artfynd.xlsx", "A 54390-2020")</f>
        <v/>
      </c>
      <c r="T38">
        <f>HYPERLINK("https://klasma.github.io/Logging_2518/kartor/A 54390-2020 karta.png", "A 54390-2020")</f>
        <v/>
      </c>
      <c r="V38">
        <f>HYPERLINK("https://klasma.github.io/Logging_2518/klagomål/A 54390-2020 FSC-klagomål.docx", "A 54390-2020")</f>
        <v/>
      </c>
      <c r="W38">
        <f>HYPERLINK("https://klasma.github.io/Logging_2518/klagomålsmail/A 54390-2020 FSC-klagomål mail.docx", "A 54390-2020")</f>
        <v/>
      </c>
      <c r="X38">
        <f>HYPERLINK("https://klasma.github.io/Logging_2518/tillsyn/A 54390-2020 tillsynsbegäran.docx", "A 54390-2020")</f>
        <v/>
      </c>
      <c r="Y38">
        <f>HYPERLINK("https://klasma.github.io/Logging_2518/tillsynsmail/A 54390-2020 tillsynsbegäran mail.docx", "A 54390-2020")</f>
        <v/>
      </c>
    </row>
    <row r="39" ht="15" customHeight="1">
      <c r="A39" t="inlineStr">
        <is>
          <t>A 31305-2021</t>
        </is>
      </c>
      <c r="B39" s="1" t="n">
        <v>44368</v>
      </c>
      <c r="C39" s="1" t="n">
        <v>45790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Gammelgransskål
Garnlav
Harticka
Luddlav
Vedticka</t>
        </is>
      </c>
      <c r="S39">
        <f>HYPERLINK("https://klasma.github.io/Logging_2518/artfynd/A 31305-2021 artfynd.xlsx", "A 31305-2021")</f>
        <v/>
      </c>
      <c r="T39">
        <f>HYPERLINK("https://klasma.github.io/Logging_2518/kartor/A 31305-2021 karta.png", "A 31305-2021")</f>
        <v/>
      </c>
      <c r="V39">
        <f>HYPERLINK("https://klasma.github.io/Logging_2518/klagomål/A 31305-2021 FSC-klagomål.docx", "A 31305-2021")</f>
        <v/>
      </c>
      <c r="W39">
        <f>HYPERLINK("https://klasma.github.io/Logging_2518/klagomålsmail/A 31305-2021 FSC-klagomål mail.docx", "A 31305-2021")</f>
        <v/>
      </c>
      <c r="X39">
        <f>HYPERLINK("https://klasma.github.io/Logging_2518/tillsyn/A 31305-2021 tillsynsbegäran.docx", "A 31305-2021")</f>
        <v/>
      </c>
      <c r="Y39">
        <f>HYPERLINK("https://klasma.github.io/Logging_2518/tillsynsmail/A 31305-2021 tillsynsbegäran mail.docx", "A 31305-2021")</f>
        <v/>
      </c>
    </row>
    <row r="40" ht="15" customHeight="1">
      <c r="A40" t="inlineStr">
        <is>
          <t>A 54504-2022</t>
        </is>
      </c>
      <c r="B40" s="1" t="n">
        <v>44880</v>
      </c>
      <c r="C40" s="1" t="n">
        <v>45790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2.6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Spillkråka
Barkticka
Norrlandslav
Revlummer</t>
        </is>
      </c>
      <c r="S40">
        <f>HYPERLINK("https://klasma.github.io/Logging_2518/artfynd/A 54504-2022 artfynd.xlsx", "A 54504-2022")</f>
        <v/>
      </c>
      <c r="T40">
        <f>HYPERLINK("https://klasma.github.io/Logging_2518/kartor/A 54504-2022 karta.png", "A 54504-2022")</f>
        <v/>
      </c>
      <c r="V40">
        <f>HYPERLINK("https://klasma.github.io/Logging_2518/klagomål/A 54504-2022 FSC-klagomål.docx", "A 54504-2022")</f>
        <v/>
      </c>
      <c r="W40">
        <f>HYPERLINK("https://klasma.github.io/Logging_2518/klagomålsmail/A 54504-2022 FSC-klagomål mail.docx", "A 54504-2022")</f>
        <v/>
      </c>
      <c r="X40">
        <f>HYPERLINK("https://klasma.github.io/Logging_2518/tillsyn/A 54504-2022 tillsynsbegäran.docx", "A 54504-2022")</f>
        <v/>
      </c>
      <c r="Y40">
        <f>HYPERLINK("https://klasma.github.io/Logging_2518/tillsynsmail/A 54504-2022 tillsynsbegäran mail.docx", "A 54504-2022")</f>
        <v/>
      </c>
      <c r="Z40">
        <f>HYPERLINK("https://klasma.github.io/Logging_2518/fåglar/A 54504-2022 prioriterade fågelarter.docx", "A 54504-2022")</f>
        <v/>
      </c>
    </row>
    <row r="41" ht="15" customHeight="1">
      <c r="A41" t="inlineStr">
        <is>
          <t>A 15202-2023</t>
        </is>
      </c>
      <c r="B41" s="1" t="n">
        <v>45017</v>
      </c>
      <c r="C41" s="1" t="n">
        <v>45790</v>
      </c>
      <c r="D41" t="inlineStr">
        <is>
          <t>NORRBOTTENS LÄN</t>
        </is>
      </c>
      <c r="E41" t="inlineStr">
        <is>
          <t>ÖVERTORNEÅ</t>
        </is>
      </c>
      <c r="G41" t="n">
        <v>3.2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Tallticka</t>
        </is>
      </c>
      <c r="S41">
        <f>HYPERLINK("https://klasma.github.io/Logging_2518/artfynd/A 15202-2023 artfynd.xlsx", "A 15202-2023")</f>
        <v/>
      </c>
      <c r="T41">
        <f>HYPERLINK("https://klasma.github.io/Logging_2518/kartor/A 15202-2023 karta.png", "A 15202-2023")</f>
        <v/>
      </c>
      <c r="V41">
        <f>HYPERLINK("https://klasma.github.io/Logging_2518/klagomål/A 15202-2023 FSC-klagomål.docx", "A 15202-2023")</f>
        <v/>
      </c>
      <c r="W41">
        <f>HYPERLINK("https://klasma.github.io/Logging_2518/klagomålsmail/A 15202-2023 FSC-klagomål mail.docx", "A 15202-2023")</f>
        <v/>
      </c>
      <c r="X41">
        <f>HYPERLINK("https://klasma.github.io/Logging_2518/tillsyn/A 15202-2023 tillsynsbegäran.docx", "A 15202-2023")</f>
        <v/>
      </c>
      <c r="Y41">
        <f>HYPERLINK("https://klasma.github.io/Logging_2518/tillsynsmail/A 15202-2023 tillsynsbegäran mail.docx", "A 15202-2023")</f>
        <v/>
      </c>
      <c r="Z41">
        <f>HYPERLINK("https://klasma.github.io/Logging_2518/fåglar/A 15202-2023 prioriterade fågelarter.docx", "A 15202-2023")</f>
        <v/>
      </c>
    </row>
    <row r="42" ht="15" customHeight="1">
      <c r="A42" t="inlineStr">
        <is>
          <t>A 22380-2024</t>
        </is>
      </c>
      <c r="B42" s="1" t="n">
        <v>45446</v>
      </c>
      <c r="C42" s="1" t="n">
        <v>45790</v>
      </c>
      <c r="D42" t="inlineStr">
        <is>
          <t>NORRBOTTENS LÄN</t>
        </is>
      </c>
      <c r="E42" t="inlineStr">
        <is>
          <t>ÖVERTORNEÅ</t>
        </is>
      </c>
      <c r="G42" t="n">
        <v>22.9</v>
      </c>
      <c r="H42" t="n">
        <v>2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Garnlav
Spillkråka
Tretåig hackspett
Violmussling
Vedticka</t>
        </is>
      </c>
      <c r="S42">
        <f>HYPERLINK("https://klasma.github.io/Logging_2518/artfynd/A 22380-2024 artfynd.xlsx", "A 22380-2024")</f>
        <v/>
      </c>
      <c r="T42">
        <f>HYPERLINK("https://klasma.github.io/Logging_2518/kartor/A 22380-2024 karta.png", "A 22380-2024")</f>
        <v/>
      </c>
      <c r="V42">
        <f>HYPERLINK("https://klasma.github.io/Logging_2518/klagomål/A 22380-2024 FSC-klagomål.docx", "A 22380-2024")</f>
        <v/>
      </c>
      <c r="W42">
        <f>HYPERLINK("https://klasma.github.io/Logging_2518/klagomålsmail/A 22380-2024 FSC-klagomål mail.docx", "A 22380-2024")</f>
        <v/>
      </c>
      <c r="X42">
        <f>HYPERLINK("https://klasma.github.io/Logging_2518/tillsyn/A 22380-2024 tillsynsbegäran.docx", "A 22380-2024")</f>
        <v/>
      </c>
      <c r="Y42">
        <f>HYPERLINK("https://klasma.github.io/Logging_2518/tillsynsmail/A 22380-2024 tillsynsbegäran mail.docx", "A 22380-2024")</f>
        <v/>
      </c>
      <c r="Z42">
        <f>HYPERLINK("https://klasma.github.io/Logging_2518/fåglar/A 22380-2024 prioriterade fågelarter.docx", "A 22380-2024")</f>
        <v/>
      </c>
    </row>
    <row r="43" ht="15" customHeight="1">
      <c r="A43" t="inlineStr">
        <is>
          <t>A 43537-2024</t>
        </is>
      </c>
      <c r="B43" s="1" t="n">
        <v>45569</v>
      </c>
      <c r="C43" s="1" t="n">
        <v>45790</v>
      </c>
      <c r="D43" t="inlineStr">
        <is>
          <t>NORRBOTTENS LÄN</t>
        </is>
      </c>
      <c r="E43" t="inlineStr">
        <is>
          <t>ÖVERTORNEÅ</t>
        </is>
      </c>
      <c r="G43" t="n">
        <v>5.6</v>
      </c>
      <c r="H43" t="n">
        <v>4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Tretåig hackspett
Plattlummer
Spindelblomster
Revlummer</t>
        </is>
      </c>
      <c r="S43">
        <f>HYPERLINK("https://klasma.github.io/Logging_2518/artfynd/A 43537-2024 artfynd.xlsx", "A 43537-2024")</f>
        <v/>
      </c>
      <c r="T43">
        <f>HYPERLINK("https://klasma.github.io/Logging_2518/kartor/A 43537-2024 karta.png", "A 43537-2024")</f>
        <v/>
      </c>
      <c r="V43">
        <f>HYPERLINK("https://klasma.github.io/Logging_2518/klagomål/A 43537-2024 FSC-klagomål.docx", "A 43537-2024")</f>
        <v/>
      </c>
      <c r="W43">
        <f>HYPERLINK("https://klasma.github.io/Logging_2518/klagomålsmail/A 43537-2024 FSC-klagomål mail.docx", "A 43537-2024")</f>
        <v/>
      </c>
      <c r="X43">
        <f>HYPERLINK("https://klasma.github.io/Logging_2518/tillsyn/A 43537-2024 tillsynsbegäran.docx", "A 43537-2024")</f>
        <v/>
      </c>
      <c r="Y43">
        <f>HYPERLINK("https://klasma.github.io/Logging_2518/tillsynsmail/A 43537-2024 tillsynsbegäran mail.docx", "A 43537-2024")</f>
        <v/>
      </c>
      <c r="Z43">
        <f>HYPERLINK("https://klasma.github.io/Logging_2518/fåglar/A 43537-2024 prioriterade fågelarter.docx", "A 43537-2024")</f>
        <v/>
      </c>
    </row>
    <row r="44" ht="15" customHeight="1">
      <c r="A44" t="inlineStr">
        <is>
          <t>A 142-2024</t>
        </is>
      </c>
      <c r="B44" s="1" t="n">
        <v>45293</v>
      </c>
      <c r="C44" s="1" t="n">
        <v>45790</v>
      </c>
      <c r="D44" t="inlineStr">
        <is>
          <t>NORRBOTTENS LÄN</t>
        </is>
      </c>
      <c r="E44" t="inlineStr">
        <is>
          <t>ÖVERTORNEÅ</t>
        </is>
      </c>
      <c r="G44" t="n">
        <v>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HYPERLINK("https://klasma.github.io/Logging_2518/artfynd/A 142-2024 artfynd.xlsx", "A 142-2024")</f>
        <v/>
      </c>
      <c r="T44">
        <f>HYPERLINK("https://klasma.github.io/Logging_2518/kartor/A 142-2024 karta.png", "A 142-2024")</f>
        <v/>
      </c>
      <c r="V44">
        <f>HYPERLINK("https://klasma.github.io/Logging_2518/klagomål/A 142-2024 FSC-klagomål.docx", "A 142-2024")</f>
        <v/>
      </c>
      <c r="W44">
        <f>HYPERLINK("https://klasma.github.io/Logging_2518/klagomålsmail/A 142-2024 FSC-klagomål mail.docx", "A 142-2024")</f>
        <v/>
      </c>
      <c r="X44">
        <f>HYPERLINK("https://klasma.github.io/Logging_2518/tillsyn/A 142-2024 tillsynsbegäran.docx", "A 142-2024")</f>
        <v/>
      </c>
      <c r="Y44">
        <f>HYPERLINK("https://klasma.github.io/Logging_2518/tillsynsmail/A 142-2024 tillsynsbegäran mail.docx", "A 142-2024")</f>
        <v/>
      </c>
      <c r="Z44">
        <f>HYPERLINK("https://klasma.github.io/Logging_2518/fåglar/A 142-2024 prioriterade fågelarter.docx", "A 142-2024")</f>
        <v/>
      </c>
    </row>
    <row r="45" ht="15" customHeight="1">
      <c r="A45" t="inlineStr">
        <is>
          <t>A 16456-2024</t>
        </is>
      </c>
      <c r="B45" s="1" t="n">
        <v>45407</v>
      </c>
      <c r="C45" s="1" t="n">
        <v>45790</v>
      </c>
      <c r="D45" t="inlineStr">
        <is>
          <t>NORRBOTTENS LÄN</t>
        </is>
      </c>
      <c r="E45" t="inlineStr">
        <is>
          <t>ÖVERTORNEÅ</t>
        </is>
      </c>
      <c r="G45" t="n">
        <v>11.3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Spillkråka
Tretåig hackspett
Revlummer</t>
        </is>
      </c>
      <c r="S45">
        <f>HYPERLINK("https://klasma.github.io/Logging_2518/artfynd/A 16456-2024 artfynd.xlsx", "A 16456-2024")</f>
        <v/>
      </c>
      <c r="T45">
        <f>HYPERLINK("https://klasma.github.io/Logging_2518/kartor/A 16456-2024 karta.png", "A 16456-2024")</f>
        <v/>
      </c>
      <c r="V45">
        <f>HYPERLINK("https://klasma.github.io/Logging_2518/klagomål/A 16456-2024 FSC-klagomål.docx", "A 16456-2024")</f>
        <v/>
      </c>
      <c r="W45">
        <f>HYPERLINK("https://klasma.github.io/Logging_2518/klagomålsmail/A 16456-2024 FSC-klagomål mail.docx", "A 16456-2024")</f>
        <v/>
      </c>
      <c r="X45">
        <f>HYPERLINK("https://klasma.github.io/Logging_2518/tillsyn/A 16456-2024 tillsynsbegäran.docx", "A 16456-2024")</f>
        <v/>
      </c>
      <c r="Y45">
        <f>HYPERLINK("https://klasma.github.io/Logging_2518/tillsynsmail/A 16456-2024 tillsynsbegäran mail.docx", "A 16456-2024")</f>
        <v/>
      </c>
      <c r="Z45">
        <f>HYPERLINK("https://klasma.github.io/Logging_2518/fåglar/A 16456-2024 prioriterade fågelarter.docx", "A 16456-2024")</f>
        <v/>
      </c>
    </row>
    <row r="46" ht="15" customHeight="1">
      <c r="A46" t="inlineStr">
        <is>
          <t>A 60484-2024</t>
        </is>
      </c>
      <c r="B46" s="1" t="n">
        <v>45643</v>
      </c>
      <c r="C46" s="1" t="n">
        <v>45790</v>
      </c>
      <c r="D46" t="inlineStr">
        <is>
          <t>NORRBOTTENS LÄN</t>
        </is>
      </c>
      <c r="E46" t="inlineStr">
        <is>
          <t>ÖVERTORNEÅ</t>
        </is>
      </c>
      <c r="G46" t="n">
        <v>12.7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Garnlav
Kolflarnlav
Nordtagging</t>
        </is>
      </c>
      <c r="S46">
        <f>HYPERLINK("https://klasma.github.io/Logging_2518/artfynd/A 60484-2024 artfynd.xlsx", "A 60484-2024")</f>
        <v/>
      </c>
      <c r="T46">
        <f>HYPERLINK("https://klasma.github.io/Logging_2518/kartor/A 60484-2024 karta.png", "A 60484-2024")</f>
        <v/>
      </c>
      <c r="U46">
        <f>HYPERLINK("https://klasma.github.io/Logging_2518/knärot/A 60484-2024 karta knärot.png", "A 60484-2024")</f>
        <v/>
      </c>
      <c r="V46">
        <f>HYPERLINK("https://klasma.github.io/Logging_2518/klagomål/A 60484-2024 FSC-klagomål.docx", "A 60484-2024")</f>
        <v/>
      </c>
      <c r="W46">
        <f>HYPERLINK("https://klasma.github.io/Logging_2518/klagomålsmail/A 60484-2024 FSC-klagomål mail.docx", "A 60484-2024")</f>
        <v/>
      </c>
      <c r="X46">
        <f>HYPERLINK("https://klasma.github.io/Logging_2518/tillsyn/A 60484-2024 tillsynsbegäran.docx", "A 60484-2024")</f>
        <v/>
      </c>
      <c r="Y46">
        <f>HYPERLINK("https://klasma.github.io/Logging_2518/tillsynsmail/A 60484-2024 tillsynsbegäran mail.docx", "A 60484-2024")</f>
        <v/>
      </c>
    </row>
    <row r="47" ht="15" customHeight="1">
      <c r="A47" t="inlineStr">
        <is>
          <t>A 3458-2021</t>
        </is>
      </c>
      <c r="B47" s="1" t="n">
        <v>44216</v>
      </c>
      <c r="C47" s="1" t="n">
        <v>45790</v>
      </c>
      <c r="D47" t="inlineStr">
        <is>
          <t>NORRBOTTENS LÄN</t>
        </is>
      </c>
      <c r="E47" t="inlineStr">
        <is>
          <t>ÖVERTORNEÅ</t>
        </is>
      </c>
      <c r="G47" t="n">
        <v>3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3458-2021 artfynd.xlsx", "A 3458-2021")</f>
        <v/>
      </c>
      <c r="T47">
        <f>HYPERLINK("https://klasma.github.io/Logging_2518/kartor/A 3458-2021 karta.png", "A 3458-2021")</f>
        <v/>
      </c>
      <c r="U47">
        <f>HYPERLINK("https://klasma.github.io/Logging_2518/knärot/A 3458-2021 karta knärot.png", "A 3458-2021")</f>
        <v/>
      </c>
      <c r="V47">
        <f>HYPERLINK("https://klasma.github.io/Logging_2518/klagomål/A 3458-2021 FSC-klagomål.docx", "A 3458-2021")</f>
        <v/>
      </c>
      <c r="W47">
        <f>HYPERLINK("https://klasma.github.io/Logging_2518/klagomålsmail/A 3458-2021 FSC-klagomål mail.docx", "A 3458-2021")</f>
        <v/>
      </c>
      <c r="X47">
        <f>HYPERLINK("https://klasma.github.io/Logging_2518/tillsyn/A 3458-2021 tillsynsbegäran.docx", "A 3458-2021")</f>
        <v/>
      </c>
      <c r="Y47">
        <f>HYPERLINK("https://klasma.github.io/Logging_2518/tillsynsmail/A 3458-2021 tillsynsbegäran mail.docx", "A 3458-2021")</f>
        <v/>
      </c>
    </row>
    <row r="48" ht="15" customHeight="1">
      <c r="A48" t="inlineStr">
        <is>
          <t>A 46019-2021</t>
        </is>
      </c>
      <c r="B48" s="1" t="n">
        <v>44441</v>
      </c>
      <c r="C48" s="1" t="n">
        <v>45790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46019-2021 artfynd.xlsx", "A 46019-2021")</f>
        <v/>
      </c>
      <c r="T48">
        <f>HYPERLINK("https://klasma.github.io/Logging_2518/kartor/A 46019-2021 karta.png", "A 46019-2021")</f>
        <v/>
      </c>
      <c r="U48">
        <f>HYPERLINK("https://klasma.github.io/Logging_2518/knärot/A 46019-2021 karta knärot.png", "A 46019-2021")</f>
        <v/>
      </c>
      <c r="V48">
        <f>HYPERLINK("https://klasma.github.io/Logging_2518/klagomål/A 46019-2021 FSC-klagomål.docx", "A 46019-2021")</f>
        <v/>
      </c>
      <c r="W48">
        <f>HYPERLINK("https://klasma.github.io/Logging_2518/klagomålsmail/A 46019-2021 FSC-klagomål mail.docx", "A 46019-2021")</f>
        <v/>
      </c>
      <c r="X48">
        <f>HYPERLINK("https://klasma.github.io/Logging_2518/tillsyn/A 46019-2021 tillsynsbegäran.docx", "A 46019-2021")</f>
        <v/>
      </c>
      <c r="Y48">
        <f>HYPERLINK("https://klasma.github.io/Logging_2518/tillsynsmail/A 46019-2021 tillsynsbegäran mail.docx", "A 46019-2021")</f>
        <v/>
      </c>
    </row>
    <row r="49" ht="15" customHeight="1">
      <c r="A49" t="inlineStr">
        <is>
          <t>A 19133-2023</t>
        </is>
      </c>
      <c r="B49" s="1" t="n">
        <v>45044</v>
      </c>
      <c r="C49" s="1" t="n">
        <v>45790</v>
      </c>
      <c r="D49" t="inlineStr">
        <is>
          <t>NORRBOTTENS LÄN</t>
        </is>
      </c>
      <c r="E49" t="inlineStr">
        <is>
          <t>ÖVERTORNEÅ</t>
        </is>
      </c>
      <c r="G49" t="n">
        <v>11.4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Järpe
Spillkråka</t>
        </is>
      </c>
      <c r="S49">
        <f>HYPERLINK("https://klasma.github.io/Logging_2518/artfynd/A 19133-2023 artfynd.xlsx", "A 19133-2023")</f>
        <v/>
      </c>
      <c r="T49">
        <f>HYPERLINK("https://klasma.github.io/Logging_2518/kartor/A 19133-2023 karta.png", "A 19133-2023")</f>
        <v/>
      </c>
      <c r="V49">
        <f>HYPERLINK("https://klasma.github.io/Logging_2518/klagomål/A 19133-2023 FSC-klagomål.docx", "A 19133-2023")</f>
        <v/>
      </c>
      <c r="W49">
        <f>HYPERLINK("https://klasma.github.io/Logging_2518/klagomålsmail/A 19133-2023 FSC-klagomål mail.docx", "A 19133-2023")</f>
        <v/>
      </c>
      <c r="X49">
        <f>HYPERLINK("https://klasma.github.io/Logging_2518/tillsyn/A 19133-2023 tillsynsbegäran.docx", "A 19133-2023")</f>
        <v/>
      </c>
      <c r="Y49">
        <f>HYPERLINK("https://klasma.github.io/Logging_2518/tillsynsmail/A 19133-2023 tillsynsbegäran mail.docx", "A 19133-2023")</f>
        <v/>
      </c>
      <c r="Z49">
        <f>HYPERLINK("https://klasma.github.io/Logging_2518/fåglar/A 19133-2023 prioriterade fågelarter.docx", "A 19133-2023")</f>
        <v/>
      </c>
    </row>
    <row r="50" ht="15" customHeight="1">
      <c r="A50" t="inlineStr">
        <is>
          <t>A 30293-2023</t>
        </is>
      </c>
      <c r="B50" s="1" t="n">
        <v>45111</v>
      </c>
      <c r="C50" s="1" t="n">
        <v>45790</v>
      </c>
      <c r="D50" t="inlineStr">
        <is>
          <t>NORRBOTTENS LÄN</t>
        </is>
      </c>
      <c r="E50" t="inlineStr">
        <is>
          <t>ÖVERTORNEÅ</t>
        </is>
      </c>
      <c r="G50" t="n">
        <v>3.8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Violmussling</t>
        </is>
      </c>
      <c r="S50">
        <f>HYPERLINK("https://klasma.github.io/Logging_2518/artfynd/A 30293-2023 artfynd.xlsx", "A 30293-2023")</f>
        <v/>
      </c>
      <c r="T50">
        <f>HYPERLINK("https://klasma.github.io/Logging_2518/kartor/A 30293-2023 karta.png", "A 30293-2023")</f>
        <v/>
      </c>
      <c r="V50">
        <f>HYPERLINK("https://klasma.github.io/Logging_2518/klagomål/A 30293-2023 FSC-klagomål.docx", "A 30293-2023")</f>
        <v/>
      </c>
      <c r="W50">
        <f>HYPERLINK("https://klasma.github.io/Logging_2518/klagomålsmail/A 30293-2023 FSC-klagomål mail.docx", "A 30293-2023")</f>
        <v/>
      </c>
      <c r="X50">
        <f>HYPERLINK("https://klasma.github.io/Logging_2518/tillsyn/A 30293-2023 tillsynsbegäran.docx", "A 30293-2023")</f>
        <v/>
      </c>
      <c r="Y50">
        <f>HYPERLINK("https://klasma.github.io/Logging_2518/tillsynsmail/A 30293-2023 tillsynsbegäran mail.docx", "A 30293-2023")</f>
        <v/>
      </c>
      <c r="Z50">
        <f>HYPERLINK("https://klasma.github.io/Logging_2518/fåglar/A 30293-2023 prioriterade fågelarter.docx", "A 30293-2023")</f>
        <v/>
      </c>
    </row>
    <row r="51" ht="15" customHeight="1">
      <c r="A51" t="inlineStr">
        <is>
          <t>A 38176-2023</t>
        </is>
      </c>
      <c r="B51" s="1" t="n">
        <v>45161</v>
      </c>
      <c r="C51" s="1" t="n">
        <v>45790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1.3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Bårdlav
Stuplav</t>
        </is>
      </c>
      <c r="S51">
        <f>HYPERLINK("https://klasma.github.io/Logging_2518/artfynd/A 38176-2023 artfynd.xlsx", "A 38176-2023")</f>
        <v/>
      </c>
      <c r="T51">
        <f>HYPERLINK("https://klasma.github.io/Logging_2518/kartor/A 38176-2023 karta.png", "A 38176-2023")</f>
        <v/>
      </c>
      <c r="V51">
        <f>HYPERLINK("https://klasma.github.io/Logging_2518/klagomål/A 38176-2023 FSC-klagomål.docx", "A 38176-2023")</f>
        <v/>
      </c>
      <c r="W51">
        <f>HYPERLINK("https://klasma.github.io/Logging_2518/klagomålsmail/A 38176-2023 FSC-klagomål mail.docx", "A 38176-2023")</f>
        <v/>
      </c>
      <c r="X51">
        <f>HYPERLINK("https://klasma.github.io/Logging_2518/tillsyn/A 38176-2023 tillsynsbegäran.docx", "A 38176-2023")</f>
        <v/>
      </c>
      <c r="Y51">
        <f>HYPERLINK("https://klasma.github.io/Logging_2518/tillsynsmail/A 38176-2023 tillsynsbegäran mail.docx", "A 38176-2023")</f>
        <v/>
      </c>
    </row>
    <row r="52" ht="15" customHeight="1">
      <c r="A52" t="inlineStr">
        <is>
          <t>A 65260-2023</t>
        </is>
      </c>
      <c r="B52" s="1" t="n">
        <v>45291</v>
      </c>
      <c r="C52" s="1" t="n">
        <v>45790</v>
      </c>
      <c r="D52" t="inlineStr">
        <is>
          <t>NORRBOTTENS LÄN</t>
        </is>
      </c>
      <c r="E52" t="inlineStr">
        <is>
          <t>ÖVERTORNEÅ</t>
        </is>
      </c>
      <c r="G52" t="n">
        <v>7.7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Spillkråka
Vedticka</t>
        </is>
      </c>
      <c r="S52">
        <f>HYPERLINK("https://klasma.github.io/Logging_2518/artfynd/A 65260-2023 artfynd.xlsx", "A 65260-2023")</f>
        <v/>
      </c>
      <c r="T52">
        <f>HYPERLINK("https://klasma.github.io/Logging_2518/kartor/A 65260-2023 karta.png", "A 65260-2023")</f>
        <v/>
      </c>
      <c r="V52">
        <f>HYPERLINK("https://klasma.github.io/Logging_2518/klagomål/A 65260-2023 FSC-klagomål.docx", "A 65260-2023")</f>
        <v/>
      </c>
      <c r="W52">
        <f>HYPERLINK("https://klasma.github.io/Logging_2518/klagomålsmail/A 65260-2023 FSC-klagomål mail.docx", "A 65260-2023")</f>
        <v/>
      </c>
      <c r="X52">
        <f>HYPERLINK("https://klasma.github.io/Logging_2518/tillsyn/A 65260-2023 tillsynsbegäran.docx", "A 65260-2023")</f>
        <v/>
      </c>
      <c r="Y52">
        <f>HYPERLINK("https://klasma.github.io/Logging_2518/tillsynsmail/A 65260-2023 tillsynsbegäran mail.docx", "A 65260-2023")</f>
        <v/>
      </c>
      <c r="Z52">
        <f>HYPERLINK("https://klasma.github.io/Logging_2518/fåglar/A 65260-2023 prioriterade fågelarter.docx", "A 65260-2023")</f>
        <v/>
      </c>
    </row>
    <row r="53" ht="15" customHeight="1">
      <c r="A53" t="inlineStr">
        <is>
          <t>A 605-2024</t>
        </is>
      </c>
      <c r="B53" s="1" t="n">
        <v>45299</v>
      </c>
      <c r="C53" s="1" t="n">
        <v>45790</v>
      </c>
      <c r="D53" t="inlineStr">
        <is>
          <t>NORRBOTTENS LÄN</t>
        </is>
      </c>
      <c r="E53" t="inlineStr">
        <is>
          <t>ÖVERTORNEÅ</t>
        </is>
      </c>
      <c r="G53" t="n">
        <v>17.4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Videsparv
Ärtsångare
Lavskrika</t>
        </is>
      </c>
      <c r="S53">
        <f>HYPERLINK("https://klasma.github.io/Logging_2518/artfynd/A 605-2024 artfynd.xlsx", "A 605-2024")</f>
        <v/>
      </c>
      <c r="T53">
        <f>HYPERLINK("https://klasma.github.io/Logging_2518/kartor/A 605-2024 karta.png", "A 605-2024")</f>
        <v/>
      </c>
      <c r="V53">
        <f>HYPERLINK("https://klasma.github.io/Logging_2518/klagomål/A 605-2024 FSC-klagomål.docx", "A 605-2024")</f>
        <v/>
      </c>
      <c r="W53">
        <f>HYPERLINK("https://klasma.github.io/Logging_2518/klagomålsmail/A 605-2024 FSC-klagomål mail.docx", "A 605-2024")</f>
        <v/>
      </c>
      <c r="X53">
        <f>HYPERLINK("https://klasma.github.io/Logging_2518/tillsyn/A 605-2024 tillsynsbegäran.docx", "A 605-2024")</f>
        <v/>
      </c>
      <c r="Y53">
        <f>HYPERLINK("https://klasma.github.io/Logging_2518/tillsynsmail/A 605-2024 tillsynsbegäran mail.docx", "A 605-2024")</f>
        <v/>
      </c>
      <c r="Z53">
        <f>HYPERLINK("https://klasma.github.io/Logging_2518/fåglar/A 605-2024 prioriterade fågelarter.docx", "A 605-2024")</f>
        <v/>
      </c>
    </row>
    <row r="54" ht="15" customHeight="1">
      <c r="A54" t="inlineStr">
        <is>
          <t>A 46352-2024</t>
        </is>
      </c>
      <c r="B54" s="1" t="n">
        <v>45582</v>
      </c>
      <c r="C54" s="1" t="n">
        <v>45790</v>
      </c>
      <c r="D54" t="inlineStr">
        <is>
          <t>NORRBOTTENS LÄN</t>
        </is>
      </c>
      <c r="E54" t="inlineStr">
        <is>
          <t>ÖVERTORNEÅ</t>
        </is>
      </c>
      <c r="G54" t="n">
        <v>30.9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Lavskrika</t>
        </is>
      </c>
      <c r="S54">
        <f>HYPERLINK("https://klasma.github.io/Logging_2518/artfynd/A 46352-2024 artfynd.xlsx", "A 46352-2024")</f>
        <v/>
      </c>
      <c r="T54">
        <f>HYPERLINK("https://klasma.github.io/Logging_2518/kartor/A 46352-2024 karta.png", "A 46352-2024")</f>
        <v/>
      </c>
      <c r="V54">
        <f>HYPERLINK("https://klasma.github.io/Logging_2518/klagomål/A 46352-2024 FSC-klagomål.docx", "A 46352-2024")</f>
        <v/>
      </c>
      <c r="W54">
        <f>HYPERLINK("https://klasma.github.io/Logging_2518/klagomålsmail/A 46352-2024 FSC-klagomål mail.docx", "A 46352-2024")</f>
        <v/>
      </c>
      <c r="X54">
        <f>HYPERLINK("https://klasma.github.io/Logging_2518/tillsyn/A 46352-2024 tillsynsbegäran.docx", "A 46352-2024")</f>
        <v/>
      </c>
      <c r="Y54">
        <f>HYPERLINK("https://klasma.github.io/Logging_2518/tillsynsmail/A 46352-2024 tillsynsbegäran mail.docx", "A 46352-2024")</f>
        <v/>
      </c>
      <c r="Z54">
        <f>HYPERLINK("https://klasma.github.io/Logging_2518/fåglar/A 46352-2024 prioriterade fågelarter.docx", "A 46352-2024")</f>
        <v/>
      </c>
    </row>
    <row r="55" ht="15" customHeight="1">
      <c r="A55" t="inlineStr">
        <is>
          <t>A 7505-2025</t>
        </is>
      </c>
      <c r="B55" s="1" t="n">
        <v>45705</v>
      </c>
      <c r="C55" s="1" t="n">
        <v>45790</v>
      </c>
      <c r="D55" t="inlineStr">
        <is>
          <t>NORRBOTTENS LÄN</t>
        </is>
      </c>
      <c r="E55" t="inlineStr">
        <is>
          <t>ÖVERTORNEÅ</t>
        </is>
      </c>
      <c r="G55" t="n">
        <v>8.6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Finnmyrten
Älvstarr
Ögonpyrola</t>
        </is>
      </c>
      <c r="S55">
        <f>HYPERLINK("https://klasma.github.io/Logging_2518/artfynd/A 7505-2025 artfynd.xlsx", "A 7505-2025")</f>
        <v/>
      </c>
      <c r="T55">
        <f>HYPERLINK("https://klasma.github.io/Logging_2518/kartor/A 7505-2025 karta.png", "A 7505-2025")</f>
        <v/>
      </c>
      <c r="V55">
        <f>HYPERLINK("https://klasma.github.io/Logging_2518/klagomål/A 7505-2025 FSC-klagomål.docx", "A 7505-2025")</f>
        <v/>
      </c>
      <c r="W55">
        <f>HYPERLINK("https://klasma.github.io/Logging_2518/klagomålsmail/A 7505-2025 FSC-klagomål mail.docx", "A 7505-2025")</f>
        <v/>
      </c>
      <c r="X55">
        <f>HYPERLINK("https://klasma.github.io/Logging_2518/tillsyn/A 7505-2025 tillsynsbegäran.docx", "A 7505-2025")</f>
        <v/>
      </c>
      <c r="Y55">
        <f>HYPERLINK("https://klasma.github.io/Logging_2518/tillsynsmail/A 7505-2025 tillsynsbegäran mail.docx", "A 7505-2025")</f>
        <v/>
      </c>
    </row>
    <row r="56" ht="15" customHeight="1">
      <c r="A56" t="inlineStr">
        <is>
          <t>A 23307-2019</t>
        </is>
      </c>
      <c r="B56" s="1" t="n">
        <v>43593</v>
      </c>
      <c r="C56" s="1" t="n">
        <v>45790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34.4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Stjärntagging</t>
        </is>
      </c>
      <c r="S56">
        <f>HYPERLINK("https://klasma.github.io/Logging_2518/artfynd/A 23307-2019 artfynd.xlsx", "A 23307-2019")</f>
        <v/>
      </c>
      <c r="T56">
        <f>HYPERLINK("https://klasma.github.io/Logging_2518/kartor/A 23307-2019 karta.png", "A 23307-2019")</f>
        <v/>
      </c>
      <c r="V56">
        <f>HYPERLINK("https://klasma.github.io/Logging_2518/klagomål/A 23307-2019 FSC-klagomål.docx", "A 23307-2019")</f>
        <v/>
      </c>
      <c r="W56">
        <f>HYPERLINK("https://klasma.github.io/Logging_2518/klagomålsmail/A 23307-2019 FSC-klagomål mail.docx", "A 23307-2019")</f>
        <v/>
      </c>
      <c r="X56">
        <f>HYPERLINK("https://klasma.github.io/Logging_2518/tillsyn/A 23307-2019 tillsynsbegäran.docx", "A 23307-2019")</f>
        <v/>
      </c>
      <c r="Y56">
        <f>HYPERLINK("https://klasma.github.io/Logging_2518/tillsynsmail/A 23307-2019 tillsynsbegäran mail.docx", "A 23307-2019")</f>
        <v/>
      </c>
    </row>
    <row r="57" ht="15" customHeight="1">
      <c r="A57" t="inlineStr">
        <is>
          <t>A 48789-2021</t>
        </is>
      </c>
      <c r="B57" s="1" t="n">
        <v>44452</v>
      </c>
      <c r="C57" s="1" t="n">
        <v>45790</v>
      </c>
      <c r="D57" t="inlineStr">
        <is>
          <t>NORRBOTTENS LÄN</t>
        </is>
      </c>
      <c r="E57" t="inlineStr">
        <is>
          <t>ÖVERTORNEÅ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48789-2021 artfynd.xlsx", "A 48789-2021")</f>
        <v/>
      </c>
      <c r="T57">
        <f>HYPERLINK("https://klasma.github.io/Logging_2518/kartor/A 48789-2021 karta.png", "A 48789-2021")</f>
        <v/>
      </c>
      <c r="V57">
        <f>HYPERLINK("https://klasma.github.io/Logging_2518/klagomål/A 48789-2021 FSC-klagomål.docx", "A 48789-2021")</f>
        <v/>
      </c>
      <c r="W57">
        <f>HYPERLINK("https://klasma.github.io/Logging_2518/klagomålsmail/A 48789-2021 FSC-klagomål mail.docx", "A 48789-2021")</f>
        <v/>
      </c>
      <c r="X57">
        <f>HYPERLINK("https://klasma.github.io/Logging_2518/tillsyn/A 48789-2021 tillsynsbegäran.docx", "A 48789-2021")</f>
        <v/>
      </c>
      <c r="Y57">
        <f>HYPERLINK("https://klasma.github.io/Logging_2518/tillsynsmail/A 48789-2021 tillsynsbegäran mail.docx", "A 48789-2021")</f>
        <v/>
      </c>
    </row>
    <row r="58" ht="15" customHeight="1">
      <c r="A58" t="inlineStr">
        <is>
          <t>A 22668-2022</t>
        </is>
      </c>
      <c r="B58" s="1" t="n">
        <v>44714</v>
      </c>
      <c r="C58" s="1" t="n">
        <v>45790</v>
      </c>
      <c r="D58" t="inlineStr">
        <is>
          <t>NORRBOTTENS LÄN</t>
        </is>
      </c>
      <c r="E58" t="inlineStr">
        <is>
          <t>ÖVERTORNEÅ</t>
        </is>
      </c>
      <c r="G58" t="n">
        <v>14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22668-2022 artfynd.xlsx", "A 22668-2022")</f>
        <v/>
      </c>
      <c r="T58">
        <f>HYPERLINK("https://klasma.github.io/Logging_2518/kartor/A 22668-2022 karta.png", "A 22668-2022")</f>
        <v/>
      </c>
      <c r="V58">
        <f>HYPERLINK("https://klasma.github.io/Logging_2518/klagomål/A 22668-2022 FSC-klagomål.docx", "A 22668-2022")</f>
        <v/>
      </c>
      <c r="W58">
        <f>HYPERLINK("https://klasma.github.io/Logging_2518/klagomålsmail/A 22668-2022 FSC-klagomål mail.docx", "A 22668-2022")</f>
        <v/>
      </c>
      <c r="X58">
        <f>HYPERLINK("https://klasma.github.io/Logging_2518/tillsyn/A 22668-2022 tillsynsbegäran.docx", "A 22668-2022")</f>
        <v/>
      </c>
      <c r="Y58">
        <f>HYPERLINK("https://klasma.github.io/Logging_2518/tillsynsmail/A 22668-2022 tillsynsbegäran mail.docx", "A 22668-2022")</f>
        <v/>
      </c>
    </row>
    <row r="59" ht="15" customHeight="1">
      <c r="A59" t="inlineStr">
        <is>
          <t>A 43057-2022</t>
        </is>
      </c>
      <c r="B59" s="1" t="n">
        <v>44833</v>
      </c>
      <c r="C59" s="1" t="n">
        <v>45790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HYPERLINK("https://klasma.github.io/Logging_2518/artfynd/A 43057-2022 artfynd.xlsx", "A 43057-2022")</f>
        <v/>
      </c>
      <c r="T59">
        <f>HYPERLINK("https://klasma.github.io/Logging_2518/kartor/A 43057-2022 karta.png", "A 43057-2022")</f>
        <v/>
      </c>
      <c r="V59">
        <f>HYPERLINK("https://klasma.github.io/Logging_2518/klagomål/A 43057-2022 FSC-klagomål.docx", "A 43057-2022")</f>
        <v/>
      </c>
      <c r="W59">
        <f>HYPERLINK("https://klasma.github.io/Logging_2518/klagomålsmail/A 43057-2022 FSC-klagomål mail.docx", "A 43057-2022")</f>
        <v/>
      </c>
      <c r="X59">
        <f>HYPERLINK("https://klasma.github.io/Logging_2518/tillsyn/A 43057-2022 tillsynsbegäran.docx", "A 43057-2022")</f>
        <v/>
      </c>
      <c r="Y59">
        <f>HYPERLINK("https://klasma.github.io/Logging_2518/tillsynsmail/A 43057-2022 tillsynsbegäran mail.docx", "A 43057-2022")</f>
        <v/>
      </c>
    </row>
    <row r="60" ht="15" customHeight="1">
      <c r="A60" t="inlineStr">
        <is>
          <t>A 44248-2022</t>
        </is>
      </c>
      <c r="B60" s="1" t="n">
        <v>44839</v>
      </c>
      <c r="C60" s="1" t="n">
        <v>45790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28.7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44248-2022 artfynd.xlsx", "A 44248-2022")</f>
        <v/>
      </c>
      <c r="T60">
        <f>HYPERLINK("https://klasma.github.io/Logging_2518/kartor/A 44248-2022 karta.png", "A 44248-2022")</f>
        <v/>
      </c>
      <c r="V60">
        <f>HYPERLINK("https://klasma.github.io/Logging_2518/klagomål/A 44248-2022 FSC-klagomål.docx", "A 44248-2022")</f>
        <v/>
      </c>
      <c r="W60">
        <f>HYPERLINK("https://klasma.github.io/Logging_2518/klagomålsmail/A 44248-2022 FSC-klagomål mail.docx", "A 44248-2022")</f>
        <v/>
      </c>
      <c r="X60">
        <f>HYPERLINK("https://klasma.github.io/Logging_2518/tillsyn/A 44248-2022 tillsynsbegäran.docx", "A 44248-2022")</f>
        <v/>
      </c>
      <c r="Y60">
        <f>HYPERLINK("https://klasma.github.io/Logging_2518/tillsynsmail/A 44248-2022 tillsynsbegäran mail.docx", "A 44248-2022")</f>
        <v/>
      </c>
    </row>
    <row r="61" ht="15" customHeight="1">
      <c r="A61" t="inlineStr">
        <is>
          <t>A 50957-2023</t>
        </is>
      </c>
      <c r="B61" s="1" t="n">
        <v>45211</v>
      </c>
      <c r="C61" s="1" t="n">
        <v>45790</v>
      </c>
      <c r="D61" t="inlineStr">
        <is>
          <t>NORRBOTTENS LÄN</t>
        </is>
      </c>
      <c r="E61" t="inlineStr">
        <is>
          <t>ÖVERTORNEÅ</t>
        </is>
      </c>
      <c r="G61" t="n">
        <v>34.4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Lavskrika</t>
        </is>
      </c>
      <c r="S61">
        <f>HYPERLINK("https://klasma.github.io/Logging_2518/artfynd/A 50957-2023 artfynd.xlsx", "A 50957-2023")</f>
        <v/>
      </c>
      <c r="T61">
        <f>HYPERLINK("https://klasma.github.io/Logging_2518/kartor/A 50957-2023 karta.png", "A 50957-2023")</f>
        <v/>
      </c>
      <c r="V61">
        <f>HYPERLINK("https://klasma.github.io/Logging_2518/klagomål/A 50957-2023 FSC-klagomål.docx", "A 50957-2023")</f>
        <v/>
      </c>
      <c r="W61">
        <f>HYPERLINK("https://klasma.github.io/Logging_2518/klagomålsmail/A 50957-2023 FSC-klagomål mail.docx", "A 50957-2023")</f>
        <v/>
      </c>
      <c r="X61">
        <f>HYPERLINK("https://klasma.github.io/Logging_2518/tillsyn/A 50957-2023 tillsynsbegäran.docx", "A 50957-2023")</f>
        <v/>
      </c>
      <c r="Y61">
        <f>HYPERLINK("https://klasma.github.io/Logging_2518/tillsynsmail/A 50957-2023 tillsynsbegäran mail.docx", "A 50957-2023")</f>
        <v/>
      </c>
      <c r="Z61">
        <f>HYPERLINK("https://klasma.github.io/Logging_2518/fåglar/A 50957-2023 prioriterade fågelarter.docx", "A 50957-2023")</f>
        <v/>
      </c>
    </row>
    <row r="62" ht="15" customHeight="1">
      <c r="A62" t="inlineStr">
        <is>
          <t>A 62199-2023</t>
        </is>
      </c>
      <c r="B62" s="1" t="n">
        <v>45267</v>
      </c>
      <c r="C62" s="1" t="n">
        <v>45790</v>
      </c>
      <c r="D62" t="inlineStr">
        <is>
          <t>NORRBOTTENS LÄN</t>
        </is>
      </c>
      <c r="E62" t="inlineStr">
        <is>
          <t>ÖVERTORNEÅ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Spillkråka</t>
        </is>
      </c>
      <c r="S62">
        <f>HYPERLINK("https://klasma.github.io/Logging_2518/artfynd/A 62199-2023 artfynd.xlsx", "A 62199-2023")</f>
        <v/>
      </c>
      <c r="T62">
        <f>HYPERLINK("https://klasma.github.io/Logging_2518/kartor/A 62199-2023 karta.png", "A 62199-2023")</f>
        <v/>
      </c>
      <c r="V62">
        <f>HYPERLINK("https://klasma.github.io/Logging_2518/klagomål/A 62199-2023 FSC-klagomål.docx", "A 62199-2023")</f>
        <v/>
      </c>
      <c r="W62">
        <f>HYPERLINK("https://klasma.github.io/Logging_2518/klagomålsmail/A 62199-2023 FSC-klagomål mail.docx", "A 62199-2023")</f>
        <v/>
      </c>
      <c r="X62">
        <f>HYPERLINK("https://klasma.github.io/Logging_2518/tillsyn/A 62199-2023 tillsynsbegäran.docx", "A 62199-2023")</f>
        <v/>
      </c>
      <c r="Y62">
        <f>HYPERLINK("https://klasma.github.io/Logging_2518/tillsynsmail/A 62199-2023 tillsynsbegäran mail.docx", "A 62199-2023")</f>
        <v/>
      </c>
      <c r="Z62">
        <f>HYPERLINK("https://klasma.github.io/Logging_2518/fåglar/A 62199-2023 prioriterade fågelarter.docx", "A 62199-2023")</f>
        <v/>
      </c>
    </row>
    <row r="63" ht="15" customHeight="1">
      <c r="A63" t="inlineStr">
        <is>
          <t>A 29381-2019</t>
        </is>
      </c>
      <c r="B63" s="1" t="n">
        <v>43629</v>
      </c>
      <c r="C63" s="1" t="n">
        <v>45790</v>
      </c>
      <c r="D63" t="inlineStr">
        <is>
          <t>NORRBOTTENS LÄN</t>
        </is>
      </c>
      <c r="E63" t="inlineStr">
        <is>
          <t>ÖVERTORNEÅ</t>
        </is>
      </c>
      <c r="G63" t="n">
        <v>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29381-2019 artfynd.xlsx", "A 29381-2019")</f>
        <v/>
      </c>
      <c r="T63">
        <f>HYPERLINK("https://klasma.github.io/Logging_2518/kartor/A 29381-2019 karta.png", "A 29381-2019")</f>
        <v/>
      </c>
      <c r="V63">
        <f>HYPERLINK("https://klasma.github.io/Logging_2518/klagomål/A 29381-2019 FSC-klagomål.docx", "A 29381-2019")</f>
        <v/>
      </c>
      <c r="W63">
        <f>HYPERLINK("https://klasma.github.io/Logging_2518/klagomålsmail/A 29381-2019 FSC-klagomål mail.docx", "A 29381-2019")</f>
        <v/>
      </c>
      <c r="X63">
        <f>HYPERLINK("https://klasma.github.io/Logging_2518/tillsyn/A 29381-2019 tillsynsbegäran.docx", "A 29381-2019")</f>
        <v/>
      </c>
      <c r="Y63">
        <f>HYPERLINK("https://klasma.github.io/Logging_2518/tillsynsmail/A 29381-2019 tillsynsbegäran mail.docx", "A 29381-2019")</f>
        <v/>
      </c>
    </row>
    <row r="64" ht="15" customHeight="1">
      <c r="A64" t="inlineStr">
        <is>
          <t>A 38711-2019</t>
        </is>
      </c>
      <c r="B64" s="1" t="n">
        <v>43686</v>
      </c>
      <c r="C64" s="1" t="n">
        <v>45790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HYPERLINK("https://klasma.github.io/Logging_2518/artfynd/A 38711-2019 artfynd.xlsx", "A 38711-2019")</f>
        <v/>
      </c>
      <c r="T64">
        <f>HYPERLINK("https://klasma.github.io/Logging_2518/kartor/A 38711-2019 karta.png", "A 38711-2019")</f>
        <v/>
      </c>
      <c r="V64">
        <f>HYPERLINK("https://klasma.github.io/Logging_2518/klagomål/A 38711-2019 FSC-klagomål.docx", "A 38711-2019")</f>
        <v/>
      </c>
      <c r="W64">
        <f>HYPERLINK("https://klasma.github.io/Logging_2518/klagomålsmail/A 38711-2019 FSC-klagomål mail.docx", "A 38711-2019")</f>
        <v/>
      </c>
      <c r="X64">
        <f>HYPERLINK("https://klasma.github.io/Logging_2518/tillsyn/A 38711-2019 tillsynsbegäran.docx", "A 38711-2019")</f>
        <v/>
      </c>
      <c r="Y64">
        <f>HYPERLINK("https://klasma.github.io/Logging_2518/tillsynsmail/A 38711-2019 tillsynsbegäran mail.docx", "A 38711-2019")</f>
        <v/>
      </c>
      <c r="Z64">
        <f>HYPERLINK("https://klasma.github.io/Logging_2518/fåglar/A 38711-2019 prioriterade fågelarter.docx", "A 38711-2019")</f>
        <v/>
      </c>
    </row>
    <row r="65" ht="15" customHeight="1">
      <c r="A65" t="inlineStr">
        <is>
          <t>A 69535-2020</t>
        </is>
      </c>
      <c r="B65" s="1" t="n">
        <v>44194</v>
      </c>
      <c r="C65" s="1" t="n">
        <v>45790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HYPERLINK("https://klasma.github.io/Logging_2518/artfynd/A 69535-2020 artfynd.xlsx", "A 69535-2020")</f>
        <v/>
      </c>
      <c r="T65">
        <f>HYPERLINK("https://klasma.github.io/Logging_2518/kartor/A 69535-2020 karta.png", "A 69535-2020")</f>
        <v/>
      </c>
      <c r="V65">
        <f>HYPERLINK("https://klasma.github.io/Logging_2518/klagomål/A 69535-2020 FSC-klagomål.docx", "A 69535-2020")</f>
        <v/>
      </c>
      <c r="W65">
        <f>HYPERLINK("https://klasma.github.io/Logging_2518/klagomålsmail/A 69535-2020 FSC-klagomål mail.docx", "A 69535-2020")</f>
        <v/>
      </c>
      <c r="X65">
        <f>HYPERLINK("https://klasma.github.io/Logging_2518/tillsyn/A 69535-2020 tillsynsbegäran.docx", "A 69535-2020")</f>
        <v/>
      </c>
      <c r="Y65">
        <f>HYPERLINK("https://klasma.github.io/Logging_2518/tillsynsmail/A 69535-2020 tillsynsbegäran mail.docx", "A 69535-2020")</f>
        <v/>
      </c>
    </row>
    <row r="66" ht="15" customHeight="1">
      <c r="A66" t="inlineStr">
        <is>
          <t>A 40208-2021</t>
        </is>
      </c>
      <c r="B66" s="1" t="n">
        <v>44418</v>
      </c>
      <c r="C66" s="1" t="n">
        <v>45790</v>
      </c>
      <c r="D66" t="inlineStr">
        <is>
          <t>NORRBOTTENS LÄN</t>
        </is>
      </c>
      <c r="E66" t="inlineStr">
        <is>
          <t>ÖVERTORNEÅ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Älvstarr</t>
        </is>
      </c>
      <c r="S66">
        <f>HYPERLINK("https://klasma.github.io/Logging_2518/artfynd/A 40208-2021 artfynd.xlsx", "A 40208-2021")</f>
        <v/>
      </c>
      <c r="T66">
        <f>HYPERLINK("https://klasma.github.io/Logging_2518/kartor/A 40208-2021 karta.png", "A 40208-2021")</f>
        <v/>
      </c>
      <c r="V66">
        <f>HYPERLINK("https://klasma.github.io/Logging_2518/klagomål/A 40208-2021 FSC-klagomål.docx", "A 40208-2021")</f>
        <v/>
      </c>
      <c r="W66">
        <f>HYPERLINK("https://klasma.github.io/Logging_2518/klagomålsmail/A 40208-2021 FSC-klagomål mail.docx", "A 40208-2021")</f>
        <v/>
      </c>
      <c r="X66">
        <f>HYPERLINK("https://klasma.github.io/Logging_2518/tillsyn/A 40208-2021 tillsynsbegäran.docx", "A 40208-2021")</f>
        <v/>
      </c>
      <c r="Y66">
        <f>HYPERLINK("https://klasma.github.io/Logging_2518/tillsynsmail/A 40208-2021 tillsynsbegäran mail.docx", "A 40208-2021")</f>
        <v/>
      </c>
    </row>
    <row r="67" ht="15" customHeight="1">
      <c r="A67" t="inlineStr">
        <is>
          <t>A 1090-2022</t>
        </is>
      </c>
      <c r="B67" s="1" t="n">
        <v>44571</v>
      </c>
      <c r="C67" s="1" t="n">
        <v>45790</v>
      </c>
      <c r="D67" t="inlineStr">
        <is>
          <t>NORRBOTTENS LÄN</t>
        </is>
      </c>
      <c r="E67" t="inlineStr">
        <is>
          <t>ÖVERTORNEÅ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HYPERLINK("https://klasma.github.io/Logging_2518/artfynd/A 1090-2022 artfynd.xlsx", "A 1090-2022")</f>
        <v/>
      </c>
      <c r="T67">
        <f>HYPERLINK("https://klasma.github.io/Logging_2518/kartor/A 1090-2022 karta.png", "A 1090-2022")</f>
        <v/>
      </c>
      <c r="V67">
        <f>HYPERLINK("https://klasma.github.io/Logging_2518/klagomål/A 1090-2022 FSC-klagomål.docx", "A 1090-2022")</f>
        <v/>
      </c>
      <c r="W67">
        <f>HYPERLINK("https://klasma.github.io/Logging_2518/klagomålsmail/A 1090-2022 FSC-klagomål mail.docx", "A 1090-2022")</f>
        <v/>
      </c>
      <c r="X67">
        <f>HYPERLINK("https://klasma.github.io/Logging_2518/tillsyn/A 1090-2022 tillsynsbegäran.docx", "A 1090-2022")</f>
        <v/>
      </c>
      <c r="Y67">
        <f>HYPERLINK("https://klasma.github.io/Logging_2518/tillsynsmail/A 1090-2022 tillsynsbegäran mail.docx", "A 1090-2022")</f>
        <v/>
      </c>
    </row>
    <row r="68" ht="15" customHeight="1">
      <c r="A68" t="inlineStr">
        <is>
          <t>A 33029-2022</t>
        </is>
      </c>
      <c r="B68" s="1" t="n">
        <v>44785</v>
      </c>
      <c r="C68" s="1" t="n">
        <v>45790</v>
      </c>
      <c r="D68" t="inlineStr">
        <is>
          <t>NORRBOTTENS LÄN</t>
        </is>
      </c>
      <c r="E68" t="inlineStr">
        <is>
          <t>ÖVERTORNEÅ</t>
        </is>
      </c>
      <c r="G68" t="n">
        <v>10.3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HYPERLINK("https://klasma.github.io/Logging_2518/artfynd/A 33029-2022 artfynd.xlsx", "A 33029-2022")</f>
        <v/>
      </c>
      <c r="T68">
        <f>HYPERLINK("https://klasma.github.io/Logging_2518/kartor/A 33029-2022 karta.png", "A 33029-2022")</f>
        <v/>
      </c>
      <c r="V68">
        <f>HYPERLINK("https://klasma.github.io/Logging_2518/klagomål/A 33029-2022 FSC-klagomål.docx", "A 33029-2022")</f>
        <v/>
      </c>
      <c r="W68">
        <f>HYPERLINK("https://klasma.github.io/Logging_2518/klagomålsmail/A 33029-2022 FSC-klagomål mail.docx", "A 33029-2022")</f>
        <v/>
      </c>
      <c r="X68">
        <f>HYPERLINK("https://klasma.github.io/Logging_2518/tillsyn/A 33029-2022 tillsynsbegäran.docx", "A 33029-2022")</f>
        <v/>
      </c>
      <c r="Y68">
        <f>HYPERLINK("https://klasma.github.io/Logging_2518/tillsynsmail/A 33029-2022 tillsynsbegäran mail.docx", "A 33029-2022")</f>
        <v/>
      </c>
    </row>
    <row r="69" ht="15" customHeight="1">
      <c r="A69" t="inlineStr">
        <is>
          <t>A 34186-2022</t>
        </is>
      </c>
      <c r="B69" s="1" t="n">
        <v>44791</v>
      </c>
      <c r="C69" s="1" t="n">
        <v>45790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HYPERLINK("https://klasma.github.io/Logging_2518/artfynd/A 34186-2022 artfynd.xlsx", "A 34186-2022")</f>
        <v/>
      </c>
      <c r="T69">
        <f>HYPERLINK("https://klasma.github.io/Logging_2518/kartor/A 34186-2022 karta.png", "A 34186-2022")</f>
        <v/>
      </c>
      <c r="V69">
        <f>HYPERLINK("https://klasma.github.io/Logging_2518/klagomål/A 34186-2022 FSC-klagomål.docx", "A 34186-2022")</f>
        <v/>
      </c>
      <c r="W69">
        <f>HYPERLINK("https://klasma.github.io/Logging_2518/klagomålsmail/A 34186-2022 FSC-klagomål mail.docx", "A 34186-2022")</f>
        <v/>
      </c>
      <c r="X69">
        <f>HYPERLINK("https://klasma.github.io/Logging_2518/tillsyn/A 34186-2022 tillsynsbegäran.docx", "A 34186-2022")</f>
        <v/>
      </c>
      <c r="Y69">
        <f>HYPERLINK("https://klasma.github.io/Logging_2518/tillsynsmail/A 34186-2022 tillsynsbegäran mail.docx", "A 34186-2022")</f>
        <v/>
      </c>
    </row>
    <row r="70" ht="15" customHeight="1">
      <c r="A70" t="inlineStr">
        <is>
          <t>A 45665-2022</t>
        </is>
      </c>
      <c r="B70" s="1" t="n">
        <v>44845</v>
      </c>
      <c r="C70" s="1" t="n">
        <v>45790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45665-2022 artfynd.xlsx", "A 45665-2022")</f>
        <v/>
      </c>
      <c r="T70">
        <f>HYPERLINK("https://klasma.github.io/Logging_2518/kartor/A 45665-2022 karta.png", "A 45665-2022")</f>
        <v/>
      </c>
      <c r="V70">
        <f>HYPERLINK("https://klasma.github.io/Logging_2518/klagomål/A 45665-2022 FSC-klagomål.docx", "A 45665-2022")</f>
        <v/>
      </c>
      <c r="W70">
        <f>HYPERLINK("https://klasma.github.io/Logging_2518/klagomålsmail/A 45665-2022 FSC-klagomål mail.docx", "A 45665-2022")</f>
        <v/>
      </c>
      <c r="X70">
        <f>HYPERLINK("https://klasma.github.io/Logging_2518/tillsyn/A 45665-2022 tillsynsbegäran.docx", "A 45665-2022")</f>
        <v/>
      </c>
      <c r="Y70">
        <f>HYPERLINK("https://klasma.github.io/Logging_2518/tillsynsmail/A 45665-2022 tillsynsbegäran mail.docx", "A 45665-2022")</f>
        <v/>
      </c>
    </row>
    <row r="71" ht="15" customHeight="1">
      <c r="A71" t="inlineStr">
        <is>
          <t>A 38349-2023</t>
        </is>
      </c>
      <c r="B71" s="1" t="n">
        <v>45161</v>
      </c>
      <c r="C71" s="1" t="n">
        <v>45790</v>
      </c>
      <c r="D71" t="inlineStr">
        <is>
          <t>NORRBOTTENS LÄN</t>
        </is>
      </c>
      <c r="E71" t="inlineStr">
        <is>
          <t>ÖVERTORNEÅ</t>
        </is>
      </c>
      <c r="G71" t="n">
        <v>12.1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38349-2023 artfynd.xlsx", "A 38349-2023")</f>
        <v/>
      </c>
      <c r="T71">
        <f>HYPERLINK("https://klasma.github.io/Logging_2518/kartor/A 38349-2023 karta.png", "A 38349-2023")</f>
        <v/>
      </c>
      <c r="V71">
        <f>HYPERLINK("https://klasma.github.io/Logging_2518/klagomål/A 38349-2023 FSC-klagomål.docx", "A 38349-2023")</f>
        <v/>
      </c>
      <c r="W71">
        <f>HYPERLINK("https://klasma.github.io/Logging_2518/klagomålsmail/A 38349-2023 FSC-klagomål mail.docx", "A 38349-2023")</f>
        <v/>
      </c>
      <c r="X71">
        <f>HYPERLINK("https://klasma.github.io/Logging_2518/tillsyn/A 38349-2023 tillsynsbegäran.docx", "A 38349-2023")</f>
        <v/>
      </c>
      <c r="Y71">
        <f>HYPERLINK("https://klasma.github.io/Logging_2518/tillsynsmail/A 38349-2023 tillsynsbegäran mail.docx", "A 38349-2023")</f>
        <v/>
      </c>
    </row>
    <row r="72" ht="15" customHeight="1">
      <c r="A72" t="inlineStr">
        <is>
          <t>A 46378-2023</t>
        </is>
      </c>
      <c r="B72" s="1" t="n">
        <v>45197</v>
      </c>
      <c r="C72" s="1" t="n">
        <v>45790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43.9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HYPERLINK("https://klasma.github.io/Logging_2518/artfynd/A 46378-2023 artfynd.xlsx", "A 46378-2023")</f>
        <v/>
      </c>
      <c r="T72">
        <f>HYPERLINK("https://klasma.github.io/Logging_2518/kartor/A 46378-2023 karta.png", "A 46378-2023")</f>
        <v/>
      </c>
      <c r="V72">
        <f>HYPERLINK("https://klasma.github.io/Logging_2518/klagomål/A 46378-2023 FSC-klagomål.docx", "A 46378-2023")</f>
        <v/>
      </c>
      <c r="W72">
        <f>HYPERLINK("https://klasma.github.io/Logging_2518/klagomålsmail/A 46378-2023 FSC-klagomål mail.docx", "A 46378-2023")</f>
        <v/>
      </c>
      <c r="X72">
        <f>HYPERLINK("https://klasma.github.io/Logging_2518/tillsyn/A 46378-2023 tillsynsbegäran.docx", "A 46378-2023")</f>
        <v/>
      </c>
      <c r="Y72">
        <f>HYPERLINK("https://klasma.github.io/Logging_2518/tillsynsmail/A 46378-2023 tillsynsbegäran mail.docx", "A 46378-2023")</f>
        <v/>
      </c>
      <c r="Z72">
        <f>HYPERLINK("https://klasma.github.io/Logging_2518/fåglar/A 46378-2023 prioriterade fågelarter.docx", "A 46378-2023")</f>
        <v/>
      </c>
    </row>
    <row r="73" ht="15" customHeight="1">
      <c r="A73" t="inlineStr">
        <is>
          <t>A 65183-2023</t>
        </is>
      </c>
      <c r="B73" s="1" t="n">
        <v>45288</v>
      </c>
      <c r="C73" s="1" t="n">
        <v>45790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65183-2023 artfynd.xlsx", "A 65183-2023")</f>
        <v/>
      </c>
      <c r="T73">
        <f>HYPERLINK("https://klasma.github.io/Logging_2518/kartor/A 65183-2023 karta.png", "A 65183-2023")</f>
        <v/>
      </c>
      <c r="V73">
        <f>HYPERLINK("https://klasma.github.io/Logging_2518/klagomål/A 65183-2023 FSC-klagomål.docx", "A 65183-2023")</f>
        <v/>
      </c>
      <c r="W73">
        <f>HYPERLINK("https://klasma.github.io/Logging_2518/klagomålsmail/A 65183-2023 FSC-klagomål mail.docx", "A 65183-2023")</f>
        <v/>
      </c>
      <c r="X73">
        <f>HYPERLINK("https://klasma.github.io/Logging_2518/tillsyn/A 65183-2023 tillsynsbegäran.docx", "A 65183-2023")</f>
        <v/>
      </c>
      <c r="Y73">
        <f>HYPERLINK("https://klasma.github.io/Logging_2518/tillsynsmail/A 65183-2023 tillsynsbegäran mail.docx", "A 65183-2023")</f>
        <v/>
      </c>
    </row>
    <row r="74" ht="15" customHeight="1">
      <c r="A74" t="inlineStr">
        <is>
          <t>A 856-2024</t>
        </is>
      </c>
      <c r="B74" s="1" t="n">
        <v>45300</v>
      </c>
      <c r="C74" s="1" t="n">
        <v>45790</v>
      </c>
      <c r="D74" t="inlineStr">
        <is>
          <t>NORRBOTTENS LÄN</t>
        </is>
      </c>
      <c r="E74" t="inlineStr">
        <is>
          <t>ÖVERTORNEÅ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856-2024 artfynd.xlsx", "A 856-2024")</f>
        <v/>
      </c>
      <c r="T74">
        <f>HYPERLINK("https://klasma.github.io/Logging_2518/kartor/A 856-2024 karta.png", "A 856-2024")</f>
        <v/>
      </c>
      <c r="V74">
        <f>HYPERLINK("https://klasma.github.io/Logging_2518/klagomål/A 856-2024 FSC-klagomål.docx", "A 856-2024")</f>
        <v/>
      </c>
      <c r="W74">
        <f>HYPERLINK("https://klasma.github.io/Logging_2518/klagomålsmail/A 856-2024 FSC-klagomål mail.docx", "A 856-2024")</f>
        <v/>
      </c>
      <c r="X74">
        <f>HYPERLINK("https://klasma.github.io/Logging_2518/tillsyn/A 856-2024 tillsynsbegäran.docx", "A 856-2024")</f>
        <v/>
      </c>
      <c r="Y74">
        <f>HYPERLINK("https://klasma.github.io/Logging_2518/tillsynsmail/A 856-2024 tillsynsbegäran mail.docx", "A 856-2024")</f>
        <v/>
      </c>
    </row>
    <row r="75" ht="15" customHeight="1">
      <c r="A75" t="inlineStr">
        <is>
          <t>A 16457-2024</t>
        </is>
      </c>
      <c r="B75" s="1" t="n">
        <v>45408</v>
      </c>
      <c r="C75" s="1" t="n">
        <v>45790</v>
      </c>
      <c r="D75" t="inlineStr">
        <is>
          <t>NORRBOTTENS LÄN</t>
        </is>
      </c>
      <c r="E75" t="inlineStr">
        <is>
          <t>ÖVERTORNEÅ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HYPERLINK("https://klasma.github.io/Logging_2518/artfynd/A 16457-2024 artfynd.xlsx", "A 16457-2024")</f>
        <v/>
      </c>
      <c r="T75">
        <f>HYPERLINK("https://klasma.github.io/Logging_2518/kartor/A 16457-2024 karta.png", "A 16457-2024")</f>
        <v/>
      </c>
      <c r="V75">
        <f>HYPERLINK("https://klasma.github.io/Logging_2518/klagomål/A 16457-2024 FSC-klagomål.docx", "A 16457-2024")</f>
        <v/>
      </c>
      <c r="W75">
        <f>HYPERLINK("https://klasma.github.io/Logging_2518/klagomålsmail/A 16457-2024 FSC-klagomål mail.docx", "A 16457-2024")</f>
        <v/>
      </c>
      <c r="X75">
        <f>HYPERLINK("https://klasma.github.io/Logging_2518/tillsyn/A 16457-2024 tillsynsbegäran.docx", "A 16457-2024")</f>
        <v/>
      </c>
      <c r="Y75">
        <f>HYPERLINK("https://klasma.github.io/Logging_2518/tillsynsmail/A 16457-2024 tillsynsbegäran mail.docx", "A 16457-2024")</f>
        <v/>
      </c>
      <c r="Z75">
        <f>HYPERLINK("https://klasma.github.io/Logging_2518/fåglar/A 16457-2024 prioriterade fågelarter.docx", "A 16457-2024")</f>
        <v/>
      </c>
    </row>
    <row r="76" ht="15" customHeight="1">
      <c r="A76" t="inlineStr">
        <is>
          <t>A 18671-2024</t>
        </is>
      </c>
      <c r="B76" s="1" t="n">
        <v>45426</v>
      </c>
      <c r="C76" s="1" t="n">
        <v>45790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 trolldruva</t>
        </is>
      </c>
      <c r="S76">
        <f>HYPERLINK("https://klasma.github.io/Logging_2518/artfynd/A 18671-2024 artfynd.xlsx", "A 18671-2024")</f>
        <v/>
      </c>
      <c r="T76">
        <f>HYPERLINK("https://klasma.github.io/Logging_2518/kartor/A 18671-2024 karta.png", "A 18671-2024")</f>
        <v/>
      </c>
      <c r="V76">
        <f>HYPERLINK("https://klasma.github.io/Logging_2518/klagomål/A 18671-2024 FSC-klagomål.docx", "A 18671-2024")</f>
        <v/>
      </c>
      <c r="W76">
        <f>HYPERLINK("https://klasma.github.io/Logging_2518/klagomålsmail/A 18671-2024 FSC-klagomål mail.docx", "A 18671-2024")</f>
        <v/>
      </c>
      <c r="X76">
        <f>HYPERLINK("https://klasma.github.io/Logging_2518/tillsyn/A 18671-2024 tillsynsbegäran.docx", "A 18671-2024")</f>
        <v/>
      </c>
      <c r="Y76">
        <f>HYPERLINK("https://klasma.github.io/Logging_2518/tillsynsmail/A 18671-2024 tillsynsbegäran mail.docx", "A 18671-2024")</f>
        <v/>
      </c>
    </row>
    <row r="77" ht="15" customHeight="1">
      <c r="A77" t="inlineStr">
        <is>
          <t>A 23056-2024</t>
        </is>
      </c>
      <c r="B77" s="1" t="n">
        <v>45449</v>
      </c>
      <c r="C77" s="1" t="n">
        <v>45790</v>
      </c>
      <c r="D77" t="inlineStr">
        <is>
          <t>NORRBOTTENS LÄN</t>
        </is>
      </c>
      <c r="E77" t="inlineStr">
        <is>
          <t>ÖVERTORNEÅ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HYPERLINK("https://klasma.github.io/Logging_2518/artfynd/A 23056-2024 artfynd.xlsx", "A 23056-2024")</f>
        <v/>
      </c>
      <c r="T77">
        <f>HYPERLINK("https://klasma.github.io/Logging_2518/kartor/A 23056-2024 karta.png", "A 23056-2024")</f>
        <v/>
      </c>
      <c r="V77">
        <f>HYPERLINK("https://klasma.github.io/Logging_2518/klagomål/A 23056-2024 FSC-klagomål.docx", "A 23056-2024")</f>
        <v/>
      </c>
      <c r="W77">
        <f>HYPERLINK("https://klasma.github.io/Logging_2518/klagomålsmail/A 23056-2024 FSC-klagomål mail.docx", "A 23056-2024")</f>
        <v/>
      </c>
      <c r="X77">
        <f>HYPERLINK("https://klasma.github.io/Logging_2518/tillsyn/A 23056-2024 tillsynsbegäran.docx", "A 23056-2024")</f>
        <v/>
      </c>
      <c r="Y77">
        <f>HYPERLINK("https://klasma.github.io/Logging_2518/tillsynsmail/A 23056-2024 tillsynsbegäran mail.docx", "A 23056-2024")</f>
        <v/>
      </c>
    </row>
    <row r="78" ht="15" customHeight="1">
      <c r="A78" t="inlineStr">
        <is>
          <t>A 38158-2024</t>
        </is>
      </c>
      <c r="B78" s="1" t="n">
        <v>45545</v>
      </c>
      <c r="C78" s="1" t="n">
        <v>45790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Lappticka</t>
        </is>
      </c>
      <c r="S78">
        <f>HYPERLINK("https://klasma.github.io/Logging_2518/artfynd/A 38158-2024 artfynd.xlsx", "A 38158-2024")</f>
        <v/>
      </c>
      <c r="T78">
        <f>HYPERLINK("https://klasma.github.io/Logging_2518/kartor/A 38158-2024 karta.png", "A 38158-2024")</f>
        <v/>
      </c>
      <c r="V78">
        <f>HYPERLINK("https://klasma.github.io/Logging_2518/klagomål/A 38158-2024 FSC-klagomål.docx", "A 38158-2024")</f>
        <v/>
      </c>
      <c r="W78">
        <f>HYPERLINK("https://klasma.github.io/Logging_2518/klagomålsmail/A 38158-2024 FSC-klagomål mail.docx", "A 38158-2024")</f>
        <v/>
      </c>
      <c r="X78">
        <f>HYPERLINK("https://klasma.github.io/Logging_2518/tillsyn/A 38158-2024 tillsynsbegäran.docx", "A 38158-2024")</f>
        <v/>
      </c>
      <c r="Y78">
        <f>HYPERLINK("https://klasma.github.io/Logging_2518/tillsynsmail/A 38158-2024 tillsynsbegäran mail.docx", "A 38158-2024")</f>
        <v/>
      </c>
    </row>
    <row r="79" ht="15" customHeight="1">
      <c r="A79" t="inlineStr">
        <is>
          <t>A 17983-2019</t>
        </is>
      </c>
      <c r="B79" s="1" t="n">
        <v>43557</v>
      </c>
      <c r="C79" s="1" t="n">
        <v>45790</v>
      </c>
      <c r="D79" t="inlineStr">
        <is>
          <t>NORRBOTTENS LÄN</t>
        </is>
      </c>
      <c r="E79" t="inlineStr">
        <is>
          <t>ÖVERTORNEÅ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18038-2019</t>
        </is>
      </c>
      <c r="B80" s="1" t="n">
        <v>43557</v>
      </c>
      <c r="C80" s="1" t="n">
        <v>45790</v>
      </c>
      <c r="D80" t="inlineStr">
        <is>
          <t>NORRBOTTENS LÄN</t>
        </is>
      </c>
      <c r="E80" t="inlineStr">
        <is>
          <t>ÖVERTORNEÅ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22294-2019</t>
        </is>
      </c>
      <c r="B81" s="1" t="n">
        <v>43585</v>
      </c>
      <c r="C81" s="1" t="n">
        <v>45790</v>
      </c>
      <c r="D81" t="inlineStr">
        <is>
          <t>NORRBOTTENS LÄN</t>
        </is>
      </c>
      <c r="E81" t="inlineStr">
        <is>
          <t>ÖVERTORNEÅ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22900-2019</t>
        </is>
      </c>
      <c r="B82" s="1" t="n">
        <v>43587</v>
      </c>
      <c r="C82" s="1" t="n">
        <v>45790</v>
      </c>
      <c r="D82" t="inlineStr">
        <is>
          <t>NORRBOTTENS LÄN</t>
        </is>
      </c>
      <c r="E82" t="inlineStr">
        <is>
          <t>ÖVERTORNEÅ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23449-2019</t>
        </is>
      </c>
      <c r="B83" s="1" t="n">
        <v>43593</v>
      </c>
      <c r="C83" s="1" t="n">
        <v>45790</v>
      </c>
      <c r="D83" t="inlineStr">
        <is>
          <t>NORRBOTTENS LÄN</t>
        </is>
      </c>
      <c r="E83" t="inlineStr">
        <is>
          <t>ÖVERTORNEÅ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24474-2019</t>
        </is>
      </c>
      <c r="B84" s="1" t="n">
        <v>43600</v>
      </c>
      <c r="C84" s="1" t="n">
        <v>45790</v>
      </c>
      <c r="D84" t="inlineStr">
        <is>
          <t>NORRBOTTENS LÄN</t>
        </is>
      </c>
      <c r="E84" t="inlineStr">
        <is>
          <t>ÖVERTORNEÅ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26101-2019</t>
        </is>
      </c>
      <c r="B85" s="1" t="n">
        <v>43605</v>
      </c>
      <c r="C85" s="1" t="n">
        <v>45790</v>
      </c>
      <c r="D85" t="inlineStr">
        <is>
          <t>NORRBOTTENS LÄN</t>
        </is>
      </c>
      <c r="E85" t="inlineStr">
        <is>
          <t>ÖVERTORNEÅ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25660-2019</t>
        </is>
      </c>
      <c r="B86" s="1" t="n">
        <v>43607</v>
      </c>
      <c r="C86" s="1" t="n">
        <v>45790</v>
      </c>
      <c r="D86" t="inlineStr">
        <is>
          <t>NORRBOTTENS LÄN</t>
        </is>
      </c>
      <c r="E86" t="inlineStr">
        <is>
          <t>ÖVERTORNEÅ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26865-2019</t>
        </is>
      </c>
      <c r="B87" s="1" t="n">
        <v>43608</v>
      </c>
      <c r="C87" s="1" t="n">
        <v>45790</v>
      </c>
      <c r="D87" t="inlineStr">
        <is>
          <t>NORRBOTTENS LÄN</t>
        </is>
      </c>
      <c r="E87" t="inlineStr">
        <is>
          <t>ÖVERTORNEÅ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26256-2019</t>
        </is>
      </c>
      <c r="B88" s="1" t="n">
        <v>43610</v>
      </c>
      <c r="C88" s="1" t="n">
        <v>45790</v>
      </c>
      <c r="D88" t="inlineStr">
        <is>
          <t>NORRBOTTENS LÄN</t>
        </is>
      </c>
      <c r="E88" t="inlineStr">
        <is>
          <t>ÖVERTORNEÅ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28674-2019</t>
        </is>
      </c>
      <c r="B89" s="1" t="n">
        <v>43614</v>
      </c>
      <c r="C89" s="1" t="n">
        <v>45790</v>
      </c>
      <c r="D89" t="inlineStr">
        <is>
          <t>NORRBOTTENS LÄN</t>
        </is>
      </c>
      <c r="E89" t="inlineStr">
        <is>
          <t>ÖVERTORNEÅ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29384-2019</t>
        </is>
      </c>
      <c r="B90" s="1" t="n">
        <v>43629</v>
      </c>
      <c r="C90" s="1" t="n">
        <v>45790</v>
      </c>
      <c r="D90" t="inlineStr">
        <is>
          <t>NORRBOTTENS LÄN</t>
        </is>
      </c>
      <c r="E90" t="inlineStr">
        <is>
          <t>ÖVERTORNEÅ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30106-2019</t>
        </is>
      </c>
      <c r="B91" s="1" t="n">
        <v>43634</v>
      </c>
      <c r="C91" s="1" t="n">
        <v>45790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32897-2019</t>
        </is>
      </c>
      <c r="B92" s="1" t="n">
        <v>43643</v>
      </c>
      <c r="C92" s="1" t="n">
        <v>45790</v>
      </c>
      <c r="D92" t="inlineStr">
        <is>
          <t>NORRBOTTENS LÄN</t>
        </is>
      </c>
      <c r="E92" t="inlineStr">
        <is>
          <t>ÖVERTORNEÅ</t>
        </is>
      </c>
      <c r="G92" t="n">
        <v>17.1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32894-2019</t>
        </is>
      </c>
      <c r="B93" s="1" t="n">
        <v>43643</v>
      </c>
      <c r="C93" s="1" t="n">
        <v>45790</v>
      </c>
      <c r="D93" t="inlineStr">
        <is>
          <t>NORRBOTTENS LÄN</t>
        </is>
      </c>
      <c r="E93" t="inlineStr">
        <is>
          <t>ÖVERTORNEÅ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34174-2019</t>
        </is>
      </c>
      <c r="B94" s="1" t="n">
        <v>43655</v>
      </c>
      <c r="C94" s="1" t="n">
        <v>45790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37160-2019</t>
        </is>
      </c>
      <c r="B95" s="1" t="n">
        <v>43658</v>
      </c>
      <c r="C95" s="1" t="n">
        <v>45790</v>
      </c>
      <c r="D95" t="inlineStr">
        <is>
          <t>NORRBOTTENS LÄN</t>
        </is>
      </c>
      <c r="E95" t="inlineStr">
        <is>
          <t>ÖVERTORNEÅ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37151-2019</t>
        </is>
      </c>
      <c r="B96" s="1" t="n">
        <v>43658</v>
      </c>
      <c r="C96" s="1" t="n">
        <v>45790</v>
      </c>
      <c r="D96" t="inlineStr">
        <is>
          <t>NORRBOTTENS LÄN</t>
        </is>
      </c>
      <c r="E96" t="inlineStr">
        <is>
          <t>ÖVERTORNEÅ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36114-2019</t>
        </is>
      </c>
      <c r="B97" s="1" t="n">
        <v>43658</v>
      </c>
      <c r="C97" s="1" t="n">
        <v>45790</v>
      </c>
      <c r="D97" t="inlineStr">
        <is>
          <t>NORRBOTTENS LÄN</t>
        </is>
      </c>
      <c r="E97" t="inlineStr">
        <is>
          <t>ÖVERTORNEÅ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37159-2019</t>
        </is>
      </c>
      <c r="B98" s="1" t="n">
        <v>43658</v>
      </c>
      <c r="C98" s="1" t="n">
        <v>45790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37148-2019</t>
        </is>
      </c>
      <c r="B99" s="1" t="n">
        <v>43658</v>
      </c>
      <c r="C99" s="1" t="n">
        <v>45790</v>
      </c>
      <c r="D99" t="inlineStr">
        <is>
          <t>NORRBOTTENS LÄN</t>
        </is>
      </c>
      <c r="E99" t="inlineStr">
        <is>
          <t>ÖVERTORNEÅ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37146-2019</t>
        </is>
      </c>
      <c r="B100" s="1" t="n">
        <v>43658</v>
      </c>
      <c r="C100" s="1" t="n">
        <v>45790</v>
      </c>
      <c r="D100" t="inlineStr">
        <is>
          <t>NORRBOTTENS LÄN</t>
        </is>
      </c>
      <c r="E100" t="inlineStr">
        <is>
          <t>ÖVERTORNEÅ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37155-2019</t>
        </is>
      </c>
      <c r="B101" s="1" t="n">
        <v>43658</v>
      </c>
      <c r="C101" s="1" t="n">
        <v>45790</v>
      </c>
      <c r="D101" t="inlineStr">
        <is>
          <t>NORRBOTTENS LÄN</t>
        </is>
      </c>
      <c r="E101" t="inlineStr">
        <is>
          <t>ÖVERTORNEÅ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37152-2019</t>
        </is>
      </c>
      <c r="B102" s="1" t="n">
        <v>43658</v>
      </c>
      <c r="C102" s="1" t="n">
        <v>45790</v>
      </c>
      <c r="D102" t="inlineStr">
        <is>
          <t>NORRBOTTENS LÄN</t>
        </is>
      </c>
      <c r="E102" t="inlineStr">
        <is>
          <t>ÖVERTORNEÅ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37219-2019</t>
        </is>
      </c>
      <c r="B103" s="1" t="n">
        <v>43677</v>
      </c>
      <c r="C103" s="1" t="n">
        <v>45790</v>
      </c>
      <c r="D103" t="inlineStr">
        <is>
          <t>NORRBOTTENS LÄN</t>
        </is>
      </c>
      <c r="E103" t="inlineStr">
        <is>
          <t>ÖVERTORNEÅ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39601-2019</t>
        </is>
      </c>
      <c r="B104" s="1" t="n">
        <v>43686</v>
      </c>
      <c r="C104" s="1" t="n">
        <v>45790</v>
      </c>
      <c r="D104" t="inlineStr">
        <is>
          <t>NORRBOTTENS LÄN</t>
        </is>
      </c>
      <c r="E104" t="inlineStr">
        <is>
          <t>ÖVERTORNEÅ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43089-2019</t>
        </is>
      </c>
      <c r="B105" s="1" t="n">
        <v>43686</v>
      </c>
      <c r="C105" s="1" t="n">
        <v>45790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39580-2019</t>
        </is>
      </c>
      <c r="B106" s="1" t="n">
        <v>43686</v>
      </c>
      <c r="C106" s="1" t="n">
        <v>45790</v>
      </c>
      <c r="D106" t="inlineStr">
        <is>
          <t>NORRBOTTENS LÄN</t>
        </is>
      </c>
      <c r="E106" t="inlineStr">
        <is>
          <t>ÖVERTORNEÅ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41003-2019</t>
        </is>
      </c>
      <c r="B107" s="1" t="n">
        <v>43697</v>
      </c>
      <c r="C107" s="1" t="n">
        <v>45790</v>
      </c>
      <c r="D107" t="inlineStr">
        <is>
          <t>NORRBOTTENS LÄN</t>
        </is>
      </c>
      <c r="E107" t="inlineStr">
        <is>
          <t>ÖVERTORNEÅ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41004-2019</t>
        </is>
      </c>
      <c r="B108" s="1" t="n">
        <v>43697</v>
      </c>
      <c r="C108" s="1" t="n">
        <v>45790</v>
      </c>
      <c r="D108" t="inlineStr">
        <is>
          <t>NORRBOTTENS LÄN</t>
        </is>
      </c>
      <c r="E108" t="inlineStr">
        <is>
          <t>ÖVERTORNEÅ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41974-2019</t>
        </is>
      </c>
      <c r="B109" s="1" t="n">
        <v>43700</v>
      </c>
      <c r="C109" s="1" t="n">
        <v>45790</v>
      </c>
      <c r="D109" t="inlineStr">
        <is>
          <t>NORRBOTTENS LÄN</t>
        </is>
      </c>
      <c r="E109" t="inlineStr">
        <is>
          <t>ÖVERTORNEÅ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41976-2019</t>
        </is>
      </c>
      <c r="B110" s="1" t="n">
        <v>43700</v>
      </c>
      <c r="C110" s="1" t="n">
        <v>45790</v>
      </c>
      <c r="D110" t="inlineStr">
        <is>
          <t>NORRBOTTENS LÄN</t>
        </is>
      </c>
      <c r="E110" t="inlineStr">
        <is>
          <t>ÖVERTORNEÅ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43812-2019</t>
        </is>
      </c>
      <c r="B111" s="1" t="n">
        <v>43707</v>
      </c>
      <c r="C111" s="1" t="n">
        <v>45790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48490-2019</t>
        </is>
      </c>
      <c r="B112" s="1" t="n">
        <v>43727</v>
      </c>
      <c r="C112" s="1" t="n">
        <v>45790</v>
      </c>
      <c r="D112" t="inlineStr">
        <is>
          <t>NORRBOTTENS LÄN</t>
        </is>
      </c>
      <c r="E112" t="inlineStr">
        <is>
          <t>ÖVERTORNEÅ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49279-2019</t>
        </is>
      </c>
      <c r="B113" s="1" t="n">
        <v>43728</v>
      </c>
      <c r="C113" s="1" t="n">
        <v>45790</v>
      </c>
      <c r="D113" t="inlineStr">
        <is>
          <t>NORRBOTTENS LÄN</t>
        </is>
      </c>
      <c r="E113" t="inlineStr">
        <is>
          <t>ÖVERTORNEÅ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49648-2019</t>
        </is>
      </c>
      <c r="B114" s="1" t="n">
        <v>43732</v>
      </c>
      <c r="C114" s="1" t="n">
        <v>45790</v>
      </c>
      <c r="D114" t="inlineStr">
        <is>
          <t>NORRBOTTENS LÄN</t>
        </is>
      </c>
      <c r="E114" t="inlineStr">
        <is>
          <t>ÖVERTORNEÅ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52989-2019</t>
        </is>
      </c>
      <c r="B115" s="1" t="n">
        <v>43740</v>
      </c>
      <c r="C115" s="1" t="n">
        <v>45790</v>
      </c>
      <c r="D115" t="inlineStr">
        <is>
          <t>NORRBOTTENS LÄN</t>
        </is>
      </c>
      <c r="E115" t="inlineStr">
        <is>
          <t>ÖVERTORNEÅ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2259-2020</t>
        </is>
      </c>
      <c r="B116" s="1" t="n">
        <v>43740</v>
      </c>
      <c r="C116" s="1" t="n">
        <v>45790</v>
      </c>
      <c r="D116" t="inlineStr">
        <is>
          <t>NORRBOTTENS LÄN</t>
        </is>
      </c>
      <c r="E116" t="inlineStr">
        <is>
          <t>ÖVERTORNEÅ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53054-2019</t>
        </is>
      </c>
      <c r="B117" s="1" t="n">
        <v>43740</v>
      </c>
      <c r="C117" s="1" t="n">
        <v>45790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53084-2019</t>
        </is>
      </c>
      <c r="B118" s="1" t="n">
        <v>43740</v>
      </c>
      <c r="C118" s="1" t="n">
        <v>45790</v>
      </c>
      <c r="D118" t="inlineStr">
        <is>
          <t>NORRBOTTENS LÄN</t>
        </is>
      </c>
      <c r="E118" t="inlineStr">
        <is>
          <t>ÖVERTORNEÅ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2269-2020</t>
        </is>
      </c>
      <c r="B119" s="1" t="n">
        <v>43740</v>
      </c>
      <c r="C119" s="1" t="n">
        <v>45790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51642-2019</t>
        </is>
      </c>
      <c r="B120" s="1" t="n">
        <v>43740</v>
      </c>
      <c r="C120" s="1" t="n">
        <v>45790</v>
      </c>
      <c r="D120" t="inlineStr">
        <is>
          <t>NORRBOTTENS LÄN</t>
        </is>
      </c>
      <c r="E120" t="inlineStr">
        <is>
          <t>ÖVERTORNEÅ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54210-2019</t>
        </is>
      </c>
      <c r="B121" s="1" t="n">
        <v>43745</v>
      </c>
      <c r="C121" s="1" t="n">
        <v>45790</v>
      </c>
      <c r="D121" t="inlineStr">
        <is>
          <t>NORRBOTTENS LÄN</t>
        </is>
      </c>
      <c r="E121" t="inlineStr">
        <is>
          <t>ÖVERTORNEÅ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53321-2019</t>
        </is>
      </c>
      <c r="B122" s="1" t="n">
        <v>43748</v>
      </c>
      <c r="C122" s="1" t="n">
        <v>45790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62.4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54078-2019</t>
        </is>
      </c>
      <c r="B123" s="1" t="n">
        <v>43752</v>
      </c>
      <c r="C123" s="1" t="n">
        <v>45790</v>
      </c>
      <c r="D123" t="inlineStr">
        <is>
          <t>NORRBOTTENS LÄN</t>
        </is>
      </c>
      <c r="E123" t="inlineStr">
        <is>
          <t>ÖVERTORNEÅ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55073-2019</t>
        </is>
      </c>
      <c r="B124" s="1" t="n">
        <v>43752</v>
      </c>
      <c r="C124" s="1" t="n">
        <v>45790</v>
      </c>
      <c r="D124" t="inlineStr">
        <is>
          <t>NORRBOTTENS LÄN</t>
        </is>
      </c>
      <c r="E124" t="inlineStr">
        <is>
          <t>ÖVERTORNEÅ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56365-2019</t>
        </is>
      </c>
      <c r="B125" s="1" t="n">
        <v>43762</v>
      </c>
      <c r="C125" s="1" t="n">
        <v>45790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60129-2019</t>
        </is>
      </c>
      <c r="B126" s="1" t="n">
        <v>43778</v>
      </c>
      <c r="C126" s="1" t="n">
        <v>45790</v>
      </c>
      <c r="D126" t="inlineStr">
        <is>
          <t>NORRBOTTENS LÄN</t>
        </is>
      </c>
      <c r="E126" t="inlineStr">
        <is>
          <t>ÖVERTORNEÅ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60891-2019</t>
        </is>
      </c>
      <c r="B127" s="1" t="n">
        <v>43781</v>
      </c>
      <c r="C127" s="1" t="n">
        <v>45790</v>
      </c>
      <c r="D127" t="inlineStr">
        <is>
          <t>NORRBOTTENS LÄN</t>
        </is>
      </c>
      <c r="E127" t="inlineStr">
        <is>
          <t>ÖVERTORNEÅ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62214-2019</t>
        </is>
      </c>
      <c r="B128" s="1" t="n">
        <v>43782</v>
      </c>
      <c r="C128" s="1" t="n">
        <v>45790</v>
      </c>
      <c r="D128" t="inlineStr">
        <is>
          <t>NORRBOTTENS LÄN</t>
        </is>
      </c>
      <c r="E128" t="inlineStr">
        <is>
          <t>ÖVERTORNEÅ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62183-2019</t>
        </is>
      </c>
      <c r="B129" s="1" t="n">
        <v>43787</v>
      </c>
      <c r="C129" s="1" t="n">
        <v>45790</v>
      </c>
      <c r="D129" t="inlineStr">
        <is>
          <t>NORRBOTTENS LÄN</t>
        </is>
      </c>
      <c r="E129" t="inlineStr">
        <is>
          <t>ÖVERTORNEÅ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62951-2019</t>
        </is>
      </c>
      <c r="B130" s="1" t="n">
        <v>43789</v>
      </c>
      <c r="C130" s="1" t="n">
        <v>45790</v>
      </c>
      <c r="D130" t="inlineStr">
        <is>
          <t>NORRBOTTENS LÄN</t>
        </is>
      </c>
      <c r="E130" t="inlineStr">
        <is>
          <t>ÖVERTORNEÅ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62960-2019</t>
        </is>
      </c>
      <c r="B131" s="1" t="n">
        <v>43790</v>
      </c>
      <c r="C131" s="1" t="n">
        <v>45790</v>
      </c>
      <c r="D131" t="inlineStr">
        <is>
          <t>NORRBOTTENS LÄN</t>
        </is>
      </c>
      <c r="E131" t="inlineStr">
        <is>
          <t>ÖVERTORNEÅ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64003-2019</t>
        </is>
      </c>
      <c r="B132" s="1" t="n">
        <v>43791</v>
      </c>
      <c r="C132" s="1" t="n">
        <v>45790</v>
      </c>
      <c r="D132" t="inlineStr">
        <is>
          <t>NORRBOTTENS LÄN</t>
        </is>
      </c>
      <c r="E132" t="inlineStr">
        <is>
          <t>ÖVERTORNEÅ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64010-2019</t>
        </is>
      </c>
      <c r="B133" s="1" t="n">
        <v>43791</v>
      </c>
      <c r="C133" s="1" t="n">
        <v>45790</v>
      </c>
      <c r="D133" t="inlineStr">
        <is>
          <t>NORRBOTTENS LÄN</t>
        </is>
      </c>
      <c r="E133" t="inlineStr">
        <is>
          <t>ÖVERTORNEÅ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64321-2019</t>
        </is>
      </c>
      <c r="B134" s="1" t="n">
        <v>43797</v>
      </c>
      <c r="C134" s="1" t="n">
        <v>45790</v>
      </c>
      <c r="D134" t="inlineStr">
        <is>
          <t>NORRBOTTENS LÄN</t>
        </is>
      </c>
      <c r="E134" t="inlineStr">
        <is>
          <t>ÖVERTORNEÅ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65062-2019</t>
        </is>
      </c>
      <c r="B135" s="1" t="n">
        <v>43801</v>
      </c>
      <c r="C135" s="1" t="n">
        <v>45790</v>
      </c>
      <c r="D135" t="inlineStr">
        <is>
          <t>NORRBOTTENS LÄN</t>
        </is>
      </c>
      <c r="E135" t="inlineStr">
        <is>
          <t>ÖVERTORNEÅ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65510-2019</t>
        </is>
      </c>
      <c r="B136" s="1" t="n">
        <v>43803</v>
      </c>
      <c r="C136" s="1" t="n">
        <v>45790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65500-2019</t>
        </is>
      </c>
      <c r="B137" s="1" t="n">
        <v>43803</v>
      </c>
      <c r="C137" s="1" t="n">
        <v>45790</v>
      </c>
      <c r="D137" t="inlineStr">
        <is>
          <t>NORRBOTTENS LÄN</t>
        </is>
      </c>
      <c r="E137" t="inlineStr">
        <is>
          <t>ÖVERTORNEÅ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65457-2019</t>
        </is>
      </c>
      <c r="B138" s="1" t="n">
        <v>43803</v>
      </c>
      <c r="C138" s="1" t="n">
        <v>45790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65498-2019</t>
        </is>
      </c>
      <c r="B139" s="1" t="n">
        <v>43803</v>
      </c>
      <c r="C139" s="1" t="n">
        <v>45790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66111-2019</t>
        </is>
      </c>
      <c r="B140" s="1" t="n">
        <v>43808</v>
      </c>
      <c r="C140" s="1" t="n">
        <v>45790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66542-2019</t>
        </is>
      </c>
      <c r="B141" s="1" t="n">
        <v>43809</v>
      </c>
      <c r="C141" s="1" t="n">
        <v>45790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66536-2019</t>
        </is>
      </c>
      <c r="B142" s="1" t="n">
        <v>43809</v>
      </c>
      <c r="C142" s="1" t="n">
        <v>45790</v>
      </c>
      <c r="D142" t="inlineStr">
        <is>
          <t>NORRBOTTENS LÄN</t>
        </is>
      </c>
      <c r="E142" t="inlineStr">
        <is>
          <t>ÖVERTORNEÅ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67864-2019</t>
        </is>
      </c>
      <c r="B143" s="1" t="n">
        <v>43810</v>
      </c>
      <c r="C143" s="1" t="n">
        <v>45790</v>
      </c>
      <c r="D143" t="inlineStr">
        <is>
          <t>NORRBOTTENS LÄN</t>
        </is>
      </c>
      <c r="E143" t="inlineStr">
        <is>
          <t>ÖVERTORNEÅ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67862-2019</t>
        </is>
      </c>
      <c r="B144" s="1" t="n">
        <v>43810</v>
      </c>
      <c r="C144" s="1" t="n">
        <v>45790</v>
      </c>
      <c r="D144" t="inlineStr">
        <is>
          <t>NORRBOTTENS LÄN</t>
        </is>
      </c>
      <c r="E144" t="inlineStr">
        <is>
          <t>ÖVERTORNEÅ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67858-2019</t>
        </is>
      </c>
      <c r="B145" s="1" t="n">
        <v>43810</v>
      </c>
      <c r="C145" s="1" t="n">
        <v>45790</v>
      </c>
      <c r="D145" t="inlineStr">
        <is>
          <t>NORRBOTTENS LÄN</t>
        </is>
      </c>
      <c r="E145" t="inlineStr">
        <is>
          <t>ÖVERTORNEÅ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68835-2019</t>
        </is>
      </c>
      <c r="B146" s="1" t="n">
        <v>43819</v>
      </c>
      <c r="C146" s="1" t="n">
        <v>45790</v>
      </c>
      <c r="D146" t="inlineStr">
        <is>
          <t>NORRBOTTENS LÄN</t>
        </is>
      </c>
      <c r="E146" t="inlineStr">
        <is>
          <t>ÖVERTORNEÅ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69085-2019</t>
        </is>
      </c>
      <c r="B147" s="1" t="n">
        <v>43829</v>
      </c>
      <c r="C147" s="1" t="n">
        <v>45790</v>
      </c>
      <c r="D147" t="inlineStr">
        <is>
          <t>NORRBOTTENS LÄN</t>
        </is>
      </c>
      <c r="E147" t="inlineStr">
        <is>
          <t>ÖVERTORNEÅ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4882-2020</t>
        </is>
      </c>
      <c r="B148" s="1" t="n">
        <v>43852</v>
      </c>
      <c r="C148" s="1" t="n">
        <v>45790</v>
      </c>
      <c r="D148" t="inlineStr">
        <is>
          <t>NORRBOTTENS LÄN</t>
        </is>
      </c>
      <c r="E148" t="inlineStr">
        <is>
          <t>ÖVERTORNEÅ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5276-2020</t>
        </is>
      </c>
      <c r="B149" s="1" t="n">
        <v>43857</v>
      </c>
      <c r="C149" s="1" t="n">
        <v>45790</v>
      </c>
      <c r="D149" t="inlineStr">
        <is>
          <t>NORRBOTTENS LÄN</t>
        </is>
      </c>
      <c r="E149" t="inlineStr">
        <is>
          <t>ÖVERTORNEÅ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5469-2020</t>
        </is>
      </c>
      <c r="B150" s="1" t="n">
        <v>43858</v>
      </c>
      <c r="C150" s="1" t="n">
        <v>45790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4725-2020</t>
        </is>
      </c>
      <c r="B151" s="1" t="n">
        <v>43858</v>
      </c>
      <c r="C151" s="1" t="n">
        <v>45790</v>
      </c>
      <c r="D151" t="inlineStr">
        <is>
          <t>NORRBOTTENS LÄN</t>
        </is>
      </c>
      <c r="E151" t="inlineStr">
        <is>
          <t>ÖVERTORNEÅ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5463-2020</t>
        </is>
      </c>
      <c r="B152" s="1" t="n">
        <v>43858</v>
      </c>
      <c r="C152" s="1" t="n">
        <v>45790</v>
      </c>
      <c r="D152" t="inlineStr">
        <is>
          <t>NORRBOTTENS LÄN</t>
        </is>
      </c>
      <c r="E152" t="inlineStr">
        <is>
          <t>ÖVERTORNEÅ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5784-2020</t>
        </is>
      </c>
      <c r="B153" s="1" t="n">
        <v>43864</v>
      </c>
      <c r="C153" s="1" t="n">
        <v>45790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5782-2020</t>
        </is>
      </c>
      <c r="B154" s="1" t="n">
        <v>43864</v>
      </c>
      <c r="C154" s="1" t="n">
        <v>45790</v>
      </c>
      <c r="D154" t="inlineStr">
        <is>
          <t>NORRBOTTENS LÄN</t>
        </is>
      </c>
      <c r="E154" t="inlineStr">
        <is>
          <t>ÖVERTORNEÅ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6132-2020</t>
        </is>
      </c>
      <c r="B155" s="1" t="n">
        <v>43864</v>
      </c>
      <c r="C155" s="1" t="n">
        <v>45790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6131-2020</t>
        </is>
      </c>
      <c r="B156" s="1" t="n">
        <v>43864</v>
      </c>
      <c r="C156" s="1" t="n">
        <v>45790</v>
      </c>
      <c r="D156" t="inlineStr">
        <is>
          <t>NORRBOTTENS LÄN</t>
        </is>
      </c>
      <c r="E156" t="inlineStr">
        <is>
          <t>ÖVERTORNEÅ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8041-2020</t>
        </is>
      </c>
      <c r="B157" s="1" t="n">
        <v>43873</v>
      </c>
      <c r="C157" s="1" t="n">
        <v>45790</v>
      </c>
      <c r="D157" t="inlineStr">
        <is>
          <t>NORRBOTTENS LÄN</t>
        </is>
      </c>
      <c r="E157" t="inlineStr">
        <is>
          <t>ÖVERTORNEÅ</t>
        </is>
      </c>
      <c r="G157" t="n">
        <v>27.6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13065-2020</t>
        </is>
      </c>
      <c r="B158" s="1" t="n">
        <v>43900</v>
      </c>
      <c r="C158" s="1" t="n">
        <v>45790</v>
      </c>
      <c r="D158" t="inlineStr">
        <is>
          <t>NORRBOTTENS LÄN</t>
        </is>
      </c>
      <c r="E158" t="inlineStr">
        <is>
          <t>ÖVERTORNEÅ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13059-2020</t>
        </is>
      </c>
      <c r="B159" s="1" t="n">
        <v>43900</v>
      </c>
      <c r="C159" s="1" t="n">
        <v>45790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19058-2020</t>
        </is>
      </c>
      <c r="B160" s="1" t="n">
        <v>43936</v>
      </c>
      <c r="C160" s="1" t="n">
        <v>45790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19978-2020</t>
        </is>
      </c>
      <c r="B161" s="1" t="n">
        <v>43943</v>
      </c>
      <c r="C161" s="1" t="n">
        <v>45790</v>
      </c>
      <c r="D161" t="inlineStr">
        <is>
          <t>NORRBOTTENS LÄN</t>
        </is>
      </c>
      <c r="E161" t="inlineStr">
        <is>
          <t>ÖVERTORNEÅ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19981-2020</t>
        </is>
      </c>
      <c r="B162" s="1" t="n">
        <v>43943</v>
      </c>
      <c r="C162" s="1" t="n">
        <v>45790</v>
      </c>
      <c r="D162" t="inlineStr">
        <is>
          <t>NORRBOTTENS LÄN</t>
        </is>
      </c>
      <c r="E162" t="inlineStr">
        <is>
          <t>ÖVERTORNEÅ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20418-2020</t>
        </is>
      </c>
      <c r="B163" s="1" t="n">
        <v>43945</v>
      </c>
      <c r="C163" s="1" t="n">
        <v>45790</v>
      </c>
      <c r="D163" t="inlineStr">
        <is>
          <t>NORRBOTTENS LÄN</t>
        </is>
      </c>
      <c r="E163" t="inlineStr">
        <is>
          <t>ÖVERTORNEÅ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26315-2020</t>
        </is>
      </c>
      <c r="B164" s="1" t="n">
        <v>43986</v>
      </c>
      <c r="C164" s="1" t="n">
        <v>45790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26312-2020</t>
        </is>
      </c>
      <c r="B165" s="1" t="n">
        <v>43986</v>
      </c>
      <c r="C165" s="1" t="n">
        <v>45790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29220-2020</t>
        </is>
      </c>
      <c r="B166" s="1" t="n">
        <v>44004</v>
      </c>
      <c r="C166" s="1" t="n">
        <v>45790</v>
      </c>
      <c r="D166" t="inlineStr">
        <is>
          <t>NORRBOTTENS LÄN</t>
        </is>
      </c>
      <c r="E166" t="inlineStr">
        <is>
          <t>ÖVERTORNEÅ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30582-2020</t>
        </is>
      </c>
      <c r="B167" s="1" t="n">
        <v>44008</v>
      </c>
      <c r="C167" s="1" t="n">
        <v>45790</v>
      </c>
      <c r="D167" t="inlineStr">
        <is>
          <t>NORRBOTTENS LÄN</t>
        </is>
      </c>
      <c r="E167" t="inlineStr">
        <is>
          <t>ÖVERTORNEÅ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30583-2020</t>
        </is>
      </c>
      <c r="B168" s="1" t="n">
        <v>44008</v>
      </c>
      <c r="C168" s="1" t="n">
        <v>45790</v>
      </c>
      <c r="D168" t="inlineStr">
        <is>
          <t>NORRBOTTENS LÄN</t>
        </is>
      </c>
      <c r="E168" t="inlineStr">
        <is>
          <t>ÖVERTORNEÅ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31555-2020</t>
        </is>
      </c>
      <c r="B169" s="1" t="n">
        <v>44013</v>
      </c>
      <c r="C169" s="1" t="n">
        <v>45790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32075-2020</t>
        </is>
      </c>
      <c r="B170" s="1" t="n">
        <v>44015</v>
      </c>
      <c r="C170" s="1" t="n">
        <v>45790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38241-2020</t>
        </is>
      </c>
      <c r="B171" s="1" t="n">
        <v>44060</v>
      </c>
      <c r="C171" s="1" t="n">
        <v>45790</v>
      </c>
      <c r="D171" t="inlineStr">
        <is>
          <t>NORRBOTTENS LÄN</t>
        </is>
      </c>
      <c r="E171" t="inlineStr">
        <is>
          <t>ÖVERTORNEÅ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41651-2020</t>
        </is>
      </c>
      <c r="B172" s="1" t="n">
        <v>44074</v>
      </c>
      <c r="C172" s="1" t="n">
        <v>45790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43562-2020</t>
        </is>
      </c>
      <c r="B173" s="1" t="n">
        <v>44077</v>
      </c>
      <c r="C173" s="1" t="n">
        <v>45790</v>
      </c>
      <c r="D173" t="inlineStr">
        <is>
          <t>NORRBOTTENS LÄN</t>
        </is>
      </c>
      <c r="E173" t="inlineStr">
        <is>
          <t>ÖVERTORNEÅ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45673-2020</t>
        </is>
      </c>
      <c r="B174" s="1" t="n">
        <v>44090</v>
      </c>
      <c r="C174" s="1" t="n">
        <v>45790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45716-2020</t>
        </is>
      </c>
      <c r="B175" s="1" t="n">
        <v>44090</v>
      </c>
      <c r="C175" s="1" t="n">
        <v>45790</v>
      </c>
      <c r="D175" t="inlineStr">
        <is>
          <t>NORRBOTTENS LÄN</t>
        </is>
      </c>
      <c r="E175" t="inlineStr">
        <is>
          <t>ÖVERTORNEÅ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51582-2020</t>
        </is>
      </c>
      <c r="B176" s="1" t="n">
        <v>44113</v>
      </c>
      <c r="C176" s="1" t="n">
        <v>45790</v>
      </c>
      <c r="D176" t="inlineStr">
        <is>
          <t>NORRBOTTENS LÄN</t>
        </is>
      </c>
      <c r="E176" t="inlineStr">
        <is>
          <t>ÖVERTORNEÅ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53481-2020</t>
        </is>
      </c>
      <c r="B177" s="1" t="n">
        <v>44123</v>
      </c>
      <c r="C177" s="1" t="n">
        <v>45790</v>
      </c>
      <c r="D177" t="inlineStr">
        <is>
          <t>NORRBOTTENS LÄN</t>
        </is>
      </c>
      <c r="E177" t="inlineStr">
        <is>
          <t>ÖVERTORNEÅ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54911-2020</t>
        </is>
      </c>
      <c r="B178" s="1" t="n">
        <v>44127</v>
      </c>
      <c r="C178" s="1" t="n">
        <v>45790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55230-2020</t>
        </is>
      </c>
      <c r="B179" s="1" t="n">
        <v>44130</v>
      </c>
      <c r="C179" s="1" t="n">
        <v>45790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55222-2020</t>
        </is>
      </c>
      <c r="B180" s="1" t="n">
        <v>44130</v>
      </c>
      <c r="C180" s="1" t="n">
        <v>45790</v>
      </c>
      <c r="D180" t="inlineStr">
        <is>
          <t>NORRBOTTENS LÄN</t>
        </is>
      </c>
      <c r="E180" t="inlineStr">
        <is>
          <t>ÖVERTORNEÅ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55518-2020</t>
        </is>
      </c>
      <c r="B181" s="1" t="n">
        <v>44130</v>
      </c>
      <c r="C181" s="1" t="n">
        <v>45790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56024-2020</t>
        </is>
      </c>
      <c r="B182" s="1" t="n">
        <v>44132</v>
      </c>
      <c r="C182" s="1" t="n">
        <v>45790</v>
      </c>
      <c r="D182" t="inlineStr">
        <is>
          <t>NORRBOTTENS LÄN</t>
        </is>
      </c>
      <c r="E182" t="inlineStr">
        <is>
          <t>ÖVERTORNEÅ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56363-2020</t>
        </is>
      </c>
      <c r="B183" s="1" t="n">
        <v>44135</v>
      </c>
      <c r="C183" s="1" t="n">
        <v>45790</v>
      </c>
      <c r="D183" t="inlineStr">
        <is>
          <t>NORRBOTTENS LÄN</t>
        </is>
      </c>
      <c r="E183" t="inlineStr">
        <is>
          <t>ÖVERTORNEÅ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60919-2020</t>
        </is>
      </c>
      <c r="B184" s="1" t="n">
        <v>44153</v>
      </c>
      <c r="C184" s="1" t="n">
        <v>45790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65771-2020</t>
        </is>
      </c>
      <c r="B185" s="1" t="n">
        <v>44172</v>
      </c>
      <c r="C185" s="1" t="n">
        <v>45790</v>
      </c>
      <c r="D185" t="inlineStr">
        <is>
          <t>NORRBOTTENS LÄN</t>
        </is>
      </c>
      <c r="E185" t="inlineStr">
        <is>
          <t>ÖVERTORNEÅ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68166-2020</t>
        </is>
      </c>
      <c r="B186" s="1" t="n">
        <v>44183</v>
      </c>
      <c r="C186" s="1" t="n">
        <v>45790</v>
      </c>
      <c r="D186" t="inlineStr">
        <is>
          <t>NORRBOTTENS LÄN</t>
        </is>
      </c>
      <c r="E186" t="inlineStr">
        <is>
          <t>ÖVERTORNEÅ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2544-2021</t>
        </is>
      </c>
      <c r="B187" s="1" t="n">
        <v>44214</v>
      </c>
      <c r="C187" s="1" t="n">
        <v>45790</v>
      </c>
      <c r="D187" t="inlineStr">
        <is>
          <t>NORRBOTTENS LÄN</t>
        </is>
      </c>
      <c r="E187" t="inlineStr">
        <is>
          <t>ÖVERTORNEÅ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2743-2021</t>
        </is>
      </c>
      <c r="B188" s="1" t="n">
        <v>44214</v>
      </c>
      <c r="C188" s="1" t="n">
        <v>45790</v>
      </c>
      <c r="D188" t="inlineStr">
        <is>
          <t>NORRBOTTENS LÄN</t>
        </is>
      </c>
      <c r="E188" t="inlineStr">
        <is>
          <t>ÖVERTORNEÅ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3775-2021</t>
        </is>
      </c>
      <c r="B189" s="1" t="n">
        <v>44217</v>
      </c>
      <c r="C189" s="1" t="n">
        <v>45790</v>
      </c>
      <c r="D189" t="inlineStr">
        <is>
          <t>NORRBOTTENS LÄN</t>
        </is>
      </c>
      <c r="E189" t="inlineStr">
        <is>
          <t>ÖVERTORNEÅ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4792-2021</t>
        </is>
      </c>
      <c r="B190" s="1" t="n">
        <v>44225</v>
      </c>
      <c r="C190" s="1" t="n">
        <v>45790</v>
      </c>
      <c r="D190" t="inlineStr">
        <is>
          <t>NORRBOTTENS LÄN</t>
        </is>
      </c>
      <c r="E190" t="inlineStr">
        <is>
          <t>ÖVERTORNEÅ</t>
        </is>
      </c>
      <c r="G190" t="n">
        <v>48.7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7472-2021</t>
        </is>
      </c>
      <c r="B191" s="1" t="n">
        <v>44238</v>
      </c>
      <c r="C191" s="1" t="n">
        <v>45790</v>
      </c>
      <c r="D191" t="inlineStr">
        <is>
          <t>NORRBOTTENS LÄN</t>
        </is>
      </c>
      <c r="E191" t="inlineStr">
        <is>
          <t>ÖVERTORNEÅ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7470-2021</t>
        </is>
      </c>
      <c r="B192" s="1" t="n">
        <v>44238</v>
      </c>
      <c r="C192" s="1" t="n">
        <v>45790</v>
      </c>
      <c r="D192" t="inlineStr">
        <is>
          <t>NORRBOTTENS LÄN</t>
        </is>
      </c>
      <c r="E192" t="inlineStr">
        <is>
          <t>ÖVERTORNEÅ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7469-2021</t>
        </is>
      </c>
      <c r="B193" s="1" t="n">
        <v>44238</v>
      </c>
      <c r="C193" s="1" t="n">
        <v>45790</v>
      </c>
      <c r="D193" t="inlineStr">
        <is>
          <t>NORRBOTTENS LÄN</t>
        </is>
      </c>
      <c r="E193" t="inlineStr">
        <is>
          <t>ÖVERTORNEÅ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8495-2021</t>
        </is>
      </c>
      <c r="B194" s="1" t="n">
        <v>44244</v>
      </c>
      <c r="C194" s="1" t="n">
        <v>45790</v>
      </c>
      <c r="D194" t="inlineStr">
        <is>
          <t>NORRBOTTENS LÄN</t>
        </is>
      </c>
      <c r="E194" t="inlineStr">
        <is>
          <t>ÖVERTORNEÅ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8511-2021</t>
        </is>
      </c>
      <c r="B195" s="1" t="n">
        <v>44244</v>
      </c>
      <c r="C195" s="1" t="n">
        <v>45790</v>
      </c>
      <c r="D195" t="inlineStr">
        <is>
          <t>NORRBOTTENS LÄN</t>
        </is>
      </c>
      <c r="E195" t="inlineStr">
        <is>
          <t>ÖVERTORNEÅ</t>
        </is>
      </c>
      <c r="G195" t="n">
        <v>23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8898-2021</t>
        </is>
      </c>
      <c r="B196" s="1" t="n">
        <v>44245</v>
      </c>
      <c r="C196" s="1" t="n">
        <v>45790</v>
      </c>
      <c r="D196" t="inlineStr">
        <is>
          <t>NORRBOTTENS LÄN</t>
        </is>
      </c>
      <c r="E196" t="inlineStr">
        <is>
          <t>ÖVERTORNEÅ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9838-2021</t>
        </is>
      </c>
      <c r="B197" s="1" t="n">
        <v>44252</v>
      </c>
      <c r="C197" s="1" t="n">
        <v>45790</v>
      </c>
      <c r="D197" t="inlineStr">
        <is>
          <t>NORRBOTTENS LÄN</t>
        </is>
      </c>
      <c r="E197" t="inlineStr">
        <is>
          <t>ÖVERTORNEÅ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9842-2021</t>
        </is>
      </c>
      <c r="B198" s="1" t="n">
        <v>44252</v>
      </c>
      <c r="C198" s="1" t="n">
        <v>45790</v>
      </c>
      <c r="D198" t="inlineStr">
        <is>
          <t>NORRBOTTENS LÄN</t>
        </is>
      </c>
      <c r="E198" t="inlineStr">
        <is>
          <t>ÖVERTORNEÅ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10188-2021</t>
        </is>
      </c>
      <c r="B199" s="1" t="n">
        <v>44256</v>
      </c>
      <c r="C199" s="1" t="n">
        <v>45790</v>
      </c>
      <c r="D199" t="inlineStr">
        <is>
          <t>NORRBOTTENS LÄN</t>
        </is>
      </c>
      <c r="E199" t="inlineStr">
        <is>
          <t>ÖVERTORNEÅ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10619-2021</t>
        </is>
      </c>
      <c r="B200" s="1" t="n">
        <v>44258</v>
      </c>
      <c r="C200" s="1" t="n">
        <v>45790</v>
      </c>
      <c r="D200" t="inlineStr">
        <is>
          <t>NORRBOTTENS LÄN</t>
        </is>
      </c>
      <c r="E200" t="inlineStr">
        <is>
          <t>ÖVERTORNEÅ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13576-2021</t>
        </is>
      </c>
      <c r="B201" s="1" t="n">
        <v>44273</v>
      </c>
      <c r="C201" s="1" t="n">
        <v>45790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13866-2021</t>
        </is>
      </c>
      <c r="B202" s="1" t="n">
        <v>44277</v>
      </c>
      <c r="C202" s="1" t="n">
        <v>45790</v>
      </c>
      <c r="D202" t="inlineStr">
        <is>
          <t>NORRBOTTENS LÄN</t>
        </is>
      </c>
      <c r="E202" t="inlineStr">
        <is>
          <t>ÖVERTORNEÅ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13864-2021</t>
        </is>
      </c>
      <c r="B203" s="1" t="n">
        <v>44277</v>
      </c>
      <c r="C203" s="1" t="n">
        <v>45790</v>
      </c>
      <c r="D203" t="inlineStr">
        <is>
          <t>NORRBOTTENS LÄN</t>
        </is>
      </c>
      <c r="E203" t="inlineStr">
        <is>
          <t>ÖVERTORNEÅ</t>
        </is>
      </c>
      <c r="G203" t="n">
        <v>48.3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13861-2021</t>
        </is>
      </c>
      <c r="B204" s="1" t="n">
        <v>44277</v>
      </c>
      <c r="C204" s="1" t="n">
        <v>45790</v>
      </c>
      <c r="D204" t="inlineStr">
        <is>
          <t>NORRBOTTENS LÄN</t>
        </is>
      </c>
      <c r="E204" t="inlineStr">
        <is>
          <t>ÖVERTORNEÅ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13870-2021</t>
        </is>
      </c>
      <c r="B205" s="1" t="n">
        <v>44277</v>
      </c>
      <c r="C205" s="1" t="n">
        <v>45790</v>
      </c>
      <c r="D205" t="inlineStr">
        <is>
          <t>NORRBOTTENS LÄN</t>
        </is>
      </c>
      <c r="E205" t="inlineStr">
        <is>
          <t>ÖVERTORNEÅ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13859-2021</t>
        </is>
      </c>
      <c r="B206" s="1" t="n">
        <v>44277</v>
      </c>
      <c r="C206" s="1" t="n">
        <v>45790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13877-2021</t>
        </is>
      </c>
      <c r="B207" s="1" t="n">
        <v>44277</v>
      </c>
      <c r="C207" s="1" t="n">
        <v>45790</v>
      </c>
      <c r="D207" t="inlineStr">
        <is>
          <t>NORRBOTTENS LÄN</t>
        </is>
      </c>
      <c r="E207" t="inlineStr">
        <is>
          <t>ÖVERTORNEÅ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15238-2021</t>
        </is>
      </c>
      <c r="B208" s="1" t="n">
        <v>44284</v>
      </c>
      <c r="C208" s="1" t="n">
        <v>45790</v>
      </c>
      <c r="D208" t="inlineStr">
        <is>
          <t>NORRBOTTENS LÄN</t>
        </is>
      </c>
      <c r="E208" t="inlineStr">
        <is>
          <t>ÖVERTORNEÅ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15240-2021</t>
        </is>
      </c>
      <c r="B209" s="1" t="n">
        <v>44284</v>
      </c>
      <c r="C209" s="1" t="n">
        <v>45790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15239-2021</t>
        </is>
      </c>
      <c r="B210" s="1" t="n">
        <v>44284</v>
      </c>
      <c r="C210" s="1" t="n">
        <v>45790</v>
      </c>
      <c r="D210" t="inlineStr">
        <is>
          <t>NORRBOTTENS LÄN</t>
        </is>
      </c>
      <c r="E210" t="inlineStr">
        <is>
          <t>ÖVERTORNEÅ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15246-2021</t>
        </is>
      </c>
      <c r="B211" s="1" t="n">
        <v>44284</v>
      </c>
      <c r="C211" s="1" t="n">
        <v>45790</v>
      </c>
      <c r="D211" t="inlineStr">
        <is>
          <t>NORRBOTTENS LÄN</t>
        </is>
      </c>
      <c r="E211" t="inlineStr">
        <is>
          <t>ÖVERTORNEÅ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16111-2021</t>
        </is>
      </c>
      <c r="B212" s="1" t="n">
        <v>44291</v>
      </c>
      <c r="C212" s="1" t="n">
        <v>45790</v>
      </c>
      <c r="D212" t="inlineStr">
        <is>
          <t>NORRBOTTENS LÄN</t>
        </is>
      </c>
      <c r="E212" t="inlineStr">
        <is>
          <t>ÖVERTORNEÅ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16112-2021</t>
        </is>
      </c>
      <c r="B213" s="1" t="n">
        <v>44291</v>
      </c>
      <c r="C213" s="1" t="n">
        <v>45790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18449-2021</t>
        </is>
      </c>
      <c r="B214" s="1" t="n">
        <v>44305</v>
      </c>
      <c r="C214" s="1" t="n">
        <v>45790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18575-2021</t>
        </is>
      </c>
      <c r="B215" s="1" t="n">
        <v>44305</v>
      </c>
      <c r="C215" s="1" t="n">
        <v>45790</v>
      </c>
      <c r="D215" t="inlineStr">
        <is>
          <t>NORRBOTTENS LÄN</t>
        </is>
      </c>
      <c r="E215" t="inlineStr">
        <is>
          <t>ÖVERTORNEÅ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18566-2021</t>
        </is>
      </c>
      <c r="B216" s="1" t="n">
        <v>44305</v>
      </c>
      <c r="C216" s="1" t="n">
        <v>45790</v>
      </c>
      <c r="D216" t="inlineStr">
        <is>
          <t>NORRBOTTENS LÄN</t>
        </is>
      </c>
      <c r="E216" t="inlineStr">
        <is>
          <t>ÖVERTORNEÅ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18578-2021</t>
        </is>
      </c>
      <c r="B217" s="1" t="n">
        <v>44305</v>
      </c>
      <c r="C217" s="1" t="n">
        <v>45790</v>
      </c>
      <c r="D217" t="inlineStr">
        <is>
          <t>NORRBOTTENS LÄN</t>
        </is>
      </c>
      <c r="E217" t="inlineStr">
        <is>
          <t>ÖVERTORNEÅ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19401-2021</t>
        </is>
      </c>
      <c r="B218" s="1" t="n">
        <v>44310</v>
      </c>
      <c r="C218" s="1" t="n">
        <v>45790</v>
      </c>
      <c r="D218" t="inlineStr">
        <is>
          <t>NORRBOTTENS LÄN</t>
        </is>
      </c>
      <c r="E218" t="inlineStr">
        <is>
          <t>ÖVERTORNEÅ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19845-2021</t>
        </is>
      </c>
      <c r="B219" s="1" t="n">
        <v>44312</v>
      </c>
      <c r="C219" s="1" t="n">
        <v>45790</v>
      </c>
      <c r="D219" t="inlineStr">
        <is>
          <t>NORRBOTTENS LÄN</t>
        </is>
      </c>
      <c r="E219" t="inlineStr">
        <is>
          <t>ÖVERTORNEÅ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22726-2021</t>
        </is>
      </c>
      <c r="B220" s="1" t="n">
        <v>44327</v>
      </c>
      <c r="C220" s="1" t="n">
        <v>45790</v>
      </c>
      <c r="D220" t="inlineStr">
        <is>
          <t>NORRBOTTENS LÄN</t>
        </is>
      </c>
      <c r="E220" t="inlineStr">
        <is>
          <t>ÖVERTORNEÅ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24416-2021</t>
        </is>
      </c>
      <c r="B221" s="1" t="n">
        <v>44337</v>
      </c>
      <c r="C221" s="1" t="n">
        <v>45790</v>
      </c>
      <c r="D221" t="inlineStr">
        <is>
          <t>NORRBOTTENS LÄN</t>
        </is>
      </c>
      <c r="E221" t="inlineStr">
        <is>
          <t>ÖVERTORNEÅ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27789-2021</t>
        </is>
      </c>
      <c r="B222" s="1" t="n">
        <v>44354</v>
      </c>
      <c r="C222" s="1" t="n">
        <v>45790</v>
      </c>
      <c r="D222" t="inlineStr">
        <is>
          <t>NORRBOTTENS LÄN</t>
        </is>
      </c>
      <c r="E222" t="inlineStr">
        <is>
          <t>ÖVERTORNEÅ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29945-2021</t>
        </is>
      </c>
      <c r="B223" s="1" t="n">
        <v>44363</v>
      </c>
      <c r="C223" s="1" t="n">
        <v>45790</v>
      </c>
      <c r="D223" t="inlineStr">
        <is>
          <t>NORRBOTTENS LÄN</t>
        </is>
      </c>
      <c r="E223" t="inlineStr">
        <is>
          <t>ÖVERTORNEÅ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30688-2021</t>
        </is>
      </c>
      <c r="B224" s="1" t="n">
        <v>44365</v>
      </c>
      <c r="C224" s="1" t="n">
        <v>45790</v>
      </c>
      <c r="D224" t="inlineStr">
        <is>
          <t>NORRBOTTENS LÄN</t>
        </is>
      </c>
      <c r="E224" t="inlineStr">
        <is>
          <t>ÖVERTORNEÅ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31008-2021</t>
        </is>
      </c>
      <c r="B225" s="1" t="n">
        <v>44366</v>
      </c>
      <c r="C225" s="1" t="n">
        <v>45790</v>
      </c>
      <c r="D225" t="inlineStr">
        <is>
          <t>NORRBOTTENS LÄN</t>
        </is>
      </c>
      <c r="E225" t="inlineStr">
        <is>
          <t>ÖVERTORNEÅ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31007-2021</t>
        </is>
      </c>
      <c r="B226" s="1" t="n">
        <v>44366</v>
      </c>
      <c r="C226" s="1" t="n">
        <v>45790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31444-2021</t>
        </is>
      </c>
      <c r="B227" s="1" t="n">
        <v>44369</v>
      </c>
      <c r="C227" s="1" t="n">
        <v>45790</v>
      </c>
      <c r="D227" t="inlineStr">
        <is>
          <t>NORRBOTTENS LÄN</t>
        </is>
      </c>
      <c r="E227" t="inlineStr">
        <is>
          <t>ÖVERTORNEÅ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32902-2021</t>
        </is>
      </c>
      <c r="B228" s="1" t="n">
        <v>44376</v>
      </c>
      <c r="C228" s="1" t="n">
        <v>45790</v>
      </c>
      <c r="D228" t="inlineStr">
        <is>
          <t>NORRBOTTENS LÄN</t>
        </is>
      </c>
      <c r="E228" t="inlineStr">
        <is>
          <t>ÖVERTORNEÅ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36202-2021</t>
        </is>
      </c>
      <c r="B229" s="1" t="n">
        <v>44389</v>
      </c>
      <c r="C229" s="1" t="n">
        <v>45790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37607-2021</t>
        </is>
      </c>
      <c r="B230" s="1" t="n">
        <v>44399</v>
      </c>
      <c r="C230" s="1" t="n">
        <v>45790</v>
      </c>
      <c r="D230" t="inlineStr">
        <is>
          <t>NORRBOTTENS LÄN</t>
        </is>
      </c>
      <c r="E230" t="inlineStr">
        <is>
          <t>ÖVERTORNEÅ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37846-2021</t>
        </is>
      </c>
      <c r="B231" s="1" t="n">
        <v>44403</v>
      </c>
      <c r="C231" s="1" t="n">
        <v>45790</v>
      </c>
      <c r="D231" t="inlineStr">
        <is>
          <t>NORRBOTTENS LÄN</t>
        </is>
      </c>
      <c r="E231" t="inlineStr">
        <is>
          <t>ÖVERTORNEÅ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38002-2021</t>
        </is>
      </c>
      <c r="B232" s="1" t="n">
        <v>44404</v>
      </c>
      <c r="C232" s="1" t="n">
        <v>45790</v>
      </c>
      <c r="D232" t="inlineStr">
        <is>
          <t>NORRBOTTENS LÄN</t>
        </is>
      </c>
      <c r="E232" t="inlineStr">
        <is>
          <t>ÖVERTORNEÅ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38152-2021</t>
        </is>
      </c>
      <c r="B233" s="1" t="n">
        <v>44405</v>
      </c>
      <c r="C233" s="1" t="n">
        <v>45790</v>
      </c>
      <c r="D233" t="inlineStr">
        <is>
          <t>NORRBOTTENS LÄN</t>
        </is>
      </c>
      <c r="E233" t="inlineStr">
        <is>
          <t>ÖVERTORNEÅ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38156-2021</t>
        </is>
      </c>
      <c r="B234" s="1" t="n">
        <v>44405</v>
      </c>
      <c r="C234" s="1" t="n">
        <v>45790</v>
      </c>
      <c r="D234" t="inlineStr">
        <is>
          <t>NORRBOTTENS LÄN</t>
        </is>
      </c>
      <c r="E234" t="inlineStr">
        <is>
          <t>ÖVERTORNEÅ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38696-2021</t>
        </is>
      </c>
      <c r="B235" s="1" t="n">
        <v>44406</v>
      </c>
      <c r="C235" s="1" t="n">
        <v>45790</v>
      </c>
      <c r="D235" t="inlineStr">
        <is>
          <t>NORRBOTTENS LÄN</t>
        </is>
      </c>
      <c r="E235" t="inlineStr">
        <is>
          <t>ÖVERTORNEÅ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38500-2021</t>
        </is>
      </c>
      <c r="B236" s="1" t="n">
        <v>44406</v>
      </c>
      <c r="C236" s="1" t="n">
        <v>45790</v>
      </c>
      <c r="D236" t="inlineStr">
        <is>
          <t>NORRBOTTENS LÄN</t>
        </is>
      </c>
      <c r="E236" t="inlineStr">
        <is>
          <t>ÖVERTORNEÅ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39893-2021</t>
        </is>
      </c>
      <c r="B237" s="1" t="n">
        <v>44417</v>
      </c>
      <c r="C237" s="1" t="n">
        <v>45790</v>
      </c>
      <c r="D237" t="inlineStr">
        <is>
          <t>NORRBOTTENS LÄN</t>
        </is>
      </c>
      <c r="E237" t="inlineStr">
        <is>
          <t>ÖVERTORNEÅ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41137-2021</t>
        </is>
      </c>
      <c r="B238" s="1" t="n">
        <v>44423</v>
      </c>
      <c r="C238" s="1" t="n">
        <v>45790</v>
      </c>
      <c r="D238" t="inlineStr">
        <is>
          <t>NORRBOTTENS LÄN</t>
        </is>
      </c>
      <c r="E238" t="inlineStr">
        <is>
          <t>ÖVERTORNEÅ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41197-2021</t>
        </is>
      </c>
      <c r="B239" s="1" t="n">
        <v>44424</v>
      </c>
      <c r="C239" s="1" t="n">
        <v>45790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42172-2021</t>
        </is>
      </c>
      <c r="B240" s="1" t="n">
        <v>44426</v>
      </c>
      <c r="C240" s="1" t="n">
        <v>45790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43407-2021</t>
        </is>
      </c>
      <c r="B241" s="1" t="n">
        <v>44432</v>
      </c>
      <c r="C241" s="1" t="n">
        <v>45790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43487-2021</t>
        </is>
      </c>
      <c r="B242" s="1" t="n">
        <v>44433</v>
      </c>
      <c r="C242" s="1" t="n">
        <v>45790</v>
      </c>
      <c r="D242" t="inlineStr">
        <is>
          <t>NORRBOTTENS LÄN</t>
        </is>
      </c>
      <c r="E242" t="inlineStr">
        <is>
          <t>ÖVERTORNEÅ</t>
        </is>
      </c>
      <c r="G242" t="n">
        <v>22.5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44278-2021</t>
        </is>
      </c>
      <c r="B243" s="1" t="n">
        <v>44433</v>
      </c>
      <c r="C243" s="1" t="n">
        <v>45790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45566-2021</t>
        </is>
      </c>
      <c r="B244" s="1" t="n">
        <v>44440</v>
      </c>
      <c r="C244" s="1" t="n">
        <v>45790</v>
      </c>
      <c r="D244" t="inlineStr">
        <is>
          <t>NORRBOTTENS LÄN</t>
        </is>
      </c>
      <c r="E244" t="inlineStr">
        <is>
          <t>ÖVERTORNEÅ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46022-2021</t>
        </is>
      </c>
      <c r="B245" s="1" t="n">
        <v>44442</v>
      </c>
      <c r="C245" s="1" t="n">
        <v>45790</v>
      </c>
      <c r="D245" t="inlineStr">
        <is>
          <t>NORRBOTTENS LÄN</t>
        </is>
      </c>
      <c r="E245" t="inlineStr">
        <is>
          <t>ÖVERTORNEÅ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46031-2021</t>
        </is>
      </c>
      <c r="B246" s="1" t="n">
        <v>44441</v>
      </c>
      <c r="C246" s="1" t="n">
        <v>45790</v>
      </c>
      <c r="D246" t="inlineStr">
        <is>
          <t>NORRBOTTENS LÄN</t>
        </is>
      </c>
      <c r="E246" t="inlineStr">
        <is>
          <t>ÖVERTORNEÅ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46026-2021</t>
        </is>
      </c>
      <c r="B247" s="1" t="n">
        <v>44442</v>
      </c>
      <c r="C247" s="1" t="n">
        <v>45790</v>
      </c>
      <c r="D247" t="inlineStr">
        <is>
          <t>NORRBOTTENS LÄN</t>
        </is>
      </c>
      <c r="E247" t="inlineStr">
        <is>
          <t>ÖVERTORNEÅ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46035-2021</t>
        </is>
      </c>
      <c r="B248" s="1" t="n">
        <v>44441</v>
      </c>
      <c r="C248" s="1" t="n">
        <v>45790</v>
      </c>
      <c r="D248" t="inlineStr">
        <is>
          <t>NORRBOTTENS LÄN</t>
        </is>
      </c>
      <c r="E248" t="inlineStr">
        <is>
          <t>ÖVERTORNEÅ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46024-2021</t>
        </is>
      </c>
      <c r="B249" s="1" t="n">
        <v>44441</v>
      </c>
      <c r="C249" s="1" t="n">
        <v>45790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46032-2021</t>
        </is>
      </c>
      <c r="B250" s="1" t="n">
        <v>44441</v>
      </c>
      <c r="C250" s="1" t="n">
        <v>45790</v>
      </c>
      <c r="D250" t="inlineStr">
        <is>
          <t>NORRBOTTENS LÄN</t>
        </is>
      </c>
      <c r="E250" t="inlineStr">
        <is>
          <t>ÖVERTORNEÅ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46027-2021</t>
        </is>
      </c>
      <c r="B251" s="1" t="n">
        <v>44442</v>
      </c>
      <c r="C251" s="1" t="n">
        <v>45790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46037-2021</t>
        </is>
      </c>
      <c r="B252" s="1" t="n">
        <v>44441</v>
      </c>
      <c r="C252" s="1" t="n">
        <v>45790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46973-2021</t>
        </is>
      </c>
      <c r="B253" s="1" t="n">
        <v>44446</v>
      </c>
      <c r="C253" s="1" t="n">
        <v>45790</v>
      </c>
      <c r="D253" t="inlineStr">
        <is>
          <t>NORRBOTTENS LÄN</t>
        </is>
      </c>
      <c r="E253" t="inlineStr">
        <is>
          <t>ÖVERTORNEÅ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48792-2021</t>
        </is>
      </c>
      <c r="B254" s="1" t="n">
        <v>44452</v>
      </c>
      <c r="C254" s="1" t="n">
        <v>45790</v>
      </c>
      <c r="D254" t="inlineStr">
        <is>
          <t>NORRBOTTENS LÄN</t>
        </is>
      </c>
      <c r="E254" t="inlineStr">
        <is>
          <t>ÖVERTORNEÅ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48770-2021</t>
        </is>
      </c>
      <c r="B255" s="1" t="n">
        <v>44452</v>
      </c>
      <c r="C255" s="1" t="n">
        <v>45790</v>
      </c>
      <c r="D255" t="inlineStr">
        <is>
          <t>NORRBOTTENS LÄN</t>
        </is>
      </c>
      <c r="E255" t="inlineStr">
        <is>
          <t>ÖVERTORNEÅ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48780-2021</t>
        </is>
      </c>
      <c r="B256" s="1" t="n">
        <v>44452</v>
      </c>
      <c r="C256" s="1" t="n">
        <v>45790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48746-2021</t>
        </is>
      </c>
      <c r="B257" s="1" t="n">
        <v>44452</v>
      </c>
      <c r="C257" s="1" t="n">
        <v>45790</v>
      </c>
      <c r="D257" t="inlineStr">
        <is>
          <t>NORRBOTTENS LÄN</t>
        </is>
      </c>
      <c r="E257" t="inlineStr">
        <is>
          <t>ÖVERTORNEÅ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52288-2021</t>
        </is>
      </c>
      <c r="B258" s="1" t="n">
        <v>44463</v>
      </c>
      <c r="C258" s="1" t="n">
        <v>45790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57636-2021</t>
        </is>
      </c>
      <c r="B259" s="1" t="n">
        <v>44484</v>
      </c>
      <c r="C259" s="1" t="n">
        <v>45790</v>
      </c>
      <c r="D259" t="inlineStr">
        <is>
          <t>NORRBOTTENS LÄN</t>
        </is>
      </c>
      <c r="E259" t="inlineStr">
        <is>
          <t>ÖVERTORNEÅ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57849-2021</t>
        </is>
      </c>
      <c r="B260" s="1" t="n">
        <v>44484</v>
      </c>
      <c r="C260" s="1" t="n">
        <v>45790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58185-2021</t>
        </is>
      </c>
      <c r="B261" s="1" t="n">
        <v>44487</v>
      </c>
      <c r="C261" s="1" t="n">
        <v>45790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58304-2021</t>
        </is>
      </c>
      <c r="B262" s="1" t="n">
        <v>44488</v>
      </c>
      <c r="C262" s="1" t="n">
        <v>45790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58691-2021</t>
        </is>
      </c>
      <c r="B263" s="1" t="n">
        <v>44489</v>
      </c>
      <c r="C263" s="1" t="n">
        <v>45790</v>
      </c>
      <c r="D263" t="inlineStr">
        <is>
          <t>NORRBOTTENS LÄN</t>
        </is>
      </c>
      <c r="E263" t="inlineStr">
        <is>
          <t>ÖVERTORNEÅ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60133-2021</t>
        </is>
      </c>
      <c r="B264" s="1" t="n">
        <v>44494</v>
      </c>
      <c r="C264" s="1" t="n">
        <v>45790</v>
      </c>
      <c r="D264" t="inlineStr">
        <is>
          <t>NORRBOTTENS LÄN</t>
        </is>
      </c>
      <c r="E264" t="inlineStr">
        <is>
          <t>ÖVERTORNEÅ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60948-2021</t>
        </is>
      </c>
      <c r="B265" s="1" t="n">
        <v>44497</v>
      </c>
      <c r="C265" s="1" t="n">
        <v>45790</v>
      </c>
      <c r="D265" t="inlineStr">
        <is>
          <t>NORRBOTTENS LÄN</t>
        </is>
      </c>
      <c r="E265" t="inlineStr">
        <is>
          <t>ÖVERTORNEÅ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62851-2021</t>
        </is>
      </c>
      <c r="B266" s="1" t="n">
        <v>44504</v>
      </c>
      <c r="C266" s="1" t="n">
        <v>45790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62856-2021</t>
        </is>
      </c>
      <c r="B267" s="1" t="n">
        <v>44504</v>
      </c>
      <c r="C267" s="1" t="n">
        <v>45790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63347-2021</t>
        </is>
      </c>
      <c r="B268" s="1" t="n">
        <v>44508</v>
      </c>
      <c r="C268" s="1" t="n">
        <v>45790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63351-2021</t>
        </is>
      </c>
      <c r="B269" s="1" t="n">
        <v>44508</v>
      </c>
      <c r="C269" s="1" t="n">
        <v>45790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63735-2021</t>
        </is>
      </c>
      <c r="B270" s="1" t="n">
        <v>44508</v>
      </c>
      <c r="C270" s="1" t="n">
        <v>45790</v>
      </c>
      <c r="D270" t="inlineStr">
        <is>
          <t>NORRBOTTENS LÄN</t>
        </is>
      </c>
      <c r="E270" t="inlineStr">
        <is>
          <t>ÖVERTORNEÅ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63738-2021</t>
        </is>
      </c>
      <c r="B271" s="1" t="n">
        <v>44508</v>
      </c>
      <c r="C271" s="1" t="n">
        <v>45790</v>
      </c>
      <c r="D271" t="inlineStr">
        <is>
          <t>NORRBOTTENS LÄN</t>
        </is>
      </c>
      <c r="E271" t="inlineStr">
        <is>
          <t>ÖVERTORNEÅ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65110-2021</t>
        </is>
      </c>
      <c r="B272" s="1" t="n">
        <v>44515</v>
      </c>
      <c r="C272" s="1" t="n">
        <v>45790</v>
      </c>
      <c r="D272" t="inlineStr">
        <is>
          <t>NORRBOTTENS LÄN</t>
        </is>
      </c>
      <c r="E272" t="inlineStr">
        <is>
          <t>ÖVERTORNEÅ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66737-2021</t>
        </is>
      </c>
      <c r="B273" s="1" t="n">
        <v>44520</v>
      </c>
      <c r="C273" s="1" t="n">
        <v>45790</v>
      </c>
      <c r="D273" t="inlineStr">
        <is>
          <t>NORRBOTTENS LÄN</t>
        </is>
      </c>
      <c r="E273" t="inlineStr">
        <is>
          <t>ÖVERTORNEÅ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66775-2021</t>
        </is>
      </c>
      <c r="B274" s="1" t="n">
        <v>44522</v>
      </c>
      <c r="C274" s="1" t="n">
        <v>45790</v>
      </c>
      <c r="D274" t="inlineStr">
        <is>
          <t>NORRBOTTENS LÄN</t>
        </is>
      </c>
      <c r="E274" t="inlineStr">
        <is>
          <t>ÖVERTORNEÅ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68764-2021</t>
        </is>
      </c>
      <c r="B275" s="1" t="n">
        <v>44529</v>
      </c>
      <c r="C275" s="1" t="n">
        <v>45790</v>
      </c>
      <c r="D275" t="inlineStr">
        <is>
          <t>NORRBOTTENS LÄN</t>
        </is>
      </c>
      <c r="E275" t="inlineStr">
        <is>
          <t>ÖVERTORNEÅ</t>
        </is>
      </c>
      <c r="G275" t="n">
        <v>19.2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69402-2021</t>
        </is>
      </c>
      <c r="B276" s="1" t="n">
        <v>44531</v>
      </c>
      <c r="C276" s="1" t="n">
        <v>45790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69898-2021</t>
        </is>
      </c>
      <c r="B277" s="1" t="n">
        <v>44532</v>
      </c>
      <c r="C277" s="1" t="n">
        <v>45790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70415-2021</t>
        </is>
      </c>
      <c r="B278" s="1" t="n">
        <v>44536</v>
      </c>
      <c r="C278" s="1" t="n">
        <v>45790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70413-2021</t>
        </is>
      </c>
      <c r="B279" s="1" t="n">
        <v>44536</v>
      </c>
      <c r="C279" s="1" t="n">
        <v>45790</v>
      </c>
      <c r="D279" t="inlineStr">
        <is>
          <t>NORRBOTTENS LÄN</t>
        </is>
      </c>
      <c r="E279" t="inlineStr">
        <is>
          <t>ÖVERTORNEÅ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70617-2021</t>
        </is>
      </c>
      <c r="B280" s="1" t="n">
        <v>44537</v>
      </c>
      <c r="C280" s="1" t="n">
        <v>45790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Kyrkan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71381-2021</t>
        </is>
      </c>
      <c r="B281" s="1" t="n">
        <v>44538</v>
      </c>
      <c r="C281" s="1" t="n">
        <v>45790</v>
      </c>
      <c r="D281" t="inlineStr">
        <is>
          <t>NORRBOTTENS LÄN</t>
        </is>
      </c>
      <c r="E281" t="inlineStr">
        <is>
          <t>ÖVERTORNEÅ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72442-2021</t>
        </is>
      </c>
      <c r="B282" s="1" t="n">
        <v>44544</v>
      </c>
      <c r="C282" s="1" t="n">
        <v>45790</v>
      </c>
      <c r="D282" t="inlineStr">
        <is>
          <t>NORRBOTTENS LÄN</t>
        </is>
      </c>
      <c r="E282" t="inlineStr">
        <is>
          <t>ÖVERTORNEÅ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72299-2021</t>
        </is>
      </c>
      <c r="B283" s="1" t="n">
        <v>44545</v>
      </c>
      <c r="C283" s="1" t="n">
        <v>45790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73605-2021</t>
        </is>
      </c>
      <c r="B284" s="1" t="n">
        <v>44551</v>
      </c>
      <c r="C284" s="1" t="n">
        <v>45790</v>
      </c>
      <c r="D284" t="inlineStr">
        <is>
          <t>NORRBOTTENS LÄN</t>
        </is>
      </c>
      <c r="E284" t="inlineStr">
        <is>
          <t>ÖVERTORNEÅ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73603-2021</t>
        </is>
      </c>
      <c r="B285" s="1" t="n">
        <v>44551</v>
      </c>
      <c r="C285" s="1" t="n">
        <v>45790</v>
      </c>
      <c r="D285" t="inlineStr">
        <is>
          <t>NORRBOTTENS LÄN</t>
        </is>
      </c>
      <c r="E285" t="inlineStr">
        <is>
          <t>ÖVERTORNEÅ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74231-2021</t>
        </is>
      </c>
      <c r="B286" s="1" t="n">
        <v>44553</v>
      </c>
      <c r="C286" s="1" t="n">
        <v>45790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74228-2021</t>
        </is>
      </c>
      <c r="B287" s="1" t="n">
        <v>44553</v>
      </c>
      <c r="C287" s="1" t="n">
        <v>45790</v>
      </c>
      <c r="D287" t="inlineStr">
        <is>
          <t>NORRBOTTENS LÄN</t>
        </is>
      </c>
      <c r="E287" t="inlineStr">
        <is>
          <t>ÖVERTORNEÅ</t>
        </is>
      </c>
      <c r="G287" t="n">
        <v>27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74232-2021</t>
        </is>
      </c>
      <c r="B288" s="1" t="n">
        <v>44553</v>
      </c>
      <c r="C288" s="1" t="n">
        <v>45790</v>
      </c>
      <c r="D288" t="inlineStr">
        <is>
          <t>NORRBOTTENS LÄN</t>
        </is>
      </c>
      <c r="E288" t="inlineStr">
        <is>
          <t>ÖVERTORNEÅ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74235-2021</t>
        </is>
      </c>
      <c r="B289" s="1" t="n">
        <v>44553</v>
      </c>
      <c r="C289" s="1" t="n">
        <v>45790</v>
      </c>
      <c r="D289" t="inlineStr">
        <is>
          <t>NORRBOTTENS LÄN</t>
        </is>
      </c>
      <c r="E289" t="inlineStr">
        <is>
          <t>ÖVERTORNEÅ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74057-2021</t>
        </is>
      </c>
      <c r="B290" s="1" t="n">
        <v>44557</v>
      </c>
      <c r="C290" s="1" t="n">
        <v>45790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74158-2021</t>
        </is>
      </c>
      <c r="B291" s="1" t="n">
        <v>44557</v>
      </c>
      <c r="C291" s="1" t="n">
        <v>45790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74163-2021</t>
        </is>
      </c>
      <c r="B292" s="1" t="n">
        <v>44557</v>
      </c>
      <c r="C292" s="1" t="n">
        <v>45790</v>
      </c>
      <c r="D292" t="inlineStr">
        <is>
          <t>NORRBOTTENS LÄN</t>
        </is>
      </c>
      <c r="E292" t="inlineStr">
        <is>
          <t>ÖVERTORNEÅ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313-2022</t>
        </is>
      </c>
      <c r="B293" s="1" t="n">
        <v>44564</v>
      </c>
      <c r="C293" s="1" t="n">
        <v>45790</v>
      </c>
      <c r="D293" t="inlineStr">
        <is>
          <t>NORRBOTTENS LÄN</t>
        </is>
      </c>
      <c r="E293" t="inlineStr">
        <is>
          <t>ÖVERTORNEÅ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1091-2022</t>
        </is>
      </c>
      <c r="B294" s="1" t="n">
        <v>44571</v>
      </c>
      <c r="C294" s="1" t="n">
        <v>45790</v>
      </c>
      <c r="D294" t="inlineStr">
        <is>
          <t>NORRBOTTENS LÄN</t>
        </is>
      </c>
      <c r="E294" t="inlineStr">
        <is>
          <t>ÖVERTORNEÅ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1092-2022</t>
        </is>
      </c>
      <c r="B295" s="1" t="n">
        <v>44571</v>
      </c>
      <c r="C295" s="1" t="n">
        <v>45790</v>
      </c>
      <c r="D295" t="inlineStr">
        <is>
          <t>NORRBOTTENS LÄN</t>
        </is>
      </c>
      <c r="E295" t="inlineStr">
        <is>
          <t>ÖVERTORNEÅ</t>
        </is>
      </c>
      <c r="G295" t="n">
        <v>23.5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1206-2022</t>
        </is>
      </c>
      <c r="B296" s="1" t="n">
        <v>44572</v>
      </c>
      <c r="C296" s="1" t="n">
        <v>45790</v>
      </c>
      <c r="D296" t="inlineStr">
        <is>
          <t>NORRBOTTENS LÄN</t>
        </is>
      </c>
      <c r="E296" t="inlineStr">
        <is>
          <t>ÖVERTORNEÅ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3010-2022</t>
        </is>
      </c>
      <c r="B297" s="1" t="n">
        <v>44581</v>
      </c>
      <c r="C297" s="1" t="n">
        <v>45790</v>
      </c>
      <c r="D297" t="inlineStr">
        <is>
          <t>NORRBOTTENS LÄN</t>
        </is>
      </c>
      <c r="E297" t="inlineStr">
        <is>
          <t>ÖVERTORNEÅ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3416-2022</t>
        </is>
      </c>
      <c r="B298" s="1" t="n">
        <v>44585</v>
      </c>
      <c r="C298" s="1" t="n">
        <v>45790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3431-2022</t>
        </is>
      </c>
      <c r="B299" s="1" t="n">
        <v>44585</v>
      </c>
      <c r="C299" s="1" t="n">
        <v>45790</v>
      </c>
      <c r="D299" t="inlineStr">
        <is>
          <t>NORRBOTTENS LÄN</t>
        </is>
      </c>
      <c r="E299" t="inlineStr">
        <is>
          <t>ÖVERTORNEÅ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3389-2022</t>
        </is>
      </c>
      <c r="B300" s="1" t="n">
        <v>44585</v>
      </c>
      <c r="C300" s="1" t="n">
        <v>45790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4012-2022</t>
        </is>
      </c>
      <c r="B301" s="1" t="n">
        <v>44587</v>
      </c>
      <c r="C301" s="1" t="n">
        <v>45790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4011-2022</t>
        </is>
      </c>
      <c r="B302" s="1" t="n">
        <v>44587</v>
      </c>
      <c r="C302" s="1" t="n">
        <v>45790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Kommuner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4512-2022</t>
        </is>
      </c>
      <c r="B303" s="1" t="n">
        <v>44589</v>
      </c>
      <c r="C303" s="1" t="n">
        <v>45790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4515-2022</t>
        </is>
      </c>
      <c r="B304" s="1" t="n">
        <v>44589</v>
      </c>
      <c r="C304" s="1" t="n">
        <v>45790</v>
      </c>
      <c r="D304" t="inlineStr">
        <is>
          <t>NORRBOTTENS LÄN</t>
        </is>
      </c>
      <c r="E304" t="inlineStr">
        <is>
          <t>ÖVERTORNEÅ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4514-2022</t>
        </is>
      </c>
      <c r="B305" s="1" t="n">
        <v>44589</v>
      </c>
      <c r="C305" s="1" t="n">
        <v>45790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4513-2022</t>
        </is>
      </c>
      <c r="B306" s="1" t="n">
        <v>44589</v>
      </c>
      <c r="C306" s="1" t="n">
        <v>45790</v>
      </c>
      <c r="D306" t="inlineStr">
        <is>
          <t>NORRBOTTENS LÄN</t>
        </is>
      </c>
      <c r="E306" t="inlineStr">
        <is>
          <t>ÖVERTORNEÅ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6593-2022</t>
        </is>
      </c>
      <c r="B307" s="1" t="n">
        <v>44601</v>
      </c>
      <c r="C307" s="1" t="n">
        <v>45790</v>
      </c>
      <c r="D307" t="inlineStr">
        <is>
          <t>NORRBOTTENS LÄN</t>
        </is>
      </c>
      <c r="E307" t="inlineStr">
        <is>
          <t>ÖVERTORNEÅ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11831-2022</t>
        </is>
      </c>
      <c r="B308" s="1" t="n">
        <v>44634</v>
      </c>
      <c r="C308" s="1" t="n">
        <v>45790</v>
      </c>
      <c r="D308" t="inlineStr">
        <is>
          <t>NORRBOTTENS LÄN</t>
        </is>
      </c>
      <c r="E308" t="inlineStr">
        <is>
          <t>ÖVERTORNEÅ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11830-2022</t>
        </is>
      </c>
      <c r="B309" s="1" t="n">
        <v>44634</v>
      </c>
      <c r="C309" s="1" t="n">
        <v>45790</v>
      </c>
      <c r="D309" t="inlineStr">
        <is>
          <t>NORRBOTTENS LÄN</t>
        </is>
      </c>
      <c r="E309" t="inlineStr">
        <is>
          <t>ÖVERTORNEÅ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45790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45790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45790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45790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45790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45790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45790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45790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45790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45790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45790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45790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45790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45790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45790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45790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45790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45790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45790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45790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45790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45790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45790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45790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45790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45790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45790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45790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45790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45790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45790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45790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45790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45790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45790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45790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45790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45790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45790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45790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45790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45790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45790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45790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45790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45790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45790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45790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45790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45790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45790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45790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45790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45790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45790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45790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45790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45790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45790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45790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45790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45790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45790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45790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45790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45790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45790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45790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45790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45790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45790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45790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45790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45790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45790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45790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45790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45790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45790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45790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45790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45790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45790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45790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45790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45790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45790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45790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45790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45790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45790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45790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45790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45790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45790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45790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45790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45790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45790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45790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45790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45790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45790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45790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45790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45790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45790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45790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45790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45790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45790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45790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45790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45790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45790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45790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45790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45790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45790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45790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45790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45790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45790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45790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45790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45790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45790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45790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45790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45790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45790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45790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45790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45790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45790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45790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45790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45790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45790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45790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45790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45790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45790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45790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45790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45790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45790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45790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45790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45790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45790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45790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45790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45790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45790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45790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45790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45790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45790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45790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45790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45790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45790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45790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45790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45790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45790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45790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45790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45790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45790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45790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45790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45790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45790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45790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45790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45790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45790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45790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45790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45790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45790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45790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45790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45790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45790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45790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45790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45790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45790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45790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45790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45790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45790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45790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45790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45790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45790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45790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45790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45790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45790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45790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45790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45790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45790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45790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45790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45790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45790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45790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45790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45790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45790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45790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45790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45790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45790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45790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45790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45790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45790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45790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45790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45790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45790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45790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45790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45790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45790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45790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45790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45790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45790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45790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45790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45790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45790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45790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45790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45790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45790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45790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45790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45790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45790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45790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45790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45790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45790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45790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45790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45790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45790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45790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45790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45790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45790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45790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45790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45790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45790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45790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45790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45790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45790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45790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45790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45790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45790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45790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45790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45790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45790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45790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45790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45790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45790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45790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45790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45790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45790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45790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45790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45790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45790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45790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45790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45790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45790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45790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45790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45790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45790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45790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45790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45790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45790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45790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45790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45790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45790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45790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45790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45790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45790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45790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45790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45790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45790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45790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45790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45790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45790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45790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45790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45790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45790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45790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45790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45790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45790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45790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45790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45790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45790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45790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45790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45790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45790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45790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45790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45790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45790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45790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45790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45790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45790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45790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45790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45790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45790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45790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45790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45790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45790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45790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45790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45790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45790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45790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45790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45790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45790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45790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45790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45790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45790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45790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45790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45790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45790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45790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45790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45790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45790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45790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45790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45790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45790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45790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45790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45790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45790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45790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45790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45790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45790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45790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45790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45790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45790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45790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45790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45790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45790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45790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45790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45790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45790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45790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45790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45790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45790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45790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45790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45790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45790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45790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45790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45790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45790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45790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45790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45790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45790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45790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45790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45790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45790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45790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45790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45790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45790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45790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45790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45790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45790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45790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45790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45790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45790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45790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45790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45790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45790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45790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45790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20439-2025</t>
        </is>
      </c>
      <c r="B739" s="1" t="n">
        <v>45775</v>
      </c>
      <c r="C739" s="1" t="n">
        <v>45790</v>
      </c>
      <c r="D739" t="inlineStr">
        <is>
          <t>NORRBOTTENS LÄN</t>
        </is>
      </c>
      <c r="E739" t="inlineStr">
        <is>
          <t>ÖVERTORNEÅ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45790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45790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45790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45790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22726-2025</t>
        </is>
      </c>
      <c r="B744" s="1" t="n">
        <v>45789</v>
      </c>
      <c r="C744" s="1" t="n">
        <v>45790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2025-05-13T17:56:10Z</dcterms:created>
  <dcterms:modified xmlns:dcterms="http://purl.org/dc/terms/" xmlns:xsi="http://www.w3.org/2001/XMLSchema-instance" xsi:type="dcterms:W3CDTF">2025-05-13T17:56:11Z</dcterms:modified>
</cp:coreProperties>
</file>